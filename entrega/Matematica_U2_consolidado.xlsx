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119C433D-44F5-47EC-AB13-4E4B3E781FC2}" xr6:coauthVersionLast="47" xr6:coauthVersionMax="47" xr10:uidLastSave="{00000000-0000-0000-0000-000000000000}"/>
  <bookViews>
    <workbookView xWindow="-105" yWindow="0" windowWidth="14610" windowHeight="15585" activeTab="2" xr2:uid="{00000000-000D-0000-FFFF-FFFF00000000}"/>
  </bookViews>
  <sheets>
    <sheet name="1_Presentacion" sheetId="1" r:id="rId1"/>
    <sheet name="2_Datos" sheetId="2" r:id="rId2"/>
    <sheet name="3_Histograma" sheetId="3" r:id="rId3"/>
    <sheet name="4_Instituciones" sheetId="4" r:id="rId4"/>
    <sheet name="5_Referencia_ICFES" sheetId="5" r:id="rId5"/>
  </sheets>
  <definedNames>
    <definedName name="_xlnm._FilterDatabase" localSheetId="1" hidden="1">'2_Datos'!$A$14:$R$4194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3" l="1"/>
  <c r="C11" i="3"/>
  <c r="C10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C12" i="3"/>
  <c r="C9" i="3"/>
  <c r="C8" i="3"/>
  <c r="C15" i="3"/>
  <c r="C14" i="3"/>
  <c r="C6" i="3"/>
  <c r="C5" i="3"/>
  <c r="D47" i="3" s="1"/>
  <c r="C10" i="2"/>
  <c r="B10" i="2"/>
  <c r="C9" i="2"/>
  <c r="B9" i="2"/>
  <c r="C8" i="2"/>
  <c r="B8" i="2"/>
  <c r="C7" i="2"/>
  <c r="B7" i="2"/>
  <c r="C6" i="2"/>
  <c r="B6" i="2"/>
  <c r="H5" i="2"/>
  <c r="G5" i="2"/>
  <c r="F5" i="2"/>
  <c r="E5" i="2"/>
  <c r="D5" i="2"/>
  <c r="C5" i="2"/>
  <c r="B5" i="2"/>
  <c r="C16" i="3" l="1"/>
  <c r="C13" i="3"/>
  <c r="F26" i="3"/>
  <c r="F36" i="3"/>
  <c r="F31" i="3"/>
  <c r="F21" i="3"/>
  <c r="G22" i="3"/>
  <c r="G32" i="3"/>
  <c r="G27" i="3"/>
  <c r="G37" i="3"/>
  <c r="C43" i="3"/>
  <c r="G23" i="3"/>
  <c r="G33" i="3"/>
  <c r="F23" i="3"/>
  <c r="F33" i="3"/>
  <c r="G24" i="3"/>
  <c r="G34" i="3"/>
  <c r="F34" i="3"/>
  <c r="G25" i="3"/>
  <c r="G35" i="3"/>
  <c r="F25" i="3"/>
  <c r="F35" i="3"/>
  <c r="F22" i="3"/>
  <c r="F32" i="3"/>
  <c r="F24" i="3"/>
  <c r="G26" i="3"/>
  <c r="G36" i="3"/>
  <c r="F27" i="3"/>
  <c r="F37" i="3"/>
  <c r="G28" i="3"/>
  <c r="G38" i="3"/>
  <c r="F28" i="3"/>
  <c r="F38" i="3"/>
  <c r="C46" i="3"/>
  <c r="G29" i="3"/>
  <c r="D43" i="3"/>
  <c r="F29" i="3"/>
  <c r="D44" i="3"/>
  <c r="G30" i="3"/>
  <c r="D45" i="3"/>
  <c r="F30" i="3"/>
  <c r="D46" i="3"/>
  <c r="G21" i="3"/>
  <c r="G31" i="3"/>
  <c r="C47" i="3"/>
  <c r="E47" i="3" s="1"/>
  <c r="C51" i="3"/>
  <c r="E51" i="3" s="1"/>
  <c r="E39" i="3"/>
  <c r="C52" i="3"/>
  <c r="E52" i="3" s="1"/>
  <c r="C45" i="3"/>
  <c r="C44" i="3"/>
  <c r="C53" i="3"/>
  <c r="E53" i="3" s="1"/>
  <c r="E44" i="3" l="1"/>
  <c r="E46" i="3"/>
  <c r="E43" i="3"/>
  <c r="F39" i="3"/>
  <c r="G39" i="3"/>
  <c r="E45" i="3"/>
</calcChain>
</file>

<file path=xl/sharedStrings.xml><?xml version="1.0" encoding="utf-8"?>
<sst xmlns="http://schemas.openxmlformats.org/spreadsheetml/2006/main" count="29238" uniqueCount="4681">
  <si>
    <t>Uso de Excel para analizar datos y aproximar la distribucion por medio de una variable aleatoria normal</t>
  </si>
  <si>
    <t>Matematica para Ciencias de la Computacion, Unidad 2 Entrega 1, Grupo J02</t>
  </si>
  <si>
    <t>INTEGRANTES</t>
  </si>
  <si>
    <t>Integrante</t>
  </si>
  <si>
    <t>Paquete de datos aportado</t>
  </si>
  <si>
    <t>Andres Felipe Serrano Barrios</t>
  </si>
  <si>
    <t>Grupos UdeA, I.E. Rural El Tablazo y Envigado (14 colegios)</t>
  </si>
  <si>
    <t>David Jose Cardenas Labrador</t>
  </si>
  <si>
    <t>Rionegro (12 instituciones)</t>
  </si>
  <si>
    <t>Santiago Garcia Castrillon</t>
  </si>
  <si>
    <t>Semestre Cero (73 instituciones de 60 municipios de Antioquia)</t>
  </si>
  <si>
    <t>BASE DE DATOS</t>
  </si>
  <si>
    <t>Nombre</t>
  </si>
  <si>
    <t>Simulacros Saber 11 en Antioquia, 2026-1 (pruebas de preparacion aplicadas por los programas PreSaber)</t>
  </si>
  <si>
    <t>Naturaleza</t>
  </si>
  <si>
    <t>Datos propios del equipo, recolectados en la aplicacion de los simulacros. Anonimizados en origen.</t>
  </si>
  <si>
    <t>Repositorio</t>
  </si>
  <si>
    <t>https://github.com/AndresFSerrano/saber11-simulacros-antioquia (privado)</t>
  </si>
  <si>
    <t>Cobertura</t>
  </si>
  <si>
    <t>101 instituciones educativas. 63 municipios de Antioquia. 4.180 estudiantes</t>
  </si>
  <si>
    <t>Referencia oficial</t>
  </si>
  <si>
    <t>Saber 11 por establecimiento, periodo 2022-2. Dataset abierto kgxf-xxbe</t>
  </si>
  <si>
    <t>https://www.datos.gov.co/resource/kgxf-xxbe.json (Portal de Datos Abiertos de Colombia)</t>
  </si>
  <si>
    <t>VARIABLE DE INTERES</t>
  </si>
  <si>
    <t>Variable</t>
  </si>
  <si>
    <t>Puntaje Global del simulacro Saber 11</t>
  </si>
  <si>
    <t>Tipo</t>
  </si>
  <si>
    <t>Cuantitativa continua</t>
  </si>
  <si>
    <t>Escala</t>
  </si>
  <si>
    <t>0 a 500 puntos</t>
  </si>
  <si>
    <t>Definicion</t>
  </si>
  <si>
    <t>Puntaje Global = ((3*LC + 3*Mat + 3*Soc + 3*CN + 1*Ing) / 13) * 5, con cada area en escala 0 a 100</t>
  </si>
  <si>
    <t>Motivacion</t>
  </si>
  <si>
    <t>Es el indicador que ordena el acceso a la educacion superior en Colombia y resume las cinco areas en una sola medida comparable entre instituciones y municipios.</t>
  </si>
  <si>
    <t>Otras variables</t>
  </si>
  <si>
    <t>Puntajes por area (0 a 100), institucion, municipio, sector, coordenadas y grupo de aplicacion.</t>
  </si>
  <si>
    <t>ALCANCE</t>
  </si>
  <si>
    <t>Estudiantes analizados</t>
  </si>
  <si>
    <t>Una medicion por estudiante</t>
  </si>
  <si>
    <t>Todas las fuentes entran con un solo simulacro por estudiante. En Rionegro, que aplico dos, se analiza el Simulacro 1.</t>
  </si>
  <si>
    <t>TABLA RESUMEN DEL PUNTAJE GLOBAL</t>
  </si>
  <si>
    <t>Calculada sobre los 4180 estudiantes de la tabla de abajo.</t>
  </si>
  <si>
    <t>Grupo</t>
  </si>
  <si>
    <t>n</t>
  </si>
  <si>
    <t>Media</t>
  </si>
  <si>
    <t>Mediana</t>
  </si>
  <si>
    <t>Desviacion</t>
  </si>
  <si>
    <t>Varianza</t>
  </si>
  <si>
    <t>Minimo</t>
  </si>
  <si>
    <t>Maximo</t>
  </si>
  <si>
    <t>CONSOLIDADO</t>
  </si>
  <si>
    <t>UdeA</t>
  </si>
  <si>
    <t>Envigado</t>
  </si>
  <si>
    <t>Tablazo</t>
  </si>
  <si>
    <t>Rionegro</t>
  </si>
  <si>
    <t>Semestre Cero</t>
  </si>
  <si>
    <t>La mediana, la desviacion y la varianza por fuente se calcularon sobre la misma tabla; Excel no las resuelve con una formula condicional simple.</t>
  </si>
  <si>
    <t>id_anon</t>
  </si>
  <si>
    <t>fuente</t>
  </si>
  <si>
    <t>institucion</t>
  </si>
  <si>
    <t>municipio</t>
  </si>
  <si>
    <t>departamento</t>
  </si>
  <si>
    <t>sector</t>
  </si>
  <si>
    <t>latitud</t>
  </si>
  <si>
    <t>longitud</t>
  </si>
  <si>
    <t>grupo</t>
  </si>
  <si>
    <t>grado</t>
  </si>
  <si>
    <t>correctas</t>
  </si>
  <si>
    <t>total_preguntas</t>
  </si>
  <si>
    <t>puntaje_global</t>
  </si>
  <si>
    <t>lectura_critica</t>
  </si>
  <si>
    <t>matematicas</t>
  </si>
  <si>
    <t>sociales</t>
  </si>
  <si>
    <t>ciencias_naturales</t>
  </si>
  <si>
    <t>ingles</t>
  </si>
  <si>
    <t>UDEA-0001</t>
  </si>
  <si>
    <t>Grupos UdeA</t>
  </si>
  <si>
    <t>Medellín</t>
  </si>
  <si>
    <t>Antioquia</t>
  </si>
  <si>
    <t>Público (preuniversitario UdeA)</t>
  </si>
  <si>
    <t>G1</t>
  </si>
  <si>
    <t>UDEA-0002</t>
  </si>
  <si>
    <t>UDEA-0003</t>
  </si>
  <si>
    <t>UDEA-0004</t>
  </si>
  <si>
    <t>UDEA-0005</t>
  </si>
  <si>
    <t>UDEA-0006</t>
  </si>
  <si>
    <t>UDEA-0007</t>
  </si>
  <si>
    <t>UDEA-0008</t>
  </si>
  <si>
    <t>UDEA-0009</t>
  </si>
  <si>
    <t>UDEA-0010</t>
  </si>
  <si>
    <t>UDEA-0011</t>
  </si>
  <si>
    <t>UDEA-0012</t>
  </si>
  <si>
    <t>UDEA-0013</t>
  </si>
  <si>
    <t>UDEA-0014</t>
  </si>
  <si>
    <t>UDEA-0015</t>
  </si>
  <si>
    <t>UDEA-0016</t>
  </si>
  <si>
    <t>UDEA-0017</t>
  </si>
  <si>
    <t>UDEA-0018</t>
  </si>
  <si>
    <t>UDEA-0019</t>
  </si>
  <si>
    <t>UDEA-0020</t>
  </si>
  <si>
    <t>UDEA-0021</t>
  </si>
  <si>
    <t>UDEA-0022</t>
  </si>
  <si>
    <t>UDEA-0023</t>
  </si>
  <si>
    <t>UDEA-0024</t>
  </si>
  <si>
    <t>UDEA-0025</t>
  </si>
  <si>
    <t>UDEA-0026</t>
  </si>
  <si>
    <t>UDEA-0027</t>
  </si>
  <si>
    <t>UDEA-0028</t>
  </si>
  <si>
    <t>UDEA-0029</t>
  </si>
  <si>
    <t>UDEA-0030</t>
  </si>
  <si>
    <t>G2</t>
  </si>
  <si>
    <t>UDEA-0031</t>
  </si>
  <si>
    <t>UDEA-0032</t>
  </si>
  <si>
    <t>UDEA-0033</t>
  </si>
  <si>
    <t>UDEA-0034</t>
  </si>
  <si>
    <t>UDEA-0035</t>
  </si>
  <si>
    <t>UDEA-0036</t>
  </si>
  <si>
    <t>UDEA-0037</t>
  </si>
  <si>
    <t>UDEA-0038</t>
  </si>
  <si>
    <t>UDEA-0039</t>
  </si>
  <si>
    <t>UDEA-0040</t>
  </si>
  <si>
    <t>UDEA-0041</t>
  </si>
  <si>
    <t>UDEA-0042</t>
  </si>
  <si>
    <t>UDEA-0043</t>
  </si>
  <si>
    <t>UDEA-0044</t>
  </si>
  <si>
    <t>UDEA-0045</t>
  </si>
  <si>
    <t>UDEA-0046</t>
  </si>
  <si>
    <t>UDEA-0047</t>
  </si>
  <si>
    <t>UDEA-0048</t>
  </si>
  <si>
    <t>UDEA-0049</t>
  </si>
  <si>
    <t>UDEA-0050</t>
  </si>
  <si>
    <t>UDEA-0051</t>
  </si>
  <si>
    <t>UDEA-0052</t>
  </si>
  <si>
    <t>UDEA-0053</t>
  </si>
  <si>
    <t>UDEA-0054</t>
  </si>
  <si>
    <t>UDEA-0055</t>
  </si>
  <si>
    <t>UDEA-0056</t>
  </si>
  <si>
    <t>G4</t>
  </si>
  <si>
    <t>UDEA-0057</t>
  </si>
  <si>
    <t>UDEA-0058</t>
  </si>
  <si>
    <t>UDEA-0059</t>
  </si>
  <si>
    <t>UDEA-0060</t>
  </si>
  <si>
    <t>UDEA-0061</t>
  </si>
  <si>
    <t>UDEA-0062</t>
  </si>
  <si>
    <t>UDEA-0063</t>
  </si>
  <si>
    <t>UDEA-0064</t>
  </si>
  <si>
    <t>UDEA-0065</t>
  </si>
  <si>
    <t>UDEA-0066</t>
  </si>
  <si>
    <t>UDEA-0067</t>
  </si>
  <si>
    <t>UDEA-0068</t>
  </si>
  <si>
    <t>UDEA-0069</t>
  </si>
  <si>
    <t>UDEA-0070</t>
  </si>
  <si>
    <t>UDEA-0071</t>
  </si>
  <si>
    <t>UDEA-0072</t>
  </si>
  <si>
    <t>UDEA-0073</t>
  </si>
  <si>
    <t>UDEA-0074</t>
  </si>
  <si>
    <t>UDEA-0075</t>
  </si>
  <si>
    <t>UDEA-0076</t>
  </si>
  <si>
    <t>UDEA-0077</t>
  </si>
  <si>
    <t>UDEA-0078</t>
  </si>
  <si>
    <t>UDEA-0079</t>
  </si>
  <si>
    <t>UDEA-0080</t>
  </si>
  <si>
    <t>UDEA-0081</t>
  </si>
  <si>
    <t>UDEA-0082</t>
  </si>
  <si>
    <t>UDEA-0083</t>
  </si>
  <si>
    <t>UDEA-0084</t>
  </si>
  <si>
    <t>UDEA-0085</t>
  </si>
  <si>
    <t>UDEA-0086</t>
  </si>
  <si>
    <t>UDEA-0087</t>
  </si>
  <si>
    <t>UDEA-0088</t>
  </si>
  <si>
    <t>G5</t>
  </si>
  <si>
    <t>UDEA-0089</t>
  </si>
  <si>
    <t>UDEA-0090</t>
  </si>
  <si>
    <t>UDEA-0091</t>
  </si>
  <si>
    <t>UDEA-0092</t>
  </si>
  <si>
    <t>UDEA-0093</t>
  </si>
  <si>
    <t>UDEA-0094</t>
  </si>
  <si>
    <t>UDEA-0095</t>
  </si>
  <si>
    <t>UDEA-0096</t>
  </si>
  <si>
    <t>UDEA-0097</t>
  </si>
  <si>
    <t>UDEA-0098</t>
  </si>
  <si>
    <t>UDEA-0099</t>
  </si>
  <si>
    <t>UDEA-0100</t>
  </si>
  <si>
    <t>UDEA-0101</t>
  </si>
  <si>
    <t>UDEA-0102</t>
  </si>
  <si>
    <t>UDEA-0103</t>
  </si>
  <si>
    <t>UDEA-0104</t>
  </si>
  <si>
    <t>UDEA-0105</t>
  </si>
  <si>
    <t>UDEA-0106</t>
  </si>
  <si>
    <t>UDEA-0107</t>
  </si>
  <si>
    <t>UDEA-0108</t>
  </si>
  <si>
    <t>UDEA-0109</t>
  </si>
  <si>
    <t>UDEA-0110</t>
  </si>
  <si>
    <t>UDEA-0111</t>
  </si>
  <si>
    <t>UDEA-0112</t>
  </si>
  <si>
    <t>UDEA-0113</t>
  </si>
  <si>
    <t>UDEA-0114</t>
  </si>
  <si>
    <t>UDEA-0115</t>
  </si>
  <si>
    <t>UDEA-0116</t>
  </si>
  <si>
    <t>UDEA-0117</t>
  </si>
  <si>
    <t>UDEA-0118</t>
  </si>
  <si>
    <t>UDEA-0119</t>
  </si>
  <si>
    <t>UDEA-0120</t>
  </si>
  <si>
    <t>UDEA-0121</t>
  </si>
  <si>
    <t>UDEA-0122</t>
  </si>
  <si>
    <t>UDEA-0123</t>
  </si>
  <si>
    <t>UDEA-0124</t>
  </si>
  <si>
    <t>UDEA-0125</t>
  </si>
  <si>
    <t>UDEA-0126</t>
  </si>
  <si>
    <t>UDEA-0127</t>
  </si>
  <si>
    <t>UDEA-0128</t>
  </si>
  <si>
    <t>UDEA-0129</t>
  </si>
  <si>
    <t>UDEA-0130</t>
  </si>
  <si>
    <t>UDEA-0131</t>
  </si>
  <si>
    <t>UDEA-0132</t>
  </si>
  <si>
    <t>UDEA-0133</t>
  </si>
  <si>
    <t>UDEA-0134</t>
  </si>
  <si>
    <t>UDEA-0135</t>
  </si>
  <si>
    <t>UDEA-0136</t>
  </si>
  <si>
    <t>UDEA-0137</t>
  </si>
  <si>
    <t>UDEA-0138</t>
  </si>
  <si>
    <t>UDEA-0139</t>
  </si>
  <si>
    <t>G6</t>
  </si>
  <si>
    <t>UDEA-0140</t>
  </si>
  <si>
    <t>UDEA-0141</t>
  </si>
  <si>
    <t>UDEA-0142</t>
  </si>
  <si>
    <t>UDEA-0143</t>
  </si>
  <si>
    <t>UDEA-0144</t>
  </si>
  <si>
    <t>UDEA-0145</t>
  </si>
  <si>
    <t>UDEA-0146</t>
  </si>
  <si>
    <t>UDEA-0147</t>
  </si>
  <si>
    <t>UDEA-0148</t>
  </si>
  <si>
    <t>UDEA-0149</t>
  </si>
  <si>
    <t>UDEA-0150</t>
  </si>
  <si>
    <t>UDEA-0151</t>
  </si>
  <si>
    <t>UDEA-0152</t>
  </si>
  <si>
    <t>UDEA-0153</t>
  </si>
  <si>
    <t>UDEA-0154</t>
  </si>
  <si>
    <t>UDEA-0155</t>
  </si>
  <si>
    <t>UDEA-0156</t>
  </si>
  <si>
    <t>UDEA-0157</t>
  </si>
  <si>
    <t>UDEA-0158</t>
  </si>
  <si>
    <t>UDEA-0159</t>
  </si>
  <si>
    <t>UDEA-0160</t>
  </si>
  <si>
    <t>UDEA-0161</t>
  </si>
  <si>
    <t>UDEA-0162</t>
  </si>
  <si>
    <t>UDEA-0164</t>
  </si>
  <si>
    <t>X</t>
  </si>
  <si>
    <t>UDEA-0165</t>
  </si>
  <si>
    <t>UDEA-0166</t>
  </si>
  <si>
    <t>ENV-0001</t>
  </si>
  <si>
    <t>Alejandro Vélez Barrientos</t>
  </si>
  <si>
    <t>Oficial</t>
  </si>
  <si>
    <t>ENV-0002</t>
  </si>
  <si>
    <t>ENV-0003</t>
  </si>
  <si>
    <t>ENV-0004</t>
  </si>
  <si>
    <t>ENV-0005</t>
  </si>
  <si>
    <t>ENV-0006</t>
  </si>
  <si>
    <t>ENV-0007</t>
  </si>
  <si>
    <t>ENV-0008</t>
  </si>
  <si>
    <t>ENV-0009</t>
  </si>
  <si>
    <t>ENV-0010</t>
  </si>
  <si>
    <t>ENV-0011</t>
  </si>
  <si>
    <t>ENV-0012</t>
  </si>
  <si>
    <t>ENV-0013</t>
  </si>
  <si>
    <t>ENV-0014</t>
  </si>
  <si>
    <t>ENV-0015</t>
  </si>
  <si>
    <t>ENV-0016</t>
  </si>
  <si>
    <t>ENV-0017</t>
  </si>
  <si>
    <t>ENV-0018</t>
  </si>
  <si>
    <t>ENV-0019</t>
  </si>
  <si>
    <t>ENV-0020</t>
  </si>
  <si>
    <t>ENV-0021</t>
  </si>
  <si>
    <t>ENV-0022</t>
  </si>
  <si>
    <t>ENV-0023</t>
  </si>
  <si>
    <t>ENV-0024</t>
  </si>
  <si>
    <t>ENV-0025</t>
  </si>
  <si>
    <t>ENV-0026</t>
  </si>
  <si>
    <t>ENV-0027</t>
  </si>
  <si>
    <t>ENV-0028</t>
  </si>
  <si>
    <t>ENV-0029</t>
  </si>
  <si>
    <t>ENV-0030</t>
  </si>
  <si>
    <t>ENV-0031</t>
  </si>
  <si>
    <t>ENV-0032</t>
  </si>
  <si>
    <t>ENV-0033</t>
  </si>
  <si>
    <t>ENV-0034</t>
  </si>
  <si>
    <t>ENV-0035</t>
  </si>
  <si>
    <t>ENV-0036</t>
  </si>
  <si>
    <t>ENV-0037</t>
  </si>
  <si>
    <t>ENV-0038</t>
  </si>
  <si>
    <t>ENV-0039</t>
  </si>
  <si>
    <t>ENV-0040</t>
  </si>
  <si>
    <t>ENV-0041</t>
  </si>
  <si>
    <t>ENV-0042</t>
  </si>
  <si>
    <t>ENV-0043</t>
  </si>
  <si>
    <t>ENV-0044</t>
  </si>
  <si>
    <t>ENV-0045</t>
  </si>
  <si>
    <t>ENV-0046</t>
  </si>
  <si>
    <t>ENV-0047</t>
  </si>
  <si>
    <t>ENV-0048</t>
  </si>
  <si>
    <t>ENV-0049</t>
  </si>
  <si>
    <t>ENV-0050</t>
  </si>
  <si>
    <t>ENV-0051</t>
  </si>
  <si>
    <t>ENV-0052</t>
  </si>
  <si>
    <t>ENV-0053</t>
  </si>
  <si>
    <t>ENV-0054</t>
  </si>
  <si>
    <t>ENV-0055</t>
  </si>
  <si>
    <t>ENV-0056</t>
  </si>
  <si>
    <t>ENV-0057</t>
  </si>
  <si>
    <t>ENV-0058</t>
  </si>
  <si>
    <t>ENV-0059</t>
  </si>
  <si>
    <t>ENV-0060</t>
  </si>
  <si>
    <t>ENV-0061</t>
  </si>
  <si>
    <t>ENV-0062</t>
  </si>
  <si>
    <t>ENV-0063</t>
  </si>
  <si>
    <t>ENV-0064</t>
  </si>
  <si>
    <t>ENV-0065</t>
  </si>
  <si>
    <t>ENV-0066</t>
  </si>
  <si>
    <t>ENV-0067</t>
  </si>
  <si>
    <t>ENV-0068</t>
  </si>
  <si>
    <t>ENV-0069</t>
  </si>
  <si>
    <t>ENV-0070</t>
  </si>
  <si>
    <t>Comercial</t>
  </si>
  <si>
    <t>ENV-0071</t>
  </si>
  <si>
    <t>ENV-0072</t>
  </si>
  <si>
    <t>ENV-0073</t>
  </si>
  <si>
    <t>ENV-0074</t>
  </si>
  <si>
    <t>ENV-0075</t>
  </si>
  <si>
    <t>ENV-0076</t>
  </si>
  <si>
    <t>ENV-0077</t>
  </si>
  <si>
    <t>ENV-0078</t>
  </si>
  <si>
    <t>ENV-0079</t>
  </si>
  <si>
    <t>ENV-0080</t>
  </si>
  <si>
    <t>ENV-0081</t>
  </si>
  <si>
    <t>ENV-0082</t>
  </si>
  <si>
    <t>ENV-0083</t>
  </si>
  <si>
    <t>ENV-0084</t>
  </si>
  <si>
    <t>ENV-0085</t>
  </si>
  <si>
    <t>ENV-0086</t>
  </si>
  <si>
    <t>ENV-0087</t>
  </si>
  <si>
    <t>ENV-0088</t>
  </si>
  <si>
    <t>ENV-0089</t>
  </si>
  <si>
    <t>ENV-0090</t>
  </si>
  <si>
    <t>ENV-0091</t>
  </si>
  <si>
    <t>ENV-0092</t>
  </si>
  <si>
    <t>ENV-0093</t>
  </si>
  <si>
    <t>ENV-0094</t>
  </si>
  <si>
    <t>ENV-0095</t>
  </si>
  <si>
    <t>ENV-0096</t>
  </si>
  <si>
    <t>ENV-0097</t>
  </si>
  <si>
    <t>ENV-0098</t>
  </si>
  <si>
    <t>ENV-0099</t>
  </si>
  <si>
    <t>ENV-0100</t>
  </si>
  <si>
    <t>ENV-0101</t>
  </si>
  <si>
    <t>ENV-0102</t>
  </si>
  <si>
    <t>ENV-0103</t>
  </si>
  <si>
    <t>ENV-0104</t>
  </si>
  <si>
    <t>ENV-0105</t>
  </si>
  <si>
    <t>ENV-0106</t>
  </si>
  <si>
    <t>ENV-0107</t>
  </si>
  <si>
    <t>ENV-0108</t>
  </si>
  <si>
    <t>ENV-0109</t>
  </si>
  <si>
    <t>ENV-0110</t>
  </si>
  <si>
    <t>ENV-0111</t>
  </si>
  <si>
    <t>ENV-0112</t>
  </si>
  <si>
    <t>ENV-0113</t>
  </si>
  <si>
    <t>ENV-0114</t>
  </si>
  <si>
    <t>ENV-0115</t>
  </si>
  <si>
    <t>ENV-0116</t>
  </si>
  <si>
    <t>ENV-0117</t>
  </si>
  <si>
    <t>ENV-0118</t>
  </si>
  <si>
    <t>ENV-0119</t>
  </si>
  <si>
    <t>ENV-0120</t>
  </si>
  <si>
    <t>ENV-0121</t>
  </si>
  <si>
    <t>ENV-0122</t>
  </si>
  <si>
    <t>ENV-0123</t>
  </si>
  <si>
    <t>ENV-0124</t>
  </si>
  <si>
    <t>ENV-0125</t>
  </si>
  <si>
    <t>ENV-0126</t>
  </si>
  <si>
    <t>ENV-0127</t>
  </si>
  <si>
    <t>ENV-0128</t>
  </si>
  <si>
    <t>ENV-0129</t>
  </si>
  <si>
    <t>ENV-0130</t>
  </si>
  <si>
    <t>ENV-0131</t>
  </si>
  <si>
    <t>ENV-0132</t>
  </si>
  <si>
    <t>ENV-0133</t>
  </si>
  <si>
    <t>ENV-0134</t>
  </si>
  <si>
    <t>ENV-0135</t>
  </si>
  <si>
    <t>ENV-0136</t>
  </si>
  <si>
    <t>ENV-0137</t>
  </si>
  <si>
    <t>ENV-0138</t>
  </si>
  <si>
    <t>ENV-0139</t>
  </si>
  <si>
    <t>ENV-0140</t>
  </si>
  <si>
    <t>ENV-0141</t>
  </si>
  <si>
    <t>ENV-0142</t>
  </si>
  <si>
    <t>Darío de Bedout</t>
  </si>
  <si>
    <t>ENV-0143</t>
  </si>
  <si>
    <t>ENV-0144</t>
  </si>
  <si>
    <t>ENV-0145</t>
  </si>
  <si>
    <t>ENV-0146</t>
  </si>
  <si>
    <t>ENV-0147</t>
  </si>
  <si>
    <t>ENV-0148</t>
  </si>
  <si>
    <t>ENV-0149</t>
  </si>
  <si>
    <t>ENV-0150</t>
  </si>
  <si>
    <t>ENV-0151</t>
  </si>
  <si>
    <t>ENV-0152</t>
  </si>
  <si>
    <t>ENV-0153</t>
  </si>
  <si>
    <t>ENV-0154</t>
  </si>
  <si>
    <t>ENV-0155</t>
  </si>
  <si>
    <t>José Manuel Restrepo</t>
  </si>
  <si>
    <t>ENV-0156</t>
  </si>
  <si>
    <t>ENV-0157</t>
  </si>
  <si>
    <t>ENV-0158</t>
  </si>
  <si>
    <t>ENV-0159</t>
  </si>
  <si>
    <t>ENV-0160</t>
  </si>
  <si>
    <t>ENV-0161</t>
  </si>
  <si>
    <t>ENV-0162</t>
  </si>
  <si>
    <t>ENV-0163</t>
  </si>
  <si>
    <t>ENV-0164</t>
  </si>
  <si>
    <t>ENV-0165</t>
  </si>
  <si>
    <t>ENV-0166</t>
  </si>
  <si>
    <t>ENV-0167</t>
  </si>
  <si>
    <t>ENV-0168</t>
  </si>
  <si>
    <t>ENV-0169</t>
  </si>
  <si>
    <t>ENV-0170</t>
  </si>
  <si>
    <t>ENV-0171</t>
  </si>
  <si>
    <t>ENV-0172</t>
  </si>
  <si>
    <t>ENV-0173</t>
  </si>
  <si>
    <t>ENV-0174</t>
  </si>
  <si>
    <t>ENV-0175</t>
  </si>
  <si>
    <t>ENV-0176</t>
  </si>
  <si>
    <t>ENV-0177</t>
  </si>
  <si>
    <t>ENV-0178</t>
  </si>
  <si>
    <t>ENV-0179</t>
  </si>
  <si>
    <t>ENV-0180</t>
  </si>
  <si>
    <t>ENV-0181</t>
  </si>
  <si>
    <t>ENV-0182</t>
  </si>
  <si>
    <t>ENV-0183</t>
  </si>
  <si>
    <t>ENV-0184</t>
  </si>
  <si>
    <t>ENV-0185</t>
  </si>
  <si>
    <t>ENV-0186</t>
  </si>
  <si>
    <t>ENV-0187</t>
  </si>
  <si>
    <t>ENV-0188</t>
  </si>
  <si>
    <t>ENV-0189</t>
  </si>
  <si>
    <t>ENV-0190</t>
  </si>
  <si>
    <t>ENV-0191</t>
  </si>
  <si>
    <t>ENV-0192</t>
  </si>
  <si>
    <t>ENV-0193</t>
  </si>
  <si>
    <t>ENV-0194</t>
  </si>
  <si>
    <t>ENV-0195</t>
  </si>
  <si>
    <t>ENV-0196</t>
  </si>
  <si>
    <t>ENV-0197</t>
  </si>
  <si>
    <t>ENV-0198</t>
  </si>
  <si>
    <t>ENV-0199</t>
  </si>
  <si>
    <t>ENV-0200</t>
  </si>
  <si>
    <t>ENV-0201</t>
  </si>
  <si>
    <t>ENV-0202</t>
  </si>
  <si>
    <t>ENV-0203</t>
  </si>
  <si>
    <t>ENV-0204</t>
  </si>
  <si>
    <t>ENV-0205</t>
  </si>
  <si>
    <t>ENV-0206</t>
  </si>
  <si>
    <t>ENV-0207</t>
  </si>
  <si>
    <t>ENV-0208</t>
  </si>
  <si>
    <t>ENV-0209</t>
  </si>
  <si>
    <t>ENV-0210</t>
  </si>
  <si>
    <t>ENV-0211</t>
  </si>
  <si>
    <t>ENV-0212</t>
  </si>
  <si>
    <t>ENV-0213</t>
  </si>
  <si>
    <t>ENV-0214</t>
  </si>
  <si>
    <t>ENV-0215</t>
  </si>
  <si>
    <t>ENV-0216</t>
  </si>
  <si>
    <t>ENV-0217</t>
  </si>
  <si>
    <t>ENV-0218</t>
  </si>
  <si>
    <t>ENV-0219</t>
  </si>
  <si>
    <t>ENV-0220</t>
  </si>
  <si>
    <t>ENV-0221</t>
  </si>
  <si>
    <t>ENV-0222</t>
  </si>
  <si>
    <t>ENV-0223</t>
  </si>
  <si>
    <t>ENV-0224</t>
  </si>
  <si>
    <t>ENV-0225</t>
  </si>
  <si>
    <t>ENV-0226</t>
  </si>
  <si>
    <t>ENV-0227</t>
  </si>
  <si>
    <t>ENV-0228</t>
  </si>
  <si>
    <t>ENV-0229</t>
  </si>
  <si>
    <t>ENV-0230</t>
  </si>
  <si>
    <t>ENV-0231</t>
  </si>
  <si>
    <t>ENV-0232</t>
  </si>
  <si>
    <t>ENV-0233</t>
  </si>
  <si>
    <t>ENV-0234</t>
  </si>
  <si>
    <t>ENV-0235</t>
  </si>
  <si>
    <t>ENV-0236</t>
  </si>
  <si>
    <t>ENV-0237</t>
  </si>
  <si>
    <t>ENV-0238</t>
  </si>
  <si>
    <t>ENV-0239</t>
  </si>
  <si>
    <t>ENV-0240</t>
  </si>
  <si>
    <t>ENV-0241</t>
  </si>
  <si>
    <t>ENV-0242</t>
  </si>
  <si>
    <t>ENV-0243</t>
  </si>
  <si>
    <t>ENV-0244</t>
  </si>
  <si>
    <t>ENV-0245</t>
  </si>
  <si>
    <t>ENV-0246</t>
  </si>
  <si>
    <t>José Miguel de la Calle</t>
  </si>
  <si>
    <t>ENV-0247</t>
  </si>
  <si>
    <t>ENV-0248</t>
  </si>
  <si>
    <t>ENV-0249</t>
  </si>
  <si>
    <t>ENV-0250</t>
  </si>
  <si>
    <t>ENV-0251</t>
  </si>
  <si>
    <t>ENV-0252</t>
  </si>
  <si>
    <t>ENV-0253</t>
  </si>
  <si>
    <t>ENV-0254</t>
  </si>
  <si>
    <t>ENV-0255</t>
  </si>
  <si>
    <t>ENV-0256</t>
  </si>
  <si>
    <t>ENV-0257</t>
  </si>
  <si>
    <t>ENV-0258</t>
  </si>
  <si>
    <t>ENV-0259</t>
  </si>
  <si>
    <t>ENV-0260</t>
  </si>
  <si>
    <t>ENV-0261</t>
  </si>
  <si>
    <t>ENV-0262</t>
  </si>
  <si>
    <t>ENV-0263</t>
  </si>
  <si>
    <t>ENV-0264</t>
  </si>
  <si>
    <t>ENV-0265</t>
  </si>
  <si>
    <t>ENV-0266</t>
  </si>
  <si>
    <t>ENV-0267</t>
  </si>
  <si>
    <t>ENV-0268</t>
  </si>
  <si>
    <t>ENV-0269</t>
  </si>
  <si>
    <t>ENV-0270</t>
  </si>
  <si>
    <t>ENV-0271</t>
  </si>
  <si>
    <t>ENV-0272</t>
  </si>
  <si>
    <t>ENV-0273</t>
  </si>
  <si>
    <t>ENV-0274</t>
  </si>
  <si>
    <t>ENV-0275</t>
  </si>
  <si>
    <t>ENV-0276</t>
  </si>
  <si>
    <t>ENV-0277</t>
  </si>
  <si>
    <t>ENV-0278</t>
  </si>
  <si>
    <t>ENV-0279</t>
  </si>
  <si>
    <t>ENV-0280</t>
  </si>
  <si>
    <t>ENV-0281</t>
  </si>
  <si>
    <t>ENV-0282</t>
  </si>
  <si>
    <t>ENV-0283</t>
  </si>
  <si>
    <t>ENV-0284</t>
  </si>
  <si>
    <t>ENV-0285</t>
  </si>
  <si>
    <t>ENV-0286</t>
  </si>
  <si>
    <t>ENV-0287</t>
  </si>
  <si>
    <t>ENV-0288</t>
  </si>
  <si>
    <t>ENV-0289</t>
  </si>
  <si>
    <t>ENV-0290</t>
  </si>
  <si>
    <t>ENV-0291</t>
  </si>
  <si>
    <t>ENV-0292</t>
  </si>
  <si>
    <t>ENV-0293</t>
  </si>
  <si>
    <t>ENV-0294</t>
  </si>
  <si>
    <t>ENV-0295</t>
  </si>
  <si>
    <t>La Paz</t>
  </si>
  <si>
    <t>ENV-0296</t>
  </si>
  <si>
    <t>ENV-0297</t>
  </si>
  <si>
    <t>ENV-0298</t>
  </si>
  <si>
    <t>ENV-0299</t>
  </si>
  <si>
    <t>ENV-0300</t>
  </si>
  <si>
    <t>ENV-0301</t>
  </si>
  <si>
    <t>ENV-0302</t>
  </si>
  <si>
    <t>ENV-0303</t>
  </si>
  <si>
    <t>ENV-0304</t>
  </si>
  <si>
    <t>ENV-0305</t>
  </si>
  <si>
    <t>ENV-0306</t>
  </si>
  <si>
    <t>ENV-0307</t>
  </si>
  <si>
    <t>ENV-0308</t>
  </si>
  <si>
    <t>ENV-0309</t>
  </si>
  <si>
    <t>ENV-0310</t>
  </si>
  <si>
    <t>ENV-0311</t>
  </si>
  <si>
    <t>ENV-0312</t>
  </si>
  <si>
    <t>ENV-0313</t>
  </si>
  <si>
    <t>ENV-0314</t>
  </si>
  <si>
    <t>ENV-0315</t>
  </si>
  <si>
    <t>ENV-0316</t>
  </si>
  <si>
    <t>ENV-0317</t>
  </si>
  <si>
    <t>ENV-0318</t>
  </si>
  <si>
    <t>ENV-0319</t>
  </si>
  <si>
    <t>ENV-0320</t>
  </si>
  <si>
    <t>ENV-0321</t>
  </si>
  <si>
    <t>ENV-0322</t>
  </si>
  <si>
    <t>ENV-0323</t>
  </si>
  <si>
    <t>ENV-0324</t>
  </si>
  <si>
    <t>ENV-0325</t>
  </si>
  <si>
    <t>ENV-0326</t>
  </si>
  <si>
    <t>ENV-0327</t>
  </si>
  <si>
    <t>ENV-0328</t>
  </si>
  <si>
    <t>ENV-0329</t>
  </si>
  <si>
    <t>ENV-0330</t>
  </si>
  <si>
    <t>ENV-0331</t>
  </si>
  <si>
    <t>ENV-0332</t>
  </si>
  <si>
    <t>ENV-0333</t>
  </si>
  <si>
    <t>ENV-0334</t>
  </si>
  <si>
    <t>ENV-0335</t>
  </si>
  <si>
    <t>ENV-0336</t>
  </si>
  <si>
    <t>ENV-0337</t>
  </si>
  <si>
    <t>ENV-0338</t>
  </si>
  <si>
    <t>ENV-0339</t>
  </si>
  <si>
    <t>ENV-0340</t>
  </si>
  <si>
    <t>ENV-0341</t>
  </si>
  <si>
    <t>ENV-0342</t>
  </si>
  <si>
    <t>ENV-0343</t>
  </si>
  <si>
    <t>ENV-0344</t>
  </si>
  <si>
    <t>ENV-0345</t>
  </si>
  <si>
    <t>ENV-0346</t>
  </si>
  <si>
    <t>ENV-0347</t>
  </si>
  <si>
    <t>ENV-0348</t>
  </si>
  <si>
    <t>ENV-0349</t>
  </si>
  <si>
    <t>ENV-0350</t>
  </si>
  <si>
    <t>ENV-0351</t>
  </si>
  <si>
    <t>ENV-0352</t>
  </si>
  <si>
    <t>ENV-0353</t>
  </si>
  <si>
    <t>ENV-0354</t>
  </si>
  <si>
    <t>ENV-0355</t>
  </si>
  <si>
    <t>ENV-0356</t>
  </si>
  <si>
    <t>ENV-0357</t>
  </si>
  <si>
    <t>ENV-0358</t>
  </si>
  <si>
    <t>ENV-0359</t>
  </si>
  <si>
    <t>ENV-0360</t>
  </si>
  <si>
    <t>ENV-0361</t>
  </si>
  <si>
    <t>ENV-0362</t>
  </si>
  <si>
    <t>ENV-0363</t>
  </si>
  <si>
    <t>ENV-0364</t>
  </si>
  <si>
    <t>ENV-0365</t>
  </si>
  <si>
    <t>ENV-0366</t>
  </si>
  <si>
    <t>ENV-0367</t>
  </si>
  <si>
    <t>ENV-0368</t>
  </si>
  <si>
    <t>ENV-0369</t>
  </si>
  <si>
    <t>ENV-0370</t>
  </si>
  <si>
    <t>ENV-0371</t>
  </si>
  <si>
    <t>ENV-0372</t>
  </si>
  <si>
    <t>ENV-0373</t>
  </si>
  <si>
    <t>ENV-0374</t>
  </si>
  <si>
    <t>ENV-0375</t>
  </si>
  <si>
    <t>ENV-0376</t>
  </si>
  <si>
    <t>ENV-0377</t>
  </si>
  <si>
    <t>ENV-0378</t>
  </si>
  <si>
    <t>ENV-0379</t>
  </si>
  <si>
    <t>ENV-0380</t>
  </si>
  <si>
    <t>ENV-0381</t>
  </si>
  <si>
    <t>ENV-0382</t>
  </si>
  <si>
    <t>ENV-0383</t>
  </si>
  <si>
    <t>ENV-0384</t>
  </si>
  <si>
    <t>ENV-0385</t>
  </si>
  <si>
    <t>ENV-0386</t>
  </si>
  <si>
    <t>ENV-0387</t>
  </si>
  <si>
    <t>ENV-0388</t>
  </si>
  <si>
    <t>ENV-0389</t>
  </si>
  <si>
    <t>ENV-0390</t>
  </si>
  <si>
    <t>ENV-0391</t>
  </si>
  <si>
    <t>ENV-0392</t>
  </si>
  <si>
    <t>ENV-0393</t>
  </si>
  <si>
    <t>ENV-0394</t>
  </si>
  <si>
    <t>ENV-0395</t>
  </si>
  <si>
    <t>ENV-0396</t>
  </si>
  <si>
    <t>ENV-0397</t>
  </si>
  <si>
    <t>ENV-0398</t>
  </si>
  <si>
    <t>ENV-0399</t>
  </si>
  <si>
    <t>ENV-0400</t>
  </si>
  <si>
    <t>ENV-0401</t>
  </si>
  <si>
    <t>ENV-0402</t>
  </si>
  <si>
    <t>ENV-0403</t>
  </si>
  <si>
    <t>ENV-0404</t>
  </si>
  <si>
    <t>ENV-0405</t>
  </si>
  <si>
    <t>ENV-0406</t>
  </si>
  <si>
    <t>ENV-0407</t>
  </si>
  <si>
    <t>ENV-0408</t>
  </si>
  <si>
    <t>ENV-0409</t>
  </si>
  <si>
    <t>ENV-0410</t>
  </si>
  <si>
    <t>ENV-0411</t>
  </si>
  <si>
    <t>ENV-0412</t>
  </si>
  <si>
    <t>ENV-0413</t>
  </si>
  <si>
    <t>ENV-0414</t>
  </si>
  <si>
    <t>ENV-0415</t>
  </si>
  <si>
    <t>ENV-0416</t>
  </si>
  <si>
    <t>ENV-0417</t>
  </si>
  <si>
    <t>ENV-0418</t>
  </si>
  <si>
    <t>ENV-0419</t>
  </si>
  <si>
    <t>ENV-0420</t>
  </si>
  <si>
    <t>ENV-0421</t>
  </si>
  <si>
    <t>ENV-0422</t>
  </si>
  <si>
    <t>ENV-0423</t>
  </si>
  <si>
    <t>ENV-0424</t>
  </si>
  <si>
    <t>ENV-0425</t>
  </si>
  <si>
    <t>ENV-0426</t>
  </si>
  <si>
    <t>ENV-0427</t>
  </si>
  <si>
    <t>ENV-0428</t>
  </si>
  <si>
    <t>ENV-0429</t>
  </si>
  <si>
    <t>ENV-0430</t>
  </si>
  <si>
    <t>ENV-0431</t>
  </si>
  <si>
    <t>ENV-0432</t>
  </si>
  <si>
    <t>ENV-0433</t>
  </si>
  <si>
    <t>ENV-0434</t>
  </si>
  <si>
    <t>Las Palmas</t>
  </si>
  <si>
    <t>ENV-0435</t>
  </si>
  <si>
    <t>ENV-0436</t>
  </si>
  <si>
    <t>ENV-0437</t>
  </si>
  <si>
    <t>ENV-0438</t>
  </si>
  <si>
    <t>ENV-0439</t>
  </si>
  <si>
    <t>ENV-0440</t>
  </si>
  <si>
    <t>ENV-0441</t>
  </si>
  <si>
    <t>ENV-0442</t>
  </si>
  <si>
    <t>ENV-0443</t>
  </si>
  <si>
    <t>ENV-0444</t>
  </si>
  <si>
    <t>ENV-0445</t>
  </si>
  <si>
    <t>ENV-0446</t>
  </si>
  <si>
    <t>ENV-0447</t>
  </si>
  <si>
    <t>ENV-0448</t>
  </si>
  <si>
    <t>ENV-0449</t>
  </si>
  <si>
    <t>ENV-0450</t>
  </si>
  <si>
    <t>ENV-0451</t>
  </si>
  <si>
    <t>ENV-0452</t>
  </si>
  <si>
    <t>ENV-0453</t>
  </si>
  <si>
    <t>ENV-0454</t>
  </si>
  <si>
    <t>ENV-0455</t>
  </si>
  <si>
    <t>ENV-0456</t>
  </si>
  <si>
    <t>ENV-0457</t>
  </si>
  <si>
    <t>ENV-0458</t>
  </si>
  <si>
    <t>ENV-0459</t>
  </si>
  <si>
    <t>ENV-0460</t>
  </si>
  <si>
    <t>ENV-0461</t>
  </si>
  <si>
    <t>ENV-0462</t>
  </si>
  <si>
    <t>ENV-0463</t>
  </si>
  <si>
    <t>ENV-0464</t>
  </si>
  <si>
    <t>ENV-0465</t>
  </si>
  <si>
    <t>ENV-0466</t>
  </si>
  <si>
    <t>ENV-0467</t>
  </si>
  <si>
    <t>ENV-0468</t>
  </si>
  <si>
    <t>ENV-0469</t>
  </si>
  <si>
    <t>ENV-0470</t>
  </si>
  <si>
    <t>ENV-0471</t>
  </si>
  <si>
    <t>ENV-0472</t>
  </si>
  <si>
    <t>ENV-0473</t>
  </si>
  <si>
    <t>ENV-0474</t>
  </si>
  <si>
    <t>Leticia Arango</t>
  </si>
  <si>
    <t>ENV-0475</t>
  </si>
  <si>
    <t>ENV-0476</t>
  </si>
  <si>
    <t>ENV-0477</t>
  </si>
  <si>
    <t>ENV-0478</t>
  </si>
  <si>
    <t>ENV-0479</t>
  </si>
  <si>
    <t>ENV-0480</t>
  </si>
  <si>
    <t>ENV-0481</t>
  </si>
  <si>
    <t>ENV-0482</t>
  </si>
  <si>
    <t>ENV-0483</t>
  </si>
  <si>
    <t>ENV-0484</t>
  </si>
  <si>
    <t>ENV-0485</t>
  </si>
  <si>
    <t>ENV-0486</t>
  </si>
  <si>
    <t>ENV-0487</t>
  </si>
  <si>
    <t>ENV-0488</t>
  </si>
  <si>
    <t>ENV-0489</t>
  </si>
  <si>
    <t>ENV-0490</t>
  </si>
  <si>
    <t>ENV-0491</t>
  </si>
  <si>
    <t>ENV-0492</t>
  </si>
  <si>
    <t>ENV-0493</t>
  </si>
  <si>
    <t>ENV-0494</t>
  </si>
  <si>
    <t>ENV-0495</t>
  </si>
  <si>
    <t>ENV-0496</t>
  </si>
  <si>
    <t>ENV-0497</t>
  </si>
  <si>
    <t>ENV-0498</t>
  </si>
  <si>
    <t>ENV-0499</t>
  </si>
  <si>
    <t>ENV-0500</t>
  </si>
  <si>
    <t>ENV-0501</t>
  </si>
  <si>
    <t>ENV-0502</t>
  </si>
  <si>
    <t>ENV-0503</t>
  </si>
  <si>
    <t>ENV-0504</t>
  </si>
  <si>
    <t>ENV-0505</t>
  </si>
  <si>
    <t>ENV-0506</t>
  </si>
  <si>
    <t>ENV-0507</t>
  </si>
  <si>
    <t>ENV-0508</t>
  </si>
  <si>
    <t>ENV-0509</t>
  </si>
  <si>
    <t>ENV-0510</t>
  </si>
  <si>
    <t>ENV-0511</t>
  </si>
  <si>
    <t>ENV-0512</t>
  </si>
  <si>
    <t>ENV-0513</t>
  </si>
  <si>
    <t>ENV-0514</t>
  </si>
  <si>
    <t>ENV-0515</t>
  </si>
  <si>
    <t>ENV-0516</t>
  </si>
  <si>
    <t>ENV-0517</t>
  </si>
  <si>
    <t>ENV-0518</t>
  </si>
  <si>
    <t>ENV-0519</t>
  </si>
  <si>
    <t>ENV-0520</t>
  </si>
  <si>
    <t>ENV-0521</t>
  </si>
  <si>
    <t>ENV-0522</t>
  </si>
  <si>
    <t>ENV-0523</t>
  </si>
  <si>
    <t>ENV-0524</t>
  </si>
  <si>
    <t>ENV-0525</t>
  </si>
  <si>
    <t>ENV-0526</t>
  </si>
  <si>
    <t>ENV-0527</t>
  </si>
  <si>
    <t>ENV-0528</t>
  </si>
  <si>
    <t>ENV-0529</t>
  </si>
  <si>
    <t>ENV-0530</t>
  </si>
  <si>
    <t>ENV-0531</t>
  </si>
  <si>
    <t>ENV-0532</t>
  </si>
  <si>
    <t>ENV-0533</t>
  </si>
  <si>
    <t>ENV-0534</t>
  </si>
  <si>
    <t>ENV-0535</t>
  </si>
  <si>
    <t>ENV-0536</t>
  </si>
  <si>
    <t>ENV-0537</t>
  </si>
  <si>
    <t>ENV-0538</t>
  </si>
  <si>
    <t>ENV-0539</t>
  </si>
  <si>
    <t>ENV-0540</t>
  </si>
  <si>
    <t>ENV-0541</t>
  </si>
  <si>
    <t>ENV-0542</t>
  </si>
  <si>
    <t>ENV-0543</t>
  </si>
  <si>
    <t>ENV-0544</t>
  </si>
  <si>
    <t>ENV-0545</t>
  </si>
  <si>
    <t>ENV-0546</t>
  </si>
  <si>
    <t>ENV-0547</t>
  </si>
  <si>
    <t>ENV-0548</t>
  </si>
  <si>
    <t>ENV-0549</t>
  </si>
  <si>
    <t>ENV-0550</t>
  </si>
  <si>
    <t>ENV-0551</t>
  </si>
  <si>
    <t>ENV-0552</t>
  </si>
  <si>
    <t>ENV-0553</t>
  </si>
  <si>
    <t>ENV-0554</t>
  </si>
  <si>
    <t>ENV-0555</t>
  </si>
  <si>
    <t>ENV-0556</t>
  </si>
  <si>
    <t>ENV-0557</t>
  </si>
  <si>
    <t>ENV-0558</t>
  </si>
  <si>
    <t>ENV-0559</t>
  </si>
  <si>
    <t>ENV-0560</t>
  </si>
  <si>
    <t>ENV-0561</t>
  </si>
  <si>
    <t>ENV-0562</t>
  </si>
  <si>
    <t>ENV-0563</t>
  </si>
  <si>
    <t>ENV-0564</t>
  </si>
  <si>
    <t>ENV-0565</t>
  </si>
  <si>
    <t>ENV-0566</t>
  </si>
  <si>
    <t>ENV-0567</t>
  </si>
  <si>
    <t>ENV-0568</t>
  </si>
  <si>
    <t>ENV-0569</t>
  </si>
  <si>
    <t>ENV-0570</t>
  </si>
  <si>
    <t>ENV-0571</t>
  </si>
  <si>
    <t>Manuel Uribe Ángel</t>
  </si>
  <si>
    <t>ENV-0572</t>
  </si>
  <si>
    <t>ENV-0573</t>
  </si>
  <si>
    <t>ENV-0574</t>
  </si>
  <si>
    <t>ENV-0575</t>
  </si>
  <si>
    <t>ENV-0576</t>
  </si>
  <si>
    <t>ENV-0577</t>
  </si>
  <si>
    <t>ENV-0578</t>
  </si>
  <si>
    <t>ENV-0579</t>
  </si>
  <si>
    <t>ENV-0580</t>
  </si>
  <si>
    <t>ENV-0581</t>
  </si>
  <si>
    <t>ENV-0582</t>
  </si>
  <si>
    <t>ENV-0583</t>
  </si>
  <si>
    <t>ENV-0584</t>
  </si>
  <si>
    <t>ENV-0585</t>
  </si>
  <si>
    <t>ENV-0586</t>
  </si>
  <si>
    <t>ENV-0587</t>
  </si>
  <si>
    <t>ENV-0588</t>
  </si>
  <si>
    <t>ENV-0589</t>
  </si>
  <si>
    <t>ENV-0590</t>
  </si>
  <si>
    <t>ENV-0591</t>
  </si>
  <si>
    <t>ENV-0592</t>
  </si>
  <si>
    <t>ENV-0593</t>
  </si>
  <si>
    <t>ENV-0594</t>
  </si>
  <si>
    <t>ENV-0595</t>
  </si>
  <si>
    <t>ENV-0596</t>
  </si>
  <si>
    <t>ENV-0597</t>
  </si>
  <si>
    <t>ENV-0598</t>
  </si>
  <si>
    <t>ENV-0599</t>
  </si>
  <si>
    <t>ENV-0600</t>
  </si>
  <si>
    <t>ENV-0601</t>
  </si>
  <si>
    <t>ENV-0602</t>
  </si>
  <si>
    <t>ENV-0603</t>
  </si>
  <si>
    <t>ENV-0604</t>
  </si>
  <si>
    <t>ENV-0605</t>
  </si>
  <si>
    <t>ENV-0606</t>
  </si>
  <si>
    <t>ENV-0607</t>
  </si>
  <si>
    <t>ENV-0608</t>
  </si>
  <si>
    <t>ENV-0609</t>
  </si>
  <si>
    <t>ENV-0610</t>
  </si>
  <si>
    <t>ENV-0611</t>
  </si>
  <si>
    <t>ENV-0612</t>
  </si>
  <si>
    <t>ENV-0613</t>
  </si>
  <si>
    <t>ENV-0614</t>
  </si>
  <si>
    <t>ENV-0615</t>
  </si>
  <si>
    <t>ENV-0616</t>
  </si>
  <si>
    <t>ENV-0617</t>
  </si>
  <si>
    <t>ENV-0618</t>
  </si>
  <si>
    <t>ENV-0619</t>
  </si>
  <si>
    <t>ENV-0620</t>
  </si>
  <si>
    <t>ENV-0621</t>
  </si>
  <si>
    <t>ENV-0622</t>
  </si>
  <si>
    <t>ENV-0623</t>
  </si>
  <si>
    <t>ENV-0624</t>
  </si>
  <si>
    <t>ENV-0625</t>
  </si>
  <si>
    <t>ENV-0626</t>
  </si>
  <si>
    <t>ENV-0627</t>
  </si>
  <si>
    <t>ENV-0628</t>
  </si>
  <si>
    <t>ENV-0629</t>
  </si>
  <si>
    <t>ENV-0630</t>
  </si>
  <si>
    <t>ENV-0631</t>
  </si>
  <si>
    <t>ENV-0632</t>
  </si>
  <si>
    <t>ENV-0633</t>
  </si>
  <si>
    <t>ENV-0634</t>
  </si>
  <si>
    <t>ENV-0635</t>
  </si>
  <si>
    <t>ENV-0636</t>
  </si>
  <si>
    <t>ENV-0637</t>
  </si>
  <si>
    <t>ENV-0638</t>
  </si>
  <si>
    <t>ENV-0639</t>
  </si>
  <si>
    <t>ENV-0640</t>
  </si>
  <si>
    <t>ENV-0641</t>
  </si>
  <si>
    <t>ENV-0642</t>
  </si>
  <si>
    <t>ENV-0643</t>
  </si>
  <si>
    <t>ENV-0644</t>
  </si>
  <si>
    <t>ENV-0645</t>
  </si>
  <si>
    <t>ENV-0646</t>
  </si>
  <si>
    <t>ENV-0647</t>
  </si>
  <si>
    <t>ENV-0648</t>
  </si>
  <si>
    <t>ENV-0649</t>
  </si>
  <si>
    <t>ENV-0650</t>
  </si>
  <si>
    <t>ENV-0651</t>
  </si>
  <si>
    <t>ENV-0652</t>
  </si>
  <si>
    <t>ENV-0653</t>
  </si>
  <si>
    <t>ENV-0654</t>
  </si>
  <si>
    <t>ENV-0655</t>
  </si>
  <si>
    <t>ENV-0656</t>
  </si>
  <si>
    <t>ENV-0657</t>
  </si>
  <si>
    <t>ENV-0658</t>
  </si>
  <si>
    <t>ENV-0659</t>
  </si>
  <si>
    <t>ENV-0660</t>
  </si>
  <si>
    <t>ENV-0661</t>
  </si>
  <si>
    <t>ENV-0662</t>
  </si>
  <si>
    <t>ENV-0663</t>
  </si>
  <si>
    <t>ENV-0664</t>
  </si>
  <si>
    <t>ENV-0665</t>
  </si>
  <si>
    <t>ENV-0666</t>
  </si>
  <si>
    <t>ENV-0667</t>
  </si>
  <si>
    <t>ENV-0668</t>
  </si>
  <si>
    <t>ENV-0669</t>
  </si>
  <si>
    <t>Martín Eduardo</t>
  </si>
  <si>
    <t>ENV-0670</t>
  </si>
  <si>
    <t>ENV-0671</t>
  </si>
  <si>
    <t>ENV-0672</t>
  </si>
  <si>
    <t>ENV-0673</t>
  </si>
  <si>
    <t>ENV-0674</t>
  </si>
  <si>
    <t>ENV-0675</t>
  </si>
  <si>
    <t>ENV-0676</t>
  </si>
  <si>
    <t>ENV-0677</t>
  </si>
  <si>
    <t>ENV-0678</t>
  </si>
  <si>
    <t>ENV-0679</t>
  </si>
  <si>
    <t>ENV-0680</t>
  </si>
  <si>
    <t>ENV-0681</t>
  </si>
  <si>
    <t>ENV-0682</t>
  </si>
  <si>
    <t>ENV-0683</t>
  </si>
  <si>
    <t>ENV-0684</t>
  </si>
  <si>
    <t>ENV-0685</t>
  </si>
  <si>
    <t>ENV-0686</t>
  </si>
  <si>
    <t>María Poussepin</t>
  </si>
  <si>
    <t>ENV-0687</t>
  </si>
  <si>
    <t>ENV-0688</t>
  </si>
  <si>
    <t>ENV-0689</t>
  </si>
  <si>
    <t>ENV-0690</t>
  </si>
  <si>
    <t>ENV-0691</t>
  </si>
  <si>
    <t>ENV-0692</t>
  </si>
  <si>
    <t>ENV-0693</t>
  </si>
  <si>
    <t>ENV-0694</t>
  </si>
  <si>
    <t>ENV-0695</t>
  </si>
  <si>
    <t>ENV-0696</t>
  </si>
  <si>
    <t>ENV-0697</t>
  </si>
  <si>
    <t>ENV-0698</t>
  </si>
  <si>
    <t>ENV-0699</t>
  </si>
  <si>
    <t>ENV-0700</t>
  </si>
  <si>
    <t>ENV-0701</t>
  </si>
  <si>
    <t>ENV-0702</t>
  </si>
  <si>
    <t>ENV-0703</t>
  </si>
  <si>
    <t>ENV-0704</t>
  </si>
  <si>
    <t>ENV-0705</t>
  </si>
  <si>
    <t>ENV-0706</t>
  </si>
  <si>
    <t>ENV-0707</t>
  </si>
  <si>
    <t>Normal Superior</t>
  </si>
  <si>
    <t>ENV-0708</t>
  </si>
  <si>
    <t>ENV-0709</t>
  </si>
  <si>
    <t>ENV-0710</t>
  </si>
  <si>
    <t>ENV-0711</t>
  </si>
  <si>
    <t>ENV-0712</t>
  </si>
  <si>
    <t>ENV-0713</t>
  </si>
  <si>
    <t>ENV-0714</t>
  </si>
  <si>
    <t>ENV-0715</t>
  </si>
  <si>
    <t>ENV-0716</t>
  </si>
  <si>
    <t>ENV-0717</t>
  </si>
  <si>
    <t>ENV-0718</t>
  </si>
  <si>
    <t>ENV-0719</t>
  </si>
  <si>
    <t>ENV-0720</t>
  </si>
  <si>
    <t>ENV-0721</t>
  </si>
  <si>
    <t>ENV-0722</t>
  </si>
  <si>
    <t>ENV-0723</t>
  </si>
  <si>
    <t>ENV-0724</t>
  </si>
  <si>
    <t>ENV-0725</t>
  </si>
  <si>
    <t>ENV-0726</t>
  </si>
  <si>
    <t>ENV-0727</t>
  </si>
  <si>
    <t>ENV-0728</t>
  </si>
  <si>
    <t>ENV-0729</t>
  </si>
  <si>
    <t>ENV-0730</t>
  </si>
  <si>
    <t>ENV-0731</t>
  </si>
  <si>
    <t>ENV-0732</t>
  </si>
  <si>
    <t>ENV-0733</t>
  </si>
  <si>
    <t>ENV-0734</t>
  </si>
  <si>
    <t>ENV-0735</t>
  </si>
  <si>
    <t>ENV-0736</t>
  </si>
  <si>
    <t>ENV-0737</t>
  </si>
  <si>
    <t>ENV-0738</t>
  </si>
  <si>
    <t>ENV-0739</t>
  </si>
  <si>
    <t>ENV-0740</t>
  </si>
  <si>
    <t>ENV-0741</t>
  </si>
  <si>
    <t>ENV-0742</t>
  </si>
  <si>
    <t>ENV-0743</t>
  </si>
  <si>
    <t>ENV-0744</t>
  </si>
  <si>
    <t>ENV-0745</t>
  </si>
  <si>
    <t>ENV-0746</t>
  </si>
  <si>
    <t>ENV-0747</t>
  </si>
  <si>
    <t>ENV-0748</t>
  </si>
  <si>
    <t>ENV-0749</t>
  </si>
  <si>
    <t>ENV-0750</t>
  </si>
  <si>
    <t>ENV-0751</t>
  </si>
  <si>
    <t>ENV-0752</t>
  </si>
  <si>
    <t>ENV-0753</t>
  </si>
  <si>
    <t>ENV-0754</t>
  </si>
  <si>
    <t>ENV-0755</t>
  </si>
  <si>
    <t>ENV-0756</t>
  </si>
  <si>
    <t>ENV-0757</t>
  </si>
  <si>
    <t>ENV-0758</t>
  </si>
  <si>
    <t>ENV-0759</t>
  </si>
  <si>
    <t>ENV-0760</t>
  </si>
  <si>
    <t>ENV-0761</t>
  </si>
  <si>
    <t>ENV-0762</t>
  </si>
  <si>
    <t>ENV-0763</t>
  </si>
  <si>
    <t>ENV-0764</t>
  </si>
  <si>
    <t>ENV-0765</t>
  </si>
  <si>
    <t>ENV-0766</t>
  </si>
  <si>
    <t>ENV-0767</t>
  </si>
  <si>
    <t>ENV-0768</t>
  </si>
  <si>
    <t>ENV-0769</t>
  </si>
  <si>
    <t>ENV-0770</t>
  </si>
  <si>
    <t>ENV-0771</t>
  </si>
  <si>
    <t>ENV-0772</t>
  </si>
  <si>
    <t>ENV-0773</t>
  </si>
  <si>
    <t>ENV-0774</t>
  </si>
  <si>
    <t>ENV-0775</t>
  </si>
  <si>
    <t>ENV-0776</t>
  </si>
  <si>
    <t>ENV-0777</t>
  </si>
  <si>
    <t>ENV-0778</t>
  </si>
  <si>
    <t>ENV-0779</t>
  </si>
  <si>
    <t>ENV-0780</t>
  </si>
  <si>
    <t>ENV-0781</t>
  </si>
  <si>
    <t>ENV-0782</t>
  </si>
  <si>
    <t>ENV-0783</t>
  </si>
  <si>
    <t>ENV-0784</t>
  </si>
  <si>
    <t>ENV-0785</t>
  </si>
  <si>
    <t>ENV-0786</t>
  </si>
  <si>
    <t>ENV-0787</t>
  </si>
  <si>
    <t>ENV-0788</t>
  </si>
  <si>
    <t>ENV-0789</t>
  </si>
  <si>
    <t>ENV-0790</t>
  </si>
  <si>
    <t>ENV-0791</t>
  </si>
  <si>
    <t>ENV-0792</t>
  </si>
  <si>
    <t>ENV-0793</t>
  </si>
  <si>
    <t>ENV-0794</t>
  </si>
  <si>
    <t>ENV-0795</t>
  </si>
  <si>
    <t>ENV-0796</t>
  </si>
  <si>
    <t>ENV-0797</t>
  </si>
  <si>
    <t>ENV-0798</t>
  </si>
  <si>
    <t>ENV-0799</t>
  </si>
  <si>
    <t>ENV-0800</t>
  </si>
  <si>
    <t>ENV-0801</t>
  </si>
  <si>
    <t>ENV-0802</t>
  </si>
  <si>
    <t>ENV-0803</t>
  </si>
  <si>
    <t>ENV-0804</t>
  </si>
  <si>
    <t>ENV-0805</t>
  </si>
  <si>
    <t>ENV-0806</t>
  </si>
  <si>
    <t>ENV-0807</t>
  </si>
  <si>
    <t>ENV-0808</t>
  </si>
  <si>
    <t>ENV-0809</t>
  </si>
  <si>
    <t>ENV-0810</t>
  </si>
  <si>
    <t>ENV-0811</t>
  </si>
  <si>
    <t>ENV-0812</t>
  </si>
  <si>
    <t>ENV-0813</t>
  </si>
  <si>
    <t>ENV-0814</t>
  </si>
  <si>
    <t>ENV-0815</t>
  </si>
  <si>
    <t>ENV-0816</t>
  </si>
  <si>
    <t>ENV-0817</t>
  </si>
  <si>
    <t>ENV-0818</t>
  </si>
  <si>
    <t>ENV-0819</t>
  </si>
  <si>
    <t>ENV-0820</t>
  </si>
  <si>
    <t>ENV-0821</t>
  </si>
  <si>
    <t>ENV-0822</t>
  </si>
  <si>
    <t>ENV-0823</t>
  </si>
  <si>
    <t>ENV-0824</t>
  </si>
  <si>
    <t>ENV-0825</t>
  </si>
  <si>
    <t>ENV-0826</t>
  </si>
  <si>
    <t>ENV-0827</t>
  </si>
  <si>
    <t>ENV-0828</t>
  </si>
  <si>
    <t>ENV-0829</t>
  </si>
  <si>
    <t>ENV-0830</t>
  </si>
  <si>
    <t>ENV-0831</t>
  </si>
  <si>
    <t>ENV-0832</t>
  </si>
  <si>
    <t>ENV-0833</t>
  </si>
  <si>
    <t>ENV-0834</t>
  </si>
  <si>
    <t>ENV-0835</t>
  </si>
  <si>
    <t>ENV-0836</t>
  </si>
  <si>
    <t>ENV-0837</t>
  </si>
  <si>
    <t>ENV-0838</t>
  </si>
  <si>
    <t>ENV-0839</t>
  </si>
  <si>
    <t>ENV-0840</t>
  </si>
  <si>
    <t>ENV-0841</t>
  </si>
  <si>
    <t>ENV-0842</t>
  </si>
  <si>
    <t>ENV-0843</t>
  </si>
  <si>
    <t>ENV-0844</t>
  </si>
  <si>
    <t>ENV-0845</t>
  </si>
  <si>
    <t>ENV-0846</t>
  </si>
  <si>
    <t>ENV-0847</t>
  </si>
  <si>
    <t>ENV-0848</t>
  </si>
  <si>
    <t>ENV-0849</t>
  </si>
  <si>
    <t>ENV-0850</t>
  </si>
  <si>
    <t>ENV-0851</t>
  </si>
  <si>
    <t>ENV-0852</t>
  </si>
  <si>
    <t>ENV-0853</t>
  </si>
  <si>
    <t>ENV-0854</t>
  </si>
  <si>
    <t>Salado</t>
  </si>
  <si>
    <t>ENV-0855</t>
  </si>
  <si>
    <t>ENV-0856</t>
  </si>
  <si>
    <t>ENV-0857</t>
  </si>
  <si>
    <t>ENV-0858</t>
  </si>
  <si>
    <t>ENV-0859</t>
  </si>
  <si>
    <t>ENV-0860</t>
  </si>
  <si>
    <t>ENV-0861</t>
  </si>
  <si>
    <t>ENV-0862</t>
  </si>
  <si>
    <t>ENV-0863</t>
  </si>
  <si>
    <t>ENV-0864</t>
  </si>
  <si>
    <t>ENV-0865</t>
  </si>
  <si>
    <t>ENV-0866</t>
  </si>
  <si>
    <t>ENV-0867</t>
  </si>
  <si>
    <t>ENV-0868</t>
  </si>
  <si>
    <t>ENV-0869</t>
  </si>
  <si>
    <t>ENV-0870</t>
  </si>
  <si>
    <t>ENV-0871</t>
  </si>
  <si>
    <t>ENV-0872</t>
  </si>
  <si>
    <t>ENV-0873</t>
  </si>
  <si>
    <t>ENV-0874</t>
  </si>
  <si>
    <t>ENV-0875</t>
  </si>
  <si>
    <t>ENV-0876</t>
  </si>
  <si>
    <t>ENV-0877</t>
  </si>
  <si>
    <t>ENV-0878</t>
  </si>
  <si>
    <t>ENV-0879</t>
  </si>
  <si>
    <t>ENV-0880</t>
  </si>
  <si>
    <t>ENV-0881</t>
  </si>
  <si>
    <t>ENV-0882</t>
  </si>
  <si>
    <t>ENV-0883</t>
  </si>
  <si>
    <t>ENV-0884</t>
  </si>
  <si>
    <t>ENV-0885</t>
  </si>
  <si>
    <t>ENV-0886</t>
  </si>
  <si>
    <t>ENV-0887</t>
  </si>
  <si>
    <t>ENV-0888</t>
  </si>
  <si>
    <t>ENV-0889</t>
  </si>
  <si>
    <t>ENV-0890</t>
  </si>
  <si>
    <t>ENV-0891</t>
  </si>
  <si>
    <t>ENV-0892</t>
  </si>
  <si>
    <t>ENV-0893</t>
  </si>
  <si>
    <t>ENV-0894</t>
  </si>
  <si>
    <t>ENV-0895</t>
  </si>
  <si>
    <t>ENV-0896</t>
  </si>
  <si>
    <t>ENV-0897</t>
  </si>
  <si>
    <t>ENV-0898</t>
  </si>
  <si>
    <t>ENV-0899</t>
  </si>
  <si>
    <t>ENV-0900</t>
  </si>
  <si>
    <t>ENV-0901</t>
  </si>
  <si>
    <t>ENV-0902</t>
  </si>
  <si>
    <t>ENV-0903</t>
  </si>
  <si>
    <t>ENV-0904</t>
  </si>
  <si>
    <t>ENV-0905</t>
  </si>
  <si>
    <t>ENV-0906</t>
  </si>
  <si>
    <t>ENV-0907</t>
  </si>
  <si>
    <t>San Vicente</t>
  </si>
  <si>
    <t>ENV-0908</t>
  </si>
  <si>
    <t>ENV-0909</t>
  </si>
  <si>
    <t>ENV-0910</t>
  </si>
  <si>
    <t>ENV-0911</t>
  </si>
  <si>
    <t>ENV-0912</t>
  </si>
  <si>
    <t>ENV-0913</t>
  </si>
  <si>
    <t>ENV-0914</t>
  </si>
  <si>
    <t>ENV-0915</t>
  </si>
  <si>
    <t>ENV-0916</t>
  </si>
  <si>
    <t>ENV-0917</t>
  </si>
  <si>
    <t>ENV-0918</t>
  </si>
  <si>
    <t>ENV-0919</t>
  </si>
  <si>
    <t>ENV-0920</t>
  </si>
  <si>
    <t>ENV-0921</t>
  </si>
  <si>
    <t>ENV-0922</t>
  </si>
  <si>
    <t>ENV-0923</t>
  </si>
  <si>
    <t>ENV-0924</t>
  </si>
  <si>
    <t>ENV-0925</t>
  </si>
  <si>
    <t>ENV-0926</t>
  </si>
  <si>
    <t>ENV-0927</t>
  </si>
  <si>
    <t>ENV-0928</t>
  </si>
  <si>
    <t>ENV-0929</t>
  </si>
  <si>
    <t>ENV-0930</t>
  </si>
  <si>
    <t>ENV-0931</t>
  </si>
  <si>
    <t>ENV-0932</t>
  </si>
  <si>
    <t>ENV-0933</t>
  </si>
  <si>
    <t>ENV-0934</t>
  </si>
  <si>
    <t>ENV-0935</t>
  </si>
  <si>
    <t>ENV-0936</t>
  </si>
  <si>
    <t>ENV-0937</t>
  </si>
  <si>
    <t>ENV-0938</t>
  </si>
  <si>
    <t>TAB-0001</t>
  </si>
  <si>
    <t>I.E. Rural el Tablazo</t>
  </si>
  <si>
    <t>11-01</t>
  </si>
  <si>
    <t>TAB-0002</t>
  </si>
  <si>
    <t>TAB-0003</t>
  </si>
  <si>
    <t>TAB-0004</t>
  </si>
  <si>
    <t>TAB-0005</t>
  </si>
  <si>
    <t>TAB-0006</t>
  </si>
  <si>
    <t>TAB-0007</t>
  </si>
  <si>
    <t>TAB-0008</t>
  </si>
  <si>
    <t>TAB-0009</t>
  </si>
  <si>
    <t>TAB-0010</t>
  </si>
  <si>
    <t>TAB-0011</t>
  </si>
  <si>
    <t>TAB-0012</t>
  </si>
  <si>
    <t>TAB-0013</t>
  </si>
  <si>
    <t>TAB-0014</t>
  </si>
  <si>
    <t>TAB-0015</t>
  </si>
  <si>
    <t>TAB-0016</t>
  </si>
  <si>
    <t>TAB-0017</t>
  </si>
  <si>
    <t>TAB-0018</t>
  </si>
  <si>
    <t>TAB-0019</t>
  </si>
  <si>
    <t>TAB-0020</t>
  </si>
  <si>
    <t>TAB-0021</t>
  </si>
  <si>
    <t>TAB-0022</t>
  </si>
  <si>
    <t>RIO-ANA GOMEZ-10</t>
  </si>
  <si>
    <t>Ana Gomez</t>
  </si>
  <si>
    <t>RIO-ANA GOMEZ-11</t>
  </si>
  <si>
    <t>RIO-ANA GOMEZ-12</t>
  </si>
  <si>
    <t>RIO-ANA GOMEZ-13</t>
  </si>
  <si>
    <t>RIO-ANA GOMEZ-14</t>
  </si>
  <si>
    <t>RIO-ANA GOMEZ-16</t>
  </si>
  <si>
    <t>RIO-ANA GOMEZ-17</t>
  </si>
  <si>
    <t>RIO-ANA GOMEZ-18</t>
  </si>
  <si>
    <t>RIO-ANA GOMEZ-19</t>
  </si>
  <si>
    <t>RIO-ANA GOMEZ-20</t>
  </si>
  <si>
    <t>RIO-ANA GOMEZ-23</t>
  </si>
  <si>
    <t>RIO-ANA GOMEZ-24</t>
  </si>
  <si>
    <t>RIO-ANA GOMEZ-25</t>
  </si>
  <si>
    <t>RIO-ANA GOMEZ-26</t>
  </si>
  <si>
    <t>RIO-ANA GOMEZ-27</t>
  </si>
  <si>
    <t>RIO-ANA GOMEZ-28</t>
  </si>
  <si>
    <t>RIO-ANA GOMEZ-29</t>
  </si>
  <si>
    <t>RIO-ANA GOMEZ-3</t>
  </si>
  <si>
    <t>RIO-ANA GOMEZ-30</t>
  </si>
  <si>
    <t>RIO-ANA GOMEZ-31</t>
  </si>
  <si>
    <t>RIO-ANA GOMEZ-32</t>
  </si>
  <si>
    <t>RIO-ANA GOMEZ-33</t>
  </si>
  <si>
    <t>RIO-ANA GOMEZ-34</t>
  </si>
  <si>
    <t>RIO-ANA GOMEZ-37</t>
  </si>
  <si>
    <t>RIO-ANA GOMEZ-38</t>
  </si>
  <si>
    <t>RIO-ANA GOMEZ-39</t>
  </si>
  <si>
    <t>RIO-ANA GOMEZ-4</t>
  </si>
  <si>
    <t>RIO-ANA GOMEZ-40</t>
  </si>
  <si>
    <t>RIO-ANA GOMEZ-41</t>
  </si>
  <si>
    <t>RIO-ANA GOMEZ-5</t>
  </si>
  <si>
    <t>RIO-ANA GOMEZ-6</t>
  </si>
  <si>
    <t>RIO-ANA GOMEZ-7</t>
  </si>
  <si>
    <t>RIO-ANA GOMEZ-8</t>
  </si>
  <si>
    <t>RIO-ANA GOMEZ-9</t>
  </si>
  <si>
    <t>RIO-ANTONIO DONADO-1</t>
  </si>
  <si>
    <t>Antonio Donado</t>
  </si>
  <si>
    <t>RIO-ANTONIO DONADO-10</t>
  </si>
  <si>
    <t>RIO-ANTONIO DONADO-11</t>
  </si>
  <si>
    <t>RIO-ANTONIO DONADO-12</t>
  </si>
  <si>
    <t>RIO-ANTONIO DONADO-13</t>
  </si>
  <si>
    <t>RIO-ANTONIO DONADO-14</t>
  </si>
  <si>
    <t>RIO-ANTONIO DONADO-15</t>
  </si>
  <si>
    <t>RIO-ANTONIO DONADO-16</t>
  </si>
  <si>
    <t>RIO-ANTONIO DONADO-17</t>
  </si>
  <si>
    <t>RIO-ANTONIO DONADO-18</t>
  </si>
  <si>
    <t>RIO-ANTONIO DONADO-19</t>
  </si>
  <si>
    <t>RIO-ANTONIO DONADO-2</t>
  </si>
  <si>
    <t>RIO-ANTONIO DONADO-20</t>
  </si>
  <si>
    <t>RIO-ANTONIO DONADO-21</t>
  </si>
  <si>
    <t>RIO-ANTONIO DONADO-22</t>
  </si>
  <si>
    <t>RIO-ANTONIO DONADO-23</t>
  </si>
  <si>
    <t>RIO-ANTONIO DONADO-24</t>
  </si>
  <si>
    <t>RIO-ANTONIO DONADO-25</t>
  </si>
  <si>
    <t>RIO-ANTONIO DONADO-26</t>
  </si>
  <si>
    <t>RIO-ANTONIO DONADO-27</t>
  </si>
  <si>
    <t>RIO-ANTONIO DONADO-28</t>
  </si>
  <si>
    <t>RIO-ANTONIO DONADO-3</t>
  </si>
  <si>
    <t>RIO-ANTONIO DONADO-4</t>
  </si>
  <si>
    <t>RIO-ANTONIO DONADO-5</t>
  </si>
  <si>
    <t>RIO-ANTONIO DONADO-6</t>
  </si>
  <si>
    <t>RIO-ANTONIO DONADO-7</t>
  </si>
  <si>
    <t>RIO-ANTONIO DONADO-8</t>
  </si>
  <si>
    <t>RIO-ANTONIO DONADO-9</t>
  </si>
  <si>
    <t>RIO-BALTAZAR SALAZAR-1</t>
  </si>
  <si>
    <t>Baltazar Salazar</t>
  </si>
  <si>
    <t>RIO-BALTAZAR SALAZAR-10</t>
  </si>
  <si>
    <t>RIO-BALTAZAR SALAZAR-11</t>
  </si>
  <si>
    <t>RIO-BALTAZAR SALAZAR-12</t>
  </si>
  <si>
    <t>RIO-BALTAZAR SALAZAR-13</t>
  </si>
  <si>
    <t>RIO-BALTAZAR SALAZAR-14</t>
  </si>
  <si>
    <t>RIO-BALTAZAR SALAZAR-15</t>
  </si>
  <si>
    <t>RIO-BALTAZAR SALAZAR-16</t>
  </si>
  <si>
    <t>RIO-BALTAZAR SALAZAR-17</t>
  </si>
  <si>
    <t>RIO-BALTAZAR SALAZAR-2</t>
  </si>
  <si>
    <t>RIO-BALTAZAR SALAZAR-3</t>
  </si>
  <si>
    <t>RIO-BALTAZAR SALAZAR-4</t>
  </si>
  <si>
    <t>RIO-BALTAZAR SALAZAR-5</t>
  </si>
  <si>
    <t>RIO-BALTAZAR SALAZAR-6</t>
  </si>
  <si>
    <t>RIO-BALTAZAR SALAZAR-7</t>
  </si>
  <si>
    <t>RIO-BALTAZAR SALAZAR-8</t>
  </si>
  <si>
    <t>RIO-BALTAZAR SALAZAR-9</t>
  </si>
  <si>
    <t>RIO-BARRO BLANCO-1</t>
  </si>
  <si>
    <t>Barro Blanco</t>
  </si>
  <si>
    <t>RIO-BARRO BLANCO-10</t>
  </si>
  <si>
    <t>RIO-BARRO BLANCO-11</t>
  </si>
  <si>
    <t>RIO-BARRO BLANCO-12</t>
  </si>
  <si>
    <t>RIO-BARRO BLANCO-13</t>
  </si>
  <si>
    <t>RIO-BARRO BLANCO-14</t>
  </si>
  <si>
    <t>RIO-BARRO BLANCO-15</t>
  </si>
  <si>
    <t>RIO-BARRO BLANCO-16</t>
  </si>
  <si>
    <t>RIO-BARRO BLANCO-17</t>
  </si>
  <si>
    <t>RIO-BARRO BLANCO-18</t>
  </si>
  <si>
    <t>RIO-BARRO BLANCO-19</t>
  </si>
  <si>
    <t>RIO-BARRO BLANCO-2</t>
  </si>
  <si>
    <t>RIO-BARRO BLANCO-20</t>
  </si>
  <si>
    <t>RIO-BARRO BLANCO-21</t>
  </si>
  <si>
    <t>RIO-BARRO BLANCO-22</t>
  </si>
  <si>
    <t>RIO-BARRO BLANCO-23</t>
  </si>
  <si>
    <t>RIO-BARRO BLANCO-24</t>
  </si>
  <si>
    <t>RIO-BARRO BLANCO-25</t>
  </si>
  <si>
    <t>RIO-BARRO BLANCO-26</t>
  </si>
  <si>
    <t>RIO-BARRO BLANCO-27</t>
  </si>
  <si>
    <t>RIO-BARRO BLANCO-28</t>
  </si>
  <si>
    <t>RIO-BARRO BLANCO-29</t>
  </si>
  <si>
    <t>RIO-BARRO BLANCO-3</t>
  </si>
  <si>
    <t>RIO-BARRO BLANCO-30</t>
  </si>
  <si>
    <t>RIO-BARRO BLANCO-31</t>
  </si>
  <si>
    <t>RIO-BARRO BLANCO-32</t>
  </si>
  <si>
    <t>RIO-BARRO BLANCO-33</t>
  </si>
  <si>
    <t>RIO-BARRO BLANCO-34</t>
  </si>
  <si>
    <t>RIO-BARRO BLANCO-35</t>
  </si>
  <si>
    <t>RIO-BARRO BLANCO-36</t>
  </si>
  <si>
    <t>RIO-BARRO BLANCO-37</t>
  </si>
  <si>
    <t>RIO-BARRO BLANCO-38</t>
  </si>
  <si>
    <t>RIO-BARRO BLANCO-39</t>
  </si>
  <si>
    <t>RIO-BARRO BLANCO-4</t>
  </si>
  <si>
    <t>RIO-BARRO BLANCO-40</t>
  </si>
  <si>
    <t>RIO-BARRO BLANCO-41</t>
  </si>
  <si>
    <t>RIO-BARRO BLANCO-42</t>
  </si>
  <si>
    <t>RIO-BARRO BLANCO-5</t>
  </si>
  <si>
    <t>RIO-BARRO BLANCO-6</t>
  </si>
  <si>
    <t>RIO-BARRO BLANCO-7</t>
  </si>
  <si>
    <t>RIO-BARRO BLANCO-9</t>
  </si>
  <si>
    <t>RIO-DOMINGO SAVIO-1</t>
  </si>
  <si>
    <t>Domingo Savio</t>
  </si>
  <si>
    <t>RIO-DOMINGO SAVIO-10</t>
  </si>
  <si>
    <t>RIO-DOMINGO SAVIO-12</t>
  </si>
  <si>
    <t>RIO-DOMINGO SAVIO-13</t>
  </si>
  <si>
    <t>RIO-DOMINGO SAVIO-14</t>
  </si>
  <si>
    <t>RIO-DOMINGO SAVIO-15</t>
  </si>
  <si>
    <t>RIO-DOMINGO SAVIO-16</t>
  </si>
  <si>
    <t>RIO-DOMINGO SAVIO-17</t>
  </si>
  <si>
    <t>RIO-DOMINGO SAVIO-18</t>
  </si>
  <si>
    <t>RIO-DOMINGO SAVIO-19</t>
  </si>
  <si>
    <t>RIO-DOMINGO SAVIO-2</t>
  </si>
  <si>
    <t>RIO-DOMINGO SAVIO-20</t>
  </si>
  <si>
    <t>RIO-DOMINGO SAVIO-21</t>
  </si>
  <si>
    <t>RIO-DOMINGO SAVIO-22</t>
  </si>
  <si>
    <t>RIO-DOMINGO SAVIO-23</t>
  </si>
  <si>
    <t>RIO-DOMINGO SAVIO-3</t>
  </si>
  <si>
    <t>RIO-DOMINGO SAVIO-4</t>
  </si>
  <si>
    <t>RIO-DOMINGO SAVIO-5</t>
  </si>
  <si>
    <t>RIO-DOMINGO SAVIO-6</t>
  </si>
  <si>
    <t>RIO-DOMINGO SAVIO-7</t>
  </si>
  <si>
    <t>RIO-DOMINGO SAVIO-8</t>
  </si>
  <si>
    <t>RIO-DOMINGO SAVIO-9</t>
  </si>
  <si>
    <t>RIO-GILBERTO ECHEVERRY-1</t>
  </si>
  <si>
    <t>Gilberto Echeverry</t>
  </si>
  <si>
    <t>RIO-GILBERTO ECHEVERRY-10</t>
  </si>
  <si>
    <t>RIO-GILBERTO ECHEVERRY-11</t>
  </si>
  <si>
    <t>RIO-GILBERTO ECHEVERRY-12</t>
  </si>
  <si>
    <t>RIO-GILBERTO ECHEVERRY-13</t>
  </si>
  <si>
    <t>RIO-GILBERTO ECHEVERRY-14</t>
  </si>
  <si>
    <t>RIO-GILBERTO ECHEVERRY-15</t>
  </si>
  <si>
    <t>RIO-GILBERTO ECHEVERRY-16</t>
  </si>
  <si>
    <t>RIO-GILBERTO ECHEVERRY-17</t>
  </si>
  <si>
    <t>RIO-GILBERTO ECHEVERRY-18</t>
  </si>
  <si>
    <t>RIO-GILBERTO ECHEVERRY-19</t>
  </si>
  <si>
    <t>RIO-GILBERTO ECHEVERRY-2</t>
  </si>
  <si>
    <t>RIO-GILBERTO ECHEVERRY-20</t>
  </si>
  <si>
    <t>RIO-GILBERTO ECHEVERRY-21</t>
  </si>
  <si>
    <t>RIO-GILBERTO ECHEVERRY-22</t>
  </si>
  <si>
    <t>RIO-GILBERTO ECHEVERRY-23</t>
  </si>
  <si>
    <t>RIO-GILBERTO ECHEVERRY-24</t>
  </si>
  <si>
    <t>RIO-GILBERTO ECHEVERRY-25</t>
  </si>
  <si>
    <t>RIO-GILBERTO ECHEVERRY-26</t>
  </si>
  <si>
    <t>RIO-GILBERTO ECHEVERRY-27</t>
  </si>
  <si>
    <t>RIO-GILBERTO ECHEVERRY-28</t>
  </si>
  <si>
    <t>RIO-GILBERTO ECHEVERRY-29</t>
  </si>
  <si>
    <t>RIO-GILBERTO ECHEVERRY-3</t>
  </si>
  <si>
    <t>RIO-GILBERTO ECHEVERRY-30</t>
  </si>
  <si>
    <t>RIO-GILBERTO ECHEVERRY-31</t>
  </si>
  <si>
    <t>RIO-GILBERTO ECHEVERRY-32</t>
  </si>
  <si>
    <t>RIO-GILBERTO ECHEVERRY-33</t>
  </si>
  <si>
    <t>RIO-GILBERTO ECHEVERRY-34</t>
  </si>
  <si>
    <t>RIO-GILBERTO ECHEVERRY-35</t>
  </si>
  <si>
    <t>RIO-GILBERTO ECHEVERRY-36</t>
  </si>
  <si>
    <t>RIO-GILBERTO ECHEVERRY-37</t>
  </si>
  <si>
    <t>RIO-GILBERTO ECHEVERRY-38</t>
  </si>
  <si>
    <t>RIO-GILBERTO ECHEVERRY-39</t>
  </si>
  <si>
    <t>RIO-GILBERTO ECHEVERRY-4</t>
  </si>
  <si>
    <t>RIO-GILBERTO ECHEVERRY-40</t>
  </si>
  <si>
    <t>RIO-GILBERTO ECHEVERRY-41</t>
  </si>
  <si>
    <t>RIO-GILBERTO ECHEVERRY-42</t>
  </si>
  <si>
    <t>RIO-GILBERTO ECHEVERRY-43</t>
  </si>
  <si>
    <t>RIO-GILBERTO ECHEVERRY-44</t>
  </si>
  <si>
    <t>RIO-GILBERTO ECHEVERRY-45</t>
  </si>
  <si>
    <t>RIO-GILBERTO ECHEVERRY-46</t>
  </si>
  <si>
    <t>RIO-GILBERTO ECHEVERRY-47</t>
  </si>
  <si>
    <t>RIO-GILBERTO ECHEVERRY-48</t>
  </si>
  <si>
    <t>RIO-GILBERTO ECHEVERRY-49</t>
  </si>
  <si>
    <t>RIO-GILBERTO ECHEVERRY-5</t>
  </si>
  <si>
    <t>RIO-GILBERTO ECHEVERRY-50</t>
  </si>
  <si>
    <t>RIO-GILBERTO ECHEVERRY-51</t>
  </si>
  <si>
    <t>RIO-GILBERTO ECHEVERRY-52</t>
  </si>
  <si>
    <t>RIO-GILBERTO ECHEVERRY-53</t>
  </si>
  <si>
    <t>RIO-GILBERTO ECHEVERRY-54</t>
  </si>
  <si>
    <t>RIO-GILBERTO ECHEVERRY-55</t>
  </si>
  <si>
    <t>RIO-GILBERTO ECHEVERRY-6</t>
  </si>
  <si>
    <t>RIO-GILBERTO ECHEVERRY-7</t>
  </si>
  <si>
    <t>RIO-GILBERTO ECHEVERRY-8</t>
  </si>
  <si>
    <t>RIO-GILBERTO ECHEVERRY-9</t>
  </si>
  <si>
    <t>RIO-GUILLERMO GAVIRIA-1</t>
  </si>
  <si>
    <t>Guillermo Gaviria</t>
  </si>
  <si>
    <t>RIO-GUILLERMO GAVIRIA-10</t>
  </si>
  <si>
    <t>RIO-GUILLERMO GAVIRIA-11</t>
  </si>
  <si>
    <t>RIO-GUILLERMO GAVIRIA-12</t>
  </si>
  <si>
    <t>RIO-GUILLERMO GAVIRIA-13</t>
  </si>
  <si>
    <t>RIO-GUILLERMO GAVIRIA-2</t>
  </si>
  <si>
    <t>RIO-GUILLERMO GAVIRIA-3</t>
  </si>
  <si>
    <t>RIO-GUILLERMO GAVIRIA-4</t>
  </si>
  <si>
    <t>RIO-GUILLERMO GAVIRIA-5</t>
  </si>
  <si>
    <t>RIO-GUILLERMO GAVIRIA-6</t>
  </si>
  <si>
    <t>RIO-GUILLERMO GAVIRIA-7</t>
  </si>
  <si>
    <t>RIO-GUILLERMO GAVIRIA-8</t>
  </si>
  <si>
    <t>RIO-GUILLERMO GAVIRIA-9</t>
  </si>
  <si>
    <t>RIO-JOSE MARIA CORDOBA-1</t>
  </si>
  <si>
    <t>Jose Maria Cordoba</t>
  </si>
  <si>
    <t>RIO-JOSE MARIA CORDOBA-10</t>
  </si>
  <si>
    <t>RIO-JOSE MARIA CORDOBA-11</t>
  </si>
  <si>
    <t>RIO-JOSE MARIA CORDOBA-12</t>
  </si>
  <si>
    <t>RIO-JOSE MARIA CORDOBA-13</t>
  </si>
  <si>
    <t>RIO-JOSE MARIA CORDOBA-14</t>
  </si>
  <si>
    <t>RIO-JOSE MARIA CORDOBA-15</t>
  </si>
  <si>
    <t>RIO-JOSE MARIA CORDOBA-16</t>
  </si>
  <si>
    <t>RIO-JOSE MARIA CORDOBA-17</t>
  </si>
  <si>
    <t>RIO-JOSE MARIA CORDOBA-18</t>
  </si>
  <si>
    <t>RIO-JOSE MARIA CORDOBA-19</t>
  </si>
  <si>
    <t>RIO-JOSE MARIA CORDOBA-2</t>
  </si>
  <si>
    <t>RIO-JOSE MARIA CORDOBA-20</t>
  </si>
  <si>
    <t>RIO-JOSE MARIA CORDOBA-21</t>
  </si>
  <si>
    <t>RIO-JOSE MARIA CORDOBA-22</t>
  </si>
  <si>
    <t>RIO-JOSE MARIA CORDOBA-23</t>
  </si>
  <si>
    <t>RIO-JOSE MARIA CORDOBA-24</t>
  </si>
  <si>
    <t>RIO-JOSE MARIA CORDOBA-25</t>
  </si>
  <si>
    <t>RIO-JOSE MARIA CORDOBA-26</t>
  </si>
  <si>
    <t>RIO-JOSE MARIA CORDOBA-27</t>
  </si>
  <si>
    <t>RIO-JOSE MARIA CORDOBA-28</t>
  </si>
  <si>
    <t>RIO-JOSE MARIA CORDOBA-29</t>
  </si>
  <si>
    <t>RIO-JOSE MARIA CORDOBA-30</t>
  </si>
  <si>
    <t>RIO-JOSE MARIA CORDOBA-31</t>
  </si>
  <si>
    <t>RIO-JOSE MARIA CORDOBA-32</t>
  </si>
  <si>
    <t>RIO-JOSE MARIA CORDOBA-33</t>
  </si>
  <si>
    <t>RIO-JOSE MARIA CORDOBA-34</t>
  </si>
  <si>
    <t>RIO-JOSE MARIA CORDOBA-35</t>
  </si>
  <si>
    <t>RIO-JOSE MARIA CORDOBA-36</t>
  </si>
  <si>
    <t>RIO-JOSE MARIA CORDOBA-37</t>
  </si>
  <si>
    <t>RIO-JOSE MARIA CORDOBA-38</t>
  </si>
  <si>
    <t>RIO-JOSE MARIA CORDOBA-39</t>
  </si>
  <si>
    <t>RIO-JOSE MARIA CORDOBA-4</t>
  </si>
  <si>
    <t>RIO-JOSE MARIA CORDOBA-5</t>
  </si>
  <si>
    <t>RIO-JOSE MARIA CORDOBA-6</t>
  </si>
  <si>
    <t>RIO-JOSE MARIA CORDOBA-7</t>
  </si>
  <si>
    <t>RIO-JOSE MARIA CORDOBA-8</t>
  </si>
  <si>
    <t>RIO-JOSE MARIA CORDOBA-9</t>
  </si>
  <si>
    <t>RIO-LA MOSQUITA-10</t>
  </si>
  <si>
    <t>La Mosquita</t>
  </si>
  <si>
    <t>RIO-LA MOSQUITA-11</t>
  </si>
  <si>
    <t>RIO-LA MOSQUITA-12</t>
  </si>
  <si>
    <t>RIO-LA MOSQUITA-13</t>
  </si>
  <si>
    <t>RIO-LA MOSQUITA-14</t>
  </si>
  <si>
    <t>RIO-LA MOSQUITA-15</t>
  </si>
  <si>
    <t>RIO-LA MOSQUITA-16</t>
  </si>
  <si>
    <t>RIO-LA MOSQUITA-17</t>
  </si>
  <si>
    <t>RIO-LA MOSQUITA-18</t>
  </si>
  <si>
    <t>RIO-LA MOSQUITA-19</t>
  </si>
  <si>
    <t>RIO-LA MOSQUITA-2</t>
  </si>
  <si>
    <t>RIO-LA MOSQUITA-20</t>
  </si>
  <si>
    <t>RIO-LA MOSQUITA-21</t>
  </si>
  <si>
    <t>RIO-LA MOSQUITA-22</t>
  </si>
  <si>
    <t>RIO-LA MOSQUITA-3</t>
  </si>
  <si>
    <t>RIO-LA MOSQUITA-4</t>
  </si>
  <si>
    <t>RIO-LA MOSQUITA-5</t>
  </si>
  <si>
    <t>RIO-LA MOSQUITA-6</t>
  </si>
  <si>
    <t>RIO-LA MOSQUITA-7</t>
  </si>
  <si>
    <t>RIO-LA MOSQUITA-8</t>
  </si>
  <si>
    <t>RIO-LA MOSQUITA-9</t>
  </si>
  <si>
    <t>RIO-SAN JOSE DE LAS CUCHILLAS-10</t>
  </si>
  <si>
    <t>San Jose de las Cuchillas</t>
  </si>
  <si>
    <t>RIO-SAN JOSE DE LAS CUCHILLAS-11</t>
  </si>
  <si>
    <t>RIO-SAN JOSE DE LAS CUCHILLAS-12</t>
  </si>
  <si>
    <t>RIO-SAN JOSE DE LAS CUCHILLAS-13</t>
  </si>
  <si>
    <t>RIO-SAN JOSE DE LAS CUCHILLAS-14</t>
  </si>
  <si>
    <t>RIO-SAN JOSE DE LAS CUCHILLAS-15</t>
  </si>
  <si>
    <t>RIO-SAN JOSE DE LAS CUCHILLAS-17</t>
  </si>
  <si>
    <t>RIO-SAN JOSE DE LAS CUCHILLAS-18</t>
  </si>
  <si>
    <t>RIO-SAN JOSE DE LAS CUCHILLAS-19</t>
  </si>
  <si>
    <t>RIO-SAN JOSE DE LAS CUCHILLAS-2</t>
  </si>
  <si>
    <t>RIO-SAN JOSE DE LAS CUCHILLAS-20</t>
  </si>
  <si>
    <t>RIO-SAN JOSE DE LAS CUCHILLAS-21</t>
  </si>
  <si>
    <t>RIO-SAN JOSE DE LAS CUCHILLAS-22</t>
  </si>
  <si>
    <t>RIO-SAN JOSE DE LAS CUCHILLAS-23</t>
  </si>
  <si>
    <t>RIO-SAN JOSE DE LAS CUCHILLAS-24</t>
  </si>
  <si>
    <t>RIO-SAN JOSE DE LAS CUCHILLAS-25</t>
  </si>
  <si>
    <t>RIO-SAN JOSE DE LAS CUCHILLAS-26</t>
  </si>
  <si>
    <t>RIO-SAN JOSE DE LAS CUCHILLAS-27</t>
  </si>
  <si>
    <t>RIO-SAN JOSE DE LAS CUCHILLAS-28</t>
  </si>
  <si>
    <t>RIO-SAN JOSE DE LAS CUCHILLAS-29</t>
  </si>
  <si>
    <t>RIO-SAN JOSE DE LAS CUCHILLAS-3</t>
  </si>
  <si>
    <t>RIO-SAN JOSE DE LAS CUCHILLAS-30</t>
  </si>
  <si>
    <t>RIO-SAN JOSE DE LAS CUCHILLAS-31</t>
  </si>
  <si>
    <t>RIO-SAN JOSE DE LAS CUCHILLAS-32</t>
  </si>
  <si>
    <t>RIO-SAN JOSE DE LAS CUCHILLAS-33</t>
  </si>
  <si>
    <t>RIO-SAN JOSE DE LAS CUCHILLAS-34</t>
  </si>
  <si>
    <t>RIO-SAN JOSE DE LAS CUCHILLAS-35</t>
  </si>
  <si>
    <t>RIO-SAN JOSE DE LAS CUCHILLAS-36</t>
  </si>
  <si>
    <t>RIO-SAN JOSE DE LAS CUCHILLAS-37</t>
  </si>
  <si>
    <t>RIO-SAN JOSE DE LAS CUCHILLAS-38</t>
  </si>
  <si>
    <t>RIO-SAN JOSE DE LAS CUCHILLAS-39</t>
  </si>
  <si>
    <t>RIO-SAN JOSE DE LAS CUCHILLAS-4</t>
  </si>
  <si>
    <t>RIO-SAN JOSE DE LAS CUCHILLAS-40</t>
  </si>
  <si>
    <t>RIO-SAN JOSE DE LAS CUCHILLAS-41</t>
  </si>
  <si>
    <t>RIO-SAN JOSE DE LAS CUCHILLAS-42</t>
  </si>
  <si>
    <t>RIO-SAN JOSE DE LAS CUCHILLAS-43</t>
  </si>
  <si>
    <t>RIO-SAN JOSE DE LAS CUCHILLAS-44</t>
  </si>
  <si>
    <t>RIO-SAN JOSE DE LAS CUCHILLAS-45</t>
  </si>
  <si>
    <t>RIO-SAN JOSE DE LAS CUCHILLAS-46</t>
  </si>
  <si>
    <t>RIO-SAN JOSE DE LAS CUCHILLAS-47</t>
  </si>
  <si>
    <t>RIO-SAN JOSE DE LAS CUCHILLAS-48</t>
  </si>
  <si>
    <t>RIO-SAN JOSE DE LAS CUCHILLAS-49</t>
  </si>
  <si>
    <t>RIO-SAN JOSE DE LAS CUCHILLAS-5</t>
  </si>
  <si>
    <t>RIO-SAN JOSE DE LAS CUCHILLAS-50</t>
  </si>
  <si>
    <t>RIO-SAN JOSE DE LAS CUCHILLAS-51</t>
  </si>
  <si>
    <t>RIO-SAN JOSE DE LAS CUCHILLAS-53</t>
  </si>
  <si>
    <t>RIO-SAN JOSE DE LAS CUCHILLAS-54</t>
  </si>
  <si>
    <t>RIO-SAN JOSE DE LAS CUCHILLAS-55</t>
  </si>
  <si>
    <t>RIO-SAN JOSE DE LAS CUCHILLAS-56</t>
  </si>
  <si>
    <t>RIO-SAN JOSE DE LAS CUCHILLAS-6</t>
  </si>
  <si>
    <t>RIO-SAN JOSE DE LAS CUCHILLAS-7</t>
  </si>
  <si>
    <t>RIO-SAN JOSE DE LAS CUCHILLAS-9</t>
  </si>
  <si>
    <t>RIO-SANTA BARBARA-1</t>
  </si>
  <si>
    <t>Santa Barbara</t>
  </si>
  <si>
    <t>RIO-SANTA BARBARA-10</t>
  </si>
  <si>
    <t>RIO-SANTA BARBARA-11</t>
  </si>
  <si>
    <t>RIO-SANTA BARBARA-12</t>
  </si>
  <si>
    <t>RIO-SANTA BARBARA-13</t>
  </si>
  <si>
    <t>RIO-SANTA BARBARA-14</t>
  </si>
  <si>
    <t>RIO-SANTA BARBARA-15</t>
  </si>
  <si>
    <t>RIO-SANTA BARBARA-16</t>
  </si>
  <si>
    <t>RIO-SANTA BARBARA-17</t>
  </si>
  <si>
    <t>RIO-SANTA BARBARA-19</t>
  </si>
  <si>
    <t>RIO-SANTA BARBARA-2</t>
  </si>
  <si>
    <t>RIO-SANTA BARBARA-20</t>
  </si>
  <si>
    <t>RIO-SANTA BARBARA-21</t>
  </si>
  <si>
    <t>RIO-SANTA BARBARA-22</t>
  </si>
  <si>
    <t>RIO-SANTA BARBARA-23</t>
  </si>
  <si>
    <t>RIO-SANTA BARBARA-24</t>
  </si>
  <si>
    <t>RIO-SANTA BARBARA-25</t>
  </si>
  <si>
    <t>RIO-SANTA BARBARA-26</t>
  </si>
  <si>
    <t>RIO-SANTA BARBARA-28</t>
  </si>
  <si>
    <t>RIO-SANTA BARBARA-29</t>
  </si>
  <si>
    <t>RIO-SANTA BARBARA-3</t>
  </si>
  <si>
    <t>RIO-SANTA BARBARA-30</t>
  </si>
  <si>
    <t>RIO-SANTA BARBARA-31</t>
  </si>
  <si>
    <t>RIO-SANTA BARBARA-32</t>
  </si>
  <si>
    <t>RIO-SANTA BARBARA-33</t>
  </si>
  <si>
    <t>RIO-SANTA BARBARA-34</t>
  </si>
  <si>
    <t>RIO-SANTA BARBARA-35</t>
  </si>
  <si>
    <t>RIO-SANTA BARBARA-4</t>
  </si>
  <si>
    <t>RIO-SANTA BARBARA-5</t>
  </si>
  <si>
    <t>RIO-SANTA BARBARA-6</t>
  </si>
  <si>
    <t>RIO-SANTA BARBARA-7</t>
  </si>
  <si>
    <t>RIO-SANTA BARBARA-8</t>
  </si>
  <si>
    <t>RIO-SANTA BARBARA-9</t>
  </si>
  <si>
    <t>RIO-TECNICO INDUSTRIAL-1</t>
  </si>
  <si>
    <t>Tecnico Industrial</t>
  </si>
  <si>
    <t>G3</t>
  </si>
  <si>
    <t>RIO-TECNICO INDUSTRIAL-10</t>
  </si>
  <si>
    <t>RIO-TECNICO INDUSTRIAL-100</t>
  </si>
  <si>
    <t>RIO-TECNICO INDUSTRIAL-101</t>
  </si>
  <si>
    <t>RIO-TECNICO INDUSTRIAL-11</t>
  </si>
  <si>
    <t>RIO-TECNICO INDUSTRIAL-12</t>
  </si>
  <si>
    <t>RIO-TECNICO INDUSTRIAL-13</t>
  </si>
  <si>
    <t>RIO-TECNICO INDUSTRIAL-14</t>
  </si>
  <si>
    <t>RIO-TECNICO INDUSTRIAL-16</t>
  </si>
  <si>
    <t>RIO-TECNICO INDUSTRIAL-17</t>
  </si>
  <si>
    <t>RIO-TECNICO INDUSTRIAL-18</t>
  </si>
  <si>
    <t>RIO-TECNICO INDUSTRIAL-19</t>
  </si>
  <si>
    <t>RIO-TECNICO INDUSTRIAL-2</t>
  </si>
  <si>
    <t>RIO-TECNICO INDUSTRIAL-20</t>
  </si>
  <si>
    <t>RIO-TECNICO INDUSTRIAL-21</t>
  </si>
  <si>
    <t>RIO-TECNICO INDUSTRIAL-22</t>
  </si>
  <si>
    <t>RIO-TECNICO INDUSTRIAL-23</t>
  </si>
  <si>
    <t>RIO-TECNICO INDUSTRIAL-24</t>
  </si>
  <si>
    <t>RIO-TECNICO INDUSTRIAL-25</t>
  </si>
  <si>
    <t>RIO-TECNICO INDUSTRIAL-26</t>
  </si>
  <si>
    <t>RIO-TECNICO INDUSTRIAL-27</t>
  </si>
  <si>
    <t>RIO-TECNICO INDUSTRIAL-28</t>
  </si>
  <si>
    <t>RIO-TECNICO INDUSTRIAL-29</t>
  </si>
  <si>
    <t>RIO-TECNICO INDUSTRIAL-3</t>
  </si>
  <si>
    <t>RIO-TECNICO INDUSTRIAL-30</t>
  </si>
  <si>
    <t>RIO-TECNICO INDUSTRIAL-31</t>
  </si>
  <si>
    <t>RIO-TECNICO INDUSTRIAL-32</t>
  </si>
  <si>
    <t>RIO-TECNICO INDUSTRIAL-33</t>
  </si>
  <si>
    <t>RIO-TECNICO INDUSTRIAL-34</t>
  </si>
  <si>
    <t>RIO-TECNICO INDUSTRIAL-35</t>
  </si>
  <si>
    <t>RIO-TECNICO INDUSTRIAL-36</t>
  </si>
  <si>
    <t>RIO-TECNICO INDUSTRIAL-37</t>
  </si>
  <si>
    <t>RIO-TECNICO INDUSTRIAL-38</t>
  </si>
  <si>
    <t>RIO-TECNICO INDUSTRIAL-39</t>
  </si>
  <si>
    <t>RIO-TECNICO INDUSTRIAL-4</t>
  </si>
  <si>
    <t>RIO-TECNICO INDUSTRIAL-40</t>
  </si>
  <si>
    <t>RIO-TECNICO INDUSTRIAL-43</t>
  </si>
  <si>
    <t>RIO-TECNICO INDUSTRIAL-44</t>
  </si>
  <si>
    <t>RIO-TECNICO INDUSTRIAL-45</t>
  </si>
  <si>
    <t>RIO-TECNICO INDUSTRIAL-46</t>
  </si>
  <si>
    <t>RIO-TECNICO INDUSTRIAL-47</t>
  </si>
  <si>
    <t>RIO-TECNICO INDUSTRIAL-49</t>
  </si>
  <si>
    <t>RIO-TECNICO INDUSTRIAL-5</t>
  </si>
  <si>
    <t>RIO-TECNICO INDUSTRIAL-50</t>
  </si>
  <si>
    <t>RIO-TECNICO INDUSTRIAL-51</t>
  </si>
  <si>
    <t>RIO-TECNICO INDUSTRIAL-53</t>
  </si>
  <si>
    <t>RIO-TECNICO INDUSTRIAL-54</t>
  </si>
  <si>
    <t>RIO-TECNICO INDUSTRIAL-55</t>
  </si>
  <si>
    <t>RIO-TECNICO INDUSTRIAL-56</t>
  </si>
  <si>
    <t>RIO-TECNICO INDUSTRIAL-57</t>
  </si>
  <si>
    <t>RIO-TECNICO INDUSTRIAL-58</t>
  </si>
  <si>
    <t>RIO-TECNICO INDUSTRIAL-59</t>
  </si>
  <si>
    <t>RIO-TECNICO INDUSTRIAL-6</t>
  </si>
  <si>
    <t>RIO-TECNICO INDUSTRIAL-60</t>
  </si>
  <si>
    <t>RIO-TECNICO INDUSTRIAL-61</t>
  </si>
  <si>
    <t>RIO-TECNICO INDUSTRIAL-62</t>
  </si>
  <si>
    <t>RIO-TECNICO INDUSTRIAL-63</t>
  </si>
  <si>
    <t>RIO-TECNICO INDUSTRIAL-64</t>
  </si>
  <si>
    <t>RIO-TECNICO INDUSTRIAL-65</t>
  </si>
  <si>
    <t>RIO-TECNICO INDUSTRIAL-66</t>
  </si>
  <si>
    <t>RIO-TECNICO INDUSTRIAL-67</t>
  </si>
  <si>
    <t>RIO-TECNICO INDUSTRIAL-68</t>
  </si>
  <si>
    <t>RIO-TECNICO INDUSTRIAL-69</t>
  </si>
  <si>
    <t>RIO-TECNICO INDUSTRIAL-7</t>
  </si>
  <si>
    <t>RIO-TECNICO INDUSTRIAL-70</t>
  </si>
  <si>
    <t>RIO-TECNICO INDUSTRIAL-71</t>
  </si>
  <si>
    <t>RIO-TECNICO INDUSTRIAL-72</t>
  </si>
  <si>
    <t>RIO-TECNICO INDUSTRIAL-73</t>
  </si>
  <si>
    <t>RIO-TECNICO INDUSTRIAL-74</t>
  </si>
  <si>
    <t>RIO-TECNICO INDUSTRIAL-75</t>
  </si>
  <si>
    <t>RIO-TECNICO INDUSTRIAL-76</t>
  </si>
  <si>
    <t>RIO-TECNICO INDUSTRIAL-77</t>
  </si>
  <si>
    <t>RIO-TECNICO INDUSTRIAL-78</t>
  </si>
  <si>
    <t>RIO-TECNICO INDUSTRIAL-79</t>
  </si>
  <si>
    <t>RIO-TECNICO INDUSTRIAL-8</t>
  </si>
  <si>
    <t>RIO-TECNICO INDUSTRIAL-80</t>
  </si>
  <si>
    <t>RIO-TECNICO INDUSTRIAL-81</t>
  </si>
  <si>
    <t>RIO-TECNICO INDUSTRIAL-82</t>
  </si>
  <si>
    <t>RIO-TECNICO INDUSTRIAL-83</t>
  </si>
  <si>
    <t>RIO-TECNICO INDUSTRIAL-84</t>
  </si>
  <si>
    <t>RIO-TECNICO INDUSTRIAL-85</t>
  </si>
  <si>
    <t>RIO-TECNICO INDUSTRIAL-86</t>
  </si>
  <si>
    <t>RIO-TECNICO INDUSTRIAL-87</t>
  </si>
  <si>
    <t>RIO-TECNICO INDUSTRIAL-88</t>
  </si>
  <si>
    <t>RIO-TECNICO INDUSTRIAL-89</t>
  </si>
  <si>
    <t>RIO-TECNICO INDUSTRIAL-9</t>
  </si>
  <si>
    <t>RIO-TECNICO INDUSTRIAL-90</t>
  </si>
  <si>
    <t>RIO-TECNICO INDUSTRIAL-91</t>
  </si>
  <si>
    <t>RIO-TECNICO INDUSTRIAL-92</t>
  </si>
  <si>
    <t>RIO-TECNICO INDUSTRIAL-93</t>
  </si>
  <si>
    <t>RIO-TECNICO INDUSTRIAL-94</t>
  </si>
  <si>
    <t>RIO-TECNICO INDUSTRIAL-95</t>
  </si>
  <si>
    <t>RIO-TECNICO INDUSTRIAL-96</t>
  </si>
  <si>
    <t>RIO-TECNICO INDUSTRIAL-97</t>
  </si>
  <si>
    <t>RIO-TECNICO INDUSTRIAL-98</t>
  </si>
  <si>
    <t>RIO-TECNICO INDUSTRIAL-99</t>
  </si>
  <si>
    <t>SEC-1496</t>
  </si>
  <si>
    <t>C.E.R. las Flores</t>
  </si>
  <si>
    <t>Nechí</t>
  </si>
  <si>
    <t>G44</t>
  </si>
  <si>
    <t>SEC-1497</t>
  </si>
  <si>
    <t>SEC-1498</t>
  </si>
  <si>
    <t>SEC-1499</t>
  </si>
  <si>
    <t>SEC-1500</t>
  </si>
  <si>
    <t>SEC-1501</t>
  </si>
  <si>
    <t>SEC-1502</t>
  </si>
  <si>
    <t>SEC-1503</t>
  </si>
  <si>
    <t>SEC-1504</t>
  </si>
  <si>
    <t>SEC-1505</t>
  </si>
  <si>
    <t>SEC-1506</t>
  </si>
  <si>
    <t>SEC-1507</t>
  </si>
  <si>
    <t>SEC-1508</t>
  </si>
  <si>
    <t>SEC-1509</t>
  </si>
  <si>
    <t>SEC-1510</t>
  </si>
  <si>
    <t>SEC-1511</t>
  </si>
  <si>
    <t>SEC-1512</t>
  </si>
  <si>
    <t>SEC-1513</t>
  </si>
  <si>
    <t>SEC-1514</t>
  </si>
  <si>
    <t>SEC-1515</t>
  </si>
  <si>
    <t>SEC-1516</t>
  </si>
  <si>
    <t>SEC-1517</t>
  </si>
  <si>
    <t>SEC-1518</t>
  </si>
  <si>
    <t>SEC-1519</t>
  </si>
  <si>
    <t>SEC-1520</t>
  </si>
  <si>
    <t>SEC-1521</t>
  </si>
  <si>
    <t>SEC-1522</t>
  </si>
  <si>
    <t>SEC-1523</t>
  </si>
  <si>
    <t>SEC-1524</t>
  </si>
  <si>
    <t>SEC-1525</t>
  </si>
  <si>
    <t>SEC-1526</t>
  </si>
  <si>
    <t>SEC-1527</t>
  </si>
  <si>
    <t>SEC-1528</t>
  </si>
  <si>
    <t>SEC-1529</t>
  </si>
  <si>
    <t>SEC-1530</t>
  </si>
  <si>
    <t>SEC-0168</t>
  </si>
  <si>
    <t>I.E. Anori</t>
  </si>
  <si>
    <t>Anorí</t>
  </si>
  <si>
    <t>SEC-0169</t>
  </si>
  <si>
    <t>SEC-0170</t>
  </si>
  <si>
    <t>SEC-0171</t>
  </si>
  <si>
    <t>SEC-0172</t>
  </si>
  <si>
    <t>SEC-0173</t>
  </si>
  <si>
    <t>SEC-0174</t>
  </si>
  <si>
    <t>SEC-0175</t>
  </si>
  <si>
    <t>SEC-0176</t>
  </si>
  <si>
    <t>SEC-0177</t>
  </si>
  <si>
    <t>SEC-0178</t>
  </si>
  <si>
    <t>SEC-0179</t>
  </si>
  <si>
    <t>SEC-0180</t>
  </si>
  <si>
    <t>SEC-0181</t>
  </si>
  <si>
    <t>SEC-0182</t>
  </si>
  <si>
    <t>SEC-0183</t>
  </si>
  <si>
    <t>SEC-0184</t>
  </si>
  <si>
    <t>SEC-0185</t>
  </si>
  <si>
    <t>SEC-0186</t>
  </si>
  <si>
    <t>SEC-0187</t>
  </si>
  <si>
    <t>SEC-0188</t>
  </si>
  <si>
    <t>SEC-0189</t>
  </si>
  <si>
    <t>SEC-0190</t>
  </si>
  <si>
    <t>SEC-0191</t>
  </si>
  <si>
    <t>SEC-0192</t>
  </si>
  <si>
    <t>SEC-0193</t>
  </si>
  <si>
    <t>SEC-0194</t>
  </si>
  <si>
    <t>SEC-0195</t>
  </si>
  <si>
    <t>SEC-1638</t>
  </si>
  <si>
    <t>I.E. Antonio Nariño</t>
  </si>
  <si>
    <t>Puerto Berrío</t>
  </si>
  <si>
    <t>G48</t>
  </si>
  <si>
    <t>SEC-1639</t>
  </si>
  <si>
    <t>SEC-1640</t>
  </si>
  <si>
    <t>SEC-1641</t>
  </si>
  <si>
    <t>SEC-1642</t>
  </si>
  <si>
    <t>SEC-1643</t>
  </si>
  <si>
    <t>SEC-1644</t>
  </si>
  <si>
    <t>SEC-1645</t>
  </si>
  <si>
    <t>SEC-1646</t>
  </si>
  <si>
    <t>SEC-1647</t>
  </si>
  <si>
    <t>SEC-1648</t>
  </si>
  <si>
    <t>SEC-1649</t>
  </si>
  <si>
    <t>SEC-1650</t>
  </si>
  <si>
    <t>SEC-1651</t>
  </si>
  <si>
    <t>SEC-1652</t>
  </si>
  <si>
    <t>SEC-1653</t>
  </si>
  <si>
    <t>SEC-1654</t>
  </si>
  <si>
    <t>SEC-1655</t>
  </si>
  <si>
    <t>SEC-1656</t>
  </si>
  <si>
    <t>SEC-1657</t>
  </si>
  <si>
    <t>SEC-1658</t>
  </si>
  <si>
    <t>SEC-1659</t>
  </si>
  <si>
    <t>SEC-1660</t>
  </si>
  <si>
    <t>SEC-1661</t>
  </si>
  <si>
    <t>SEC-1662</t>
  </si>
  <si>
    <t>SEC-1663</t>
  </si>
  <si>
    <t>SEC-1664</t>
  </si>
  <si>
    <t>SEC-1665</t>
  </si>
  <si>
    <t>SEC-1666</t>
  </si>
  <si>
    <t>SEC-1667</t>
  </si>
  <si>
    <t>SEC-1668</t>
  </si>
  <si>
    <t>SEC-1669</t>
  </si>
  <si>
    <t>SEC-1670</t>
  </si>
  <si>
    <t>SEC-1671</t>
  </si>
  <si>
    <t>SEC-0432</t>
  </si>
  <si>
    <t>I.E. Antonio Roldan Betancur</t>
  </si>
  <si>
    <t>Briceño</t>
  </si>
  <si>
    <t>G12</t>
  </si>
  <si>
    <t>SEC-0433</t>
  </si>
  <si>
    <t>SEC-0434</t>
  </si>
  <si>
    <t>SEC-0435</t>
  </si>
  <si>
    <t>SEC-0436</t>
  </si>
  <si>
    <t>SEC-0437</t>
  </si>
  <si>
    <t>SEC-0438</t>
  </si>
  <si>
    <t>SEC-0439</t>
  </si>
  <si>
    <t>SEC-0440</t>
  </si>
  <si>
    <t>SEC-0441</t>
  </si>
  <si>
    <t>SEC-0442</t>
  </si>
  <si>
    <t>SEC-0443</t>
  </si>
  <si>
    <t>SEC-0444</t>
  </si>
  <si>
    <t>SEC-0445</t>
  </si>
  <si>
    <t>SEC-0446</t>
  </si>
  <si>
    <t>SEC-0447</t>
  </si>
  <si>
    <t>SEC-0448</t>
  </si>
  <si>
    <t>SEC-0449</t>
  </si>
  <si>
    <t>SEC-0450</t>
  </si>
  <si>
    <t>SEC-0451</t>
  </si>
  <si>
    <t>SEC-0452</t>
  </si>
  <si>
    <t>SEC-0453</t>
  </si>
  <si>
    <t>SEC-0454</t>
  </si>
  <si>
    <t>SEC-0455</t>
  </si>
  <si>
    <t>SEC-0456</t>
  </si>
  <si>
    <t>SEC-0457</t>
  </si>
  <si>
    <t>SEC-0458</t>
  </si>
  <si>
    <t>SEC-0459</t>
  </si>
  <si>
    <t>SEC-0460</t>
  </si>
  <si>
    <t>SEC-0461</t>
  </si>
  <si>
    <t>SEC-0462</t>
  </si>
  <si>
    <t>SEC-0463</t>
  </si>
  <si>
    <t>SEC-0464</t>
  </si>
  <si>
    <t>SEC-0196</t>
  </si>
  <si>
    <t>I.E. Anza</t>
  </si>
  <si>
    <t>Anzá</t>
  </si>
  <si>
    <t>G7</t>
  </si>
  <si>
    <t>SEC-0197</t>
  </si>
  <si>
    <t>SEC-0198</t>
  </si>
  <si>
    <t>SEC-0199</t>
  </si>
  <si>
    <t>SEC-0200</t>
  </si>
  <si>
    <t>SEC-0201</t>
  </si>
  <si>
    <t>SEC-0202</t>
  </si>
  <si>
    <t>SEC-0203</t>
  </si>
  <si>
    <t>SEC-0204</t>
  </si>
  <si>
    <t>SEC-0205</t>
  </si>
  <si>
    <t>SEC-0206</t>
  </si>
  <si>
    <t>SEC-0207</t>
  </si>
  <si>
    <t>SEC-0208</t>
  </si>
  <si>
    <t>SEC-0209</t>
  </si>
  <si>
    <t>SEC-0210</t>
  </si>
  <si>
    <t>SEC-0211</t>
  </si>
  <si>
    <t>SEC-0212</t>
  </si>
  <si>
    <t>SEC-0213</t>
  </si>
  <si>
    <t>SEC-0214</t>
  </si>
  <si>
    <t>SEC-0215</t>
  </si>
  <si>
    <t>SEC-0216</t>
  </si>
  <si>
    <t>SEC-0217</t>
  </si>
  <si>
    <t>SEC-0218</t>
  </si>
  <si>
    <t>SEC-0219</t>
  </si>
  <si>
    <t>SEC-0220</t>
  </si>
  <si>
    <t>SEC-0221</t>
  </si>
  <si>
    <t>SEC-0222</t>
  </si>
  <si>
    <t>SEC-0223</t>
  </si>
  <si>
    <t>SEC-0224</t>
  </si>
  <si>
    <t>SEC-0225</t>
  </si>
  <si>
    <t>SEC-0226</t>
  </si>
  <si>
    <t>SEC-1990</t>
  </si>
  <si>
    <t>I.E. Camilo Torres</t>
  </si>
  <si>
    <t>San Pedro de Urabá</t>
  </si>
  <si>
    <t>G56</t>
  </si>
  <si>
    <t>SEC-1991</t>
  </si>
  <si>
    <t>SEC-1992</t>
  </si>
  <si>
    <t>SEC-1993</t>
  </si>
  <si>
    <t>SEC-1994</t>
  </si>
  <si>
    <t>SEC-1995</t>
  </si>
  <si>
    <t>SEC-1996</t>
  </si>
  <si>
    <t>SEC-1997</t>
  </si>
  <si>
    <t>SEC-1998</t>
  </si>
  <si>
    <t>SEC-1999</t>
  </si>
  <si>
    <t>SEC-2000</t>
  </si>
  <si>
    <t>SEC-2001</t>
  </si>
  <si>
    <t>SEC-2002</t>
  </si>
  <si>
    <t>SEC-2003</t>
  </si>
  <si>
    <t>SEC-2004</t>
  </si>
  <si>
    <t>SEC-2005</t>
  </si>
  <si>
    <t>SEC-2006</t>
  </si>
  <si>
    <t>SEC-2007</t>
  </si>
  <si>
    <t>SEC-2008</t>
  </si>
  <si>
    <t>SEC-2009</t>
  </si>
  <si>
    <t>SEC-2010</t>
  </si>
  <si>
    <t>SEC-2011</t>
  </si>
  <si>
    <t>SEC-2012</t>
  </si>
  <si>
    <t>SEC-2013</t>
  </si>
  <si>
    <t>SEC-2014</t>
  </si>
  <si>
    <t>SEC-2015</t>
  </si>
  <si>
    <t>SEC-2016</t>
  </si>
  <si>
    <t>SEC-2017</t>
  </si>
  <si>
    <t>SEC-2018</t>
  </si>
  <si>
    <t>SEC-2019</t>
  </si>
  <si>
    <t>SEC-2020</t>
  </si>
  <si>
    <t>SEC-2021</t>
  </si>
  <si>
    <t>SEC-2022</t>
  </si>
  <si>
    <t>SEC-2023</t>
  </si>
  <si>
    <t>SEC-2024</t>
  </si>
  <si>
    <t>SEC-2025</t>
  </si>
  <si>
    <t>SEC-2026</t>
  </si>
  <si>
    <t>SEC-2027</t>
  </si>
  <si>
    <t>SEC-2028</t>
  </si>
  <si>
    <t>SEC-2029</t>
  </si>
  <si>
    <t>SEC-2030</t>
  </si>
  <si>
    <t>SEC-2031</t>
  </si>
  <si>
    <t>SEC-2032</t>
  </si>
  <si>
    <t>SEC-2033</t>
  </si>
  <si>
    <t>SEC-2034</t>
  </si>
  <si>
    <t>SEC-2035</t>
  </si>
  <si>
    <t>SEC-2451</t>
  </si>
  <si>
    <t>I.E. Eduardo Aguilar</t>
  </si>
  <si>
    <t>Yolombó</t>
  </si>
  <si>
    <t>G70</t>
  </si>
  <si>
    <t>SEC-2452</t>
  </si>
  <si>
    <t>SEC-2453</t>
  </si>
  <si>
    <t>SEC-2454</t>
  </si>
  <si>
    <t>SEC-2455</t>
  </si>
  <si>
    <t>SEC-2456</t>
  </si>
  <si>
    <t>SEC-2457</t>
  </si>
  <si>
    <t>SEC-2458</t>
  </si>
  <si>
    <t>SEC-2459</t>
  </si>
  <si>
    <t>SEC-2460</t>
  </si>
  <si>
    <t>SEC-2461</t>
  </si>
  <si>
    <t>SEC-2462</t>
  </si>
  <si>
    <t>SEC-2463</t>
  </si>
  <si>
    <t>SEC-2464</t>
  </si>
  <si>
    <t>SEC-2465</t>
  </si>
  <si>
    <t>SEC-2466</t>
  </si>
  <si>
    <t>SEC-2467</t>
  </si>
  <si>
    <t>SEC-2468</t>
  </si>
  <si>
    <t>SEC-2469</t>
  </si>
  <si>
    <t>SEC-2470</t>
  </si>
  <si>
    <t>SEC-2471</t>
  </si>
  <si>
    <t>SEC-2472</t>
  </si>
  <si>
    <t>SEC-2473</t>
  </si>
  <si>
    <t>SEC-2474</t>
  </si>
  <si>
    <t>SEC-2475</t>
  </si>
  <si>
    <t>SEC-2476</t>
  </si>
  <si>
    <t>SEC-2477</t>
  </si>
  <si>
    <t>SEC-2478</t>
  </si>
  <si>
    <t>SEC-2479</t>
  </si>
  <si>
    <t>SEC-2480</t>
  </si>
  <si>
    <t>SEC-2481</t>
  </si>
  <si>
    <t>SEC-2482</t>
  </si>
  <si>
    <t>SEC-2483</t>
  </si>
  <si>
    <t>SEC-2484</t>
  </si>
  <si>
    <t>SEC-2485</t>
  </si>
  <si>
    <t>SEC-2314</t>
  </si>
  <si>
    <t>I.E. Efe Gomez</t>
  </si>
  <si>
    <t>Vegachí</t>
  </si>
  <si>
    <t>G65</t>
  </si>
  <si>
    <t>SEC-2315</t>
  </si>
  <si>
    <t>SEC-2316</t>
  </si>
  <si>
    <t>SEC-2317</t>
  </si>
  <si>
    <t>SEC-2318</t>
  </si>
  <si>
    <t>SEC-2319</t>
  </si>
  <si>
    <t>SEC-2320</t>
  </si>
  <si>
    <t>SEC-2321</t>
  </si>
  <si>
    <t>SEC-2322</t>
  </si>
  <si>
    <t>SEC-2323</t>
  </si>
  <si>
    <t>SEC-2324</t>
  </si>
  <si>
    <t>SEC-2325</t>
  </si>
  <si>
    <t>SEC-2326</t>
  </si>
  <si>
    <t>SEC-2327</t>
  </si>
  <si>
    <t>SEC-2328</t>
  </si>
  <si>
    <t>SEC-2329</t>
  </si>
  <si>
    <t>SEC-2330</t>
  </si>
  <si>
    <t>SEC-2331</t>
  </si>
  <si>
    <t>SEC-2332</t>
  </si>
  <si>
    <t>SEC-2333</t>
  </si>
  <si>
    <t>SEC-2334</t>
  </si>
  <si>
    <t>SEC-2335</t>
  </si>
  <si>
    <t>SEC-2336</t>
  </si>
  <si>
    <t>SEC-2337</t>
  </si>
  <si>
    <t>SEC-2338</t>
  </si>
  <si>
    <t>SEC-2339</t>
  </si>
  <si>
    <t>SEC-2340</t>
  </si>
  <si>
    <t>SEC-2341</t>
  </si>
  <si>
    <t>SEC-2342</t>
  </si>
  <si>
    <t>SEC-2343</t>
  </si>
  <si>
    <t>SEC-2344</t>
  </si>
  <si>
    <t>SEC-2345</t>
  </si>
  <si>
    <t>SEC-2346</t>
  </si>
  <si>
    <t>SEC-2347</t>
  </si>
  <si>
    <t>SEC-1109</t>
  </si>
  <si>
    <t>I.E. Escuela Normal Superior Mariano Ospina Rodriguez</t>
  </si>
  <si>
    <t>Fredonia</t>
  </si>
  <si>
    <t>G33</t>
  </si>
  <si>
    <t>SEC-1110</t>
  </si>
  <si>
    <t>SEC-1111</t>
  </si>
  <si>
    <t>SEC-1112</t>
  </si>
  <si>
    <t>SEC-1113</t>
  </si>
  <si>
    <t>SEC-1114</t>
  </si>
  <si>
    <t>SEC-1115</t>
  </si>
  <si>
    <t>SEC-1116</t>
  </si>
  <si>
    <t>SEC-1117</t>
  </si>
  <si>
    <t>SEC-1118</t>
  </si>
  <si>
    <t>SEC-1119</t>
  </si>
  <si>
    <t>SEC-1120</t>
  </si>
  <si>
    <t>SEC-1121</t>
  </si>
  <si>
    <t>SEC-1122</t>
  </si>
  <si>
    <t>SEC-1123</t>
  </si>
  <si>
    <t>SEC-1124</t>
  </si>
  <si>
    <t>SEC-1125</t>
  </si>
  <si>
    <t>SEC-1126</t>
  </si>
  <si>
    <t>SEC-1127</t>
  </si>
  <si>
    <t>SEC-1128</t>
  </si>
  <si>
    <t>SEC-1129</t>
  </si>
  <si>
    <t>SEC-1130</t>
  </si>
  <si>
    <t>SEC-1131</t>
  </si>
  <si>
    <t>SEC-1132</t>
  </si>
  <si>
    <t>SEC-1133</t>
  </si>
  <si>
    <t>SEC-1134</t>
  </si>
  <si>
    <t>SEC-1135</t>
  </si>
  <si>
    <t>SEC-1136</t>
  </si>
  <si>
    <t>SEC-1137</t>
  </si>
  <si>
    <t>SEC-1138</t>
  </si>
  <si>
    <t>SEC-1139</t>
  </si>
  <si>
    <t>SEC-1140</t>
  </si>
  <si>
    <t>SEC-1141</t>
  </si>
  <si>
    <t>SEC-1142</t>
  </si>
  <si>
    <t>SEC-1143</t>
  </si>
  <si>
    <t>SEC-1144</t>
  </si>
  <si>
    <t>SEC-1145</t>
  </si>
  <si>
    <t>SEC-1146</t>
  </si>
  <si>
    <t>SEC-1147</t>
  </si>
  <si>
    <t>SEC-1148</t>
  </si>
  <si>
    <t>SEC-1149</t>
  </si>
  <si>
    <t>SEC-1150</t>
  </si>
  <si>
    <t>SEC-1151</t>
  </si>
  <si>
    <t>SEC-1152</t>
  </si>
  <si>
    <t>SEC-1153</t>
  </si>
  <si>
    <t>SEC-1154</t>
  </si>
  <si>
    <t>SEC-1333</t>
  </si>
  <si>
    <t>I.E. Filiberto Restrepo Sierra</t>
  </si>
  <si>
    <t>Maceo</t>
  </si>
  <si>
    <t>G40</t>
  </si>
  <si>
    <t>SEC-1334</t>
  </si>
  <si>
    <t>SEC-1335</t>
  </si>
  <si>
    <t>SEC-1336</t>
  </si>
  <si>
    <t>SEC-1337</t>
  </si>
  <si>
    <t>SEC-1338</t>
  </si>
  <si>
    <t>SEC-1339</t>
  </si>
  <si>
    <t>SEC-1340</t>
  </si>
  <si>
    <t>SEC-1341</t>
  </si>
  <si>
    <t>SEC-1342</t>
  </si>
  <si>
    <t>SEC-1343</t>
  </si>
  <si>
    <t>SEC-1344</t>
  </si>
  <si>
    <t>SEC-1345</t>
  </si>
  <si>
    <t>SEC-1346</t>
  </si>
  <si>
    <t>SEC-1347</t>
  </si>
  <si>
    <t>SEC-1348</t>
  </si>
  <si>
    <t>SEC-1349</t>
  </si>
  <si>
    <t>SEC-1350</t>
  </si>
  <si>
    <t>SEC-1351</t>
  </si>
  <si>
    <t>SEC-1352</t>
  </si>
  <si>
    <t>SEC-1353</t>
  </si>
  <si>
    <t>SEC-1354</t>
  </si>
  <si>
    <t>SEC-1355</t>
  </si>
  <si>
    <t>SEC-1356</t>
  </si>
  <si>
    <t>SEC-1357</t>
  </si>
  <si>
    <t>SEC-1358</t>
  </si>
  <si>
    <t>SEC-1359</t>
  </si>
  <si>
    <t>SEC-1360</t>
  </si>
  <si>
    <t>SEC-1361</t>
  </si>
  <si>
    <t>SEC-1362</t>
  </si>
  <si>
    <t>SEC-1363</t>
  </si>
  <si>
    <t>SEC-1364</t>
  </si>
  <si>
    <t>SEC-1365</t>
  </si>
  <si>
    <t>SEC-1366</t>
  </si>
  <si>
    <t>SEC-1367</t>
  </si>
  <si>
    <t>SEC-1368</t>
  </si>
  <si>
    <t>SEC-1369</t>
  </si>
  <si>
    <t>SEC-1370</t>
  </si>
  <si>
    <t>SEC-1869</t>
  </si>
  <si>
    <t>I.E. Francisco Abel Gallego</t>
  </si>
  <si>
    <t>San José de la Montaña</t>
  </si>
  <si>
    <t>G54</t>
  </si>
  <si>
    <t>SEC-1870</t>
  </si>
  <si>
    <t>SEC-1871</t>
  </si>
  <si>
    <t>SEC-1872</t>
  </si>
  <si>
    <t>SEC-1873</t>
  </si>
  <si>
    <t>SEC-1874</t>
  </si>
  <si>
    <t>SEC-1875</t>
  </si>
  <si>
    <t>SEC-1876</t>
  </si>
  <si>
    <t>SEC-1877</t>
  </si>
  <si>
    <t>SEC-1878</t>
  </si>
  <si>
    <t>SEC-1879</t>
  </si>
  <si>
    <t>SEC-1880</t>
  </si>
  <si>
    <t>SEC-1881</t>
  </si>
  <si>
    <t>SEC-1882</t>
  </si>
  <si>
    <t>SEC-1883</t>
  </si>
  <si>
    <t>SEC-1884</t>
  </si>
  <si>
    <t>SEC-1885</t>
  </si>
  <si>
    <t>SEC-1886</t>
  </si>
  <si>
    <t>SEC-1887</t>
  </si>
  <si>
    <t>SEC-1888</t>
  </si>
  <si>
    <t>SEC-1889</t>
  </si>
  <si>
    <t>SEC-1890</t>
  </si>
  <si>
    <t>SEC-1891</t>
  </si>
  <si>
    <t>SEC-1892</t>
  </si>
  <si>
    <t>SEC-1893</t>
  </si>
  <si>
    <t>SEC-1894</t>
  </si>
  <si>
    <t>SEC-1895</t>
  </si>
  <si>
    <t>SEC-1896</t>
  </si>
  <si>
    <t>SEC-1897</t>
  </si>
  <si>
    <t>SEC-1898</t>
  </si>
  <si>
    <t>SEC-1899</t>
  </si>
  <si>
    <t>SEC-1900</t>
  </si>
  <si>
    <t>SEC-1901</t>
  </si>
  <si>
    <t>SEC-1902</t>
  </si>
  <si>
    <t>SEC-1903</t>
  </si>
  <si>
    <t>SEC-1904</t>
  </si>
  <si>
    <t>SEC-0612</t>
  </si>
  <si>
    <t>I.E. Gabriel Correa Velez</t>
  </si>
  <si>
    <t>Caracolí</t>
  </si>
  <si>
    <t>G18</t>
  </si>
  <si>
    <t>SEC-0613</t>
  </si>
  <si>
    <t>SEC-0614</t>
  </si>
  <si>
    <t>SEC-0615</t>
  </si>
  <si>
    <t>SEC-0616</t>
  </si>
  <si>
    <t>SEC-0617</t>
  </si>
  <si>
    <t>SEC-0618</t>
  </si>
  <si>
    <t>SEC-0619</t>
  </si>
  <si>
    <t>SEC-0620</t>
  </si>
  <si>
    <t>SEC-0621</t>
  </si>
  <si>
    <t>SEC-0622</t>
  </si>
  <si>
    <t>SEC-0623</t>
  </si>
  <si>
    <t>SEC-0624</t>
  </si>
  <si>
    <t>SEC-0625</t>
  </si>
  <si>
    <t>SEC-0626</t>
  </si>
  <si>
    <t>SEC-0627</t>
  </si>
  <si>
    <t>SEC-0628</t>
  </si>
  <si>
    <t>SEC-0629</t>
  </si>
  <si>
    <t>SEC-0630</t>
  </si>
  <si>
    <t>SEC-0631</t>
  </si>
  <si>
    <t>SEC-0632</t>
  </si>
  <si>
    <t>SEC-0633</t>
  </si>
  <si>
    <t>SEC-0634</t>
  </si>
  <si>
    <t>SEC-0635</t>
  </si>
  <si>
    <t>SEC-0636</t>
  </si>
  <si>
    <t>SEC-0637</t>
  </si>
  <si>
    <t>SEC-0486</t>
  </si>
  <si>
    <t>I.E. Guarumo</t>
  </si>
  <si>
    <t>Cáceres</t>
  </si>
  <si>
    <t>G14</t>
  </si>
  <si>
    <t>SEC-0487</t>
  </si>
  <si>
    <t>SEC-0488</t>
  </si>
  <si>
    <t>SEC-0489</t>
  </si>
  <si>
    <t>SEC-0490</t>
  </si>
  <si>
    <t>SEC-0491</t>
  </si>
  <si>
    <t>SEC-0492</t>
  </si>
  <si>
    <t>SEC-0493</t>
  </si>
  <si>
    <t>SEC-0494</t>
  </si>
  <si>
    <t>SEC-0495</t>
  </si>
  <si>
    <t>SEC-0496</t>
  </si>
  <si>
    <t>SEC-0497</t>
  </si>
  <si>
    <t>SEC-0498</t>
  </si>
  <si>
    <t>SEC-0499</t>
  </si>
  <si>
    <t>SEC-0500</t>
  </si>
  <si>
    <t>SEC-0501</t>
  </si>
  <si>
    <t>SEC-0502</t>
  </si>
  <si>
    <t>SEC-0503</t>
  </si>
  <si>
    <t>SEC-0504</t>
  </si>
  <si>
    <t>SEC-0505</t>
  </si>
  <si>
    <t>SEC-0506</t>
  </si>
  <si>
    <t>SEC-0507</t>
  </si>
  <si>
    <t>SEC-0508</t>
  </si>
  <si>
    <t>SEC-0509</t>
  </si>
  <si>
    <t>SEC-0510</t>
  </si>
  <si>
    <t>SEC-0511</t>
  </si>
  <si>
    <t>SEC-0512</t>
  </si>
  <si>
    <t>SEC-0513</t>
  </si>
  <si>
    <t>SEC-0514</t>
  </si>
  <si>
    <t>SEC-0515</t>
  </si>
  <si>
    <t>SEC-0516</t>
  </si>
  <si>
    <t>SEC-0517</t>
  </si>
  <si>
    <t>SEC-0518</t>
  </si>
  <si>
    <t>SEC-0519</t>
  </si>
  <si>
    <t>SEC-0520</t>
  </si>
  <si>
    <t>SEC-0521</t>
  </si>
  <si>
    <t>SEC-0522</t>
  </si>
  <si>
    <t>SEC-0523</t>
  </si>
  <si>
    <t>SEC-0524</t>
  </si>
  <si>
    <t>SEC-0525</t>
  </si>
  <si>
    <t>SEC-0526</t>
  </si>
  <si>
    <t>SEC-0527</t>
  </si>
  <si>
    <t>SEC-0528</t>
  </si>
  <si>
    <t>SEC-0529</t>
  </si>
  <si>
    <t>SEC-0530</t>
  </si>
  <si>
    <t>SEC-0531</t>
  </si>
  <si>
    <t>SEC-0532</t>
  </si>
  <si>
    <t>SEC-0533</t>
  </si>
  <si>
    <t>SEC-0534</t>
  </si>
  <si>
    <t>SEC-0535</t>
  </si>
  <si>
    <t>SEC-0536</t>
  </si>
  <si>
    <t>SEC-0537</t>
  </si>
  <si>
    <t>SEC-0538</t>
  </si>
  <si>
    <t>SEC-0539</t>
  </si>
  <si>
    <t>SEC-0540</t>
  </si>
  <si>
    <t>SEC-0541</t>
  </si>
  <si>
    <t>SEC-0542</t>
  </si>
  <si>
    <t>SEC-2058</t>
  </si>
  <si>
    <t>I.E. Jesus Maria Rojas Pagola</t>
  </si>
  <si>
    <t>Santa Bárbara</t>
  </si>
  <si>
    <t>G58</t>
  </si>
  <si>
    <t>SEC-2059</t>
  </si>
  <si>
    <t>SEC-2060</t>
  </si>
  <si>
    <t>SEC-2061</t>
  </si>
  <si>
    <t>SEC-2062</t>
  </si>
  <si>
    <t>SEC-2063</t>
  </si>
  <si>
    <t>SEC-2064</t>
  </si>
  <si>
    <t>SEC-2065</t>
  </si>
  <si>
    <t>SEC-2066</t>
  </si>
  <si>
    <t>SEC-2067</t>
  </si>
  <si>
    <t>SEC-2068</t>
  </si>
  <si>
    <t>SEC-2069</t>
  </si>
  <si>
    <t>SEC-2070</t>
  </si>
  <si>
    <t>SEC-2071</t>
  </si>
  <si>
    <t>SEC-2072</t>
  </si>
  <si>
    <t>SEC-2073</t>
  </si>
  <si>
    <t>SEC-2074</t>
  </si>
  <si>
    <t>SEC-2075</t>
  </si>
  <si>
    <t>SEC-2076</t>
  </si>
  <si>
    <t>SEC-2077</t>
  </si>
  <si>
    <t>SEC-2078</t>
  </si>
  <si>
    <t>SEC-2079</t>
  </si>
  <si>
    <t>SEC-2080</t>
  </si>
  <si>
    <t>SEC-2081</t>
  </si>
  <si>
    <t>SEC-2082</t>
  </si>
  <si>
    <t>SEC-2083</t>
  </si>
  <si>
    <t>SEC-2084</t>
  </si>
  <si>
    <t>SEC-2085</t>
  </si>
  <si>
    <t>SEC-2086</t>
  </si>
  <si>
    <t>SEC-2087</t>
  </si>
  <si>
    <t>SEC-2088</t>
  </si>
  <si>
    <t>SEC-2089</t>
  </si>
  <si>
    <t>SEC-2090</t>
  </si>
  <si>
    <t>SEC-2091</t>
  </si>
  <si>
    <t>SEC-2092</t>
  </si>
  <si>
    <t>SEC-2093</t>
  </si>
  <si>
    <t>SEC-2094</t>
  </si>
  <si>
    <t>SEC-2095</t>
  </si>
  <si>
    <t>SEC-2096</t>
  </si>
  <si>
    <t>SEC-2097</t>
  </si>
  <si>
    <t>SEC-2098</t>
  </si>
  <si>
    <t>SEC-2099</t>
  </si>
  <si>
    <t>SEC-2100</t>
  </si>
  <si>
    <t>SEC-2101</t>
  </si>
  <si>
    <t>SEC-2102</t>
  </si>
  <si>
    <t>SEC-2103</t>
  </si>
  <si>
    <t>SEC-2104</t>
  </si>
  <si>
    <t>SEC-2105</t>
  </si>
  <si>
    <t>SEC-2106</t>
  </si>
  <si>
    <t>SEC-2107</t>
  </si>
  <si>
    <t>SEC-2108</t>
  </si>
  <si>
    <t>SEC-0227</t>
  </si>
  <si>
    <t>I.E. Jose Manuel Restrepo</t>
  </si>
  <si>
    <t>Arboletes</t>
  </si>
  <si>
    <t>G8</t>
  </si>
  <si>
    <t>SEC-0228</t>
  </si>
  <si>
    <t>SEC-0229</t>
  </si>
  <si>
    <t>SEC-0230</t>
  </si>
  <si>
    <t>SEC-0231</t>
  </si>
  <si>
    <t>SEC-0232</t>
  </si>
  <si>
    <t>SEC-0233</t>
  </si>
  <si>
    <t>SEC-0234</t>
  </si>
  <si>
    <t>SEC-0235</t>
  </si>
  <si>
    <t>SEC-0236</t>
  </si>
  <si>
    <t>SEC-0237</t>
  </si>
  <si>
    <t>SEC-0238</t>
  </si>
  <si>
    <t>SEC-0239</t>
  </si>
  <si>
    <t>SEC-0240</t>
  </si>
  <si>
    <t>SEC-0241</t>
  </si>
  <si>
    <t>SEC-0242</t>
  </si>
  <si>
    <t>SEC-0243</t>
  </si>
  <si>
    <t>SEC-0244</t>
  </si>
  <si>
    <t>SEC-0245</t>
  </si>
  <si>
    <t>SEC-0246</t>
  </si>
  <si>
    <t>SEC-0247</t>
  </si>
  <si>
    <t>SEC-0248</t>
  </si>
  <si>
    <t>SEC-0249</t>
  </si>
  <si>
    <t>SEC-0250</t>
  </si>
  <si>
    <t>SEC-0251</t>
  </si>
  <si>
    <t>SEC-0252</t>
  </si>
  <si>
    <t>SEC-0253</t>
  </si>
  <si>
    <t>SEC-0254</t>
  </si>
  <si>
    <t>SEC-0255</t>
  </si>
  <si>
    <t>SEC-0256</t>
  </si>
  <si>
    <t>SEC-0257</t>
  </si>
  <si>
    <t>SEC-0258</t>
  </si>
  <si>
    <t>SEC-0259</t>
  </si>
  <si>
    <t>SEC-0260</t>
  </si>
  <si>
    <t>SEC-0261</t>
  </si>
  <si>
    <t>SEC-0262</t>
  </si>
  <si>
    <t>SEC-0263</t>
  </si>
  <si>
    <t>SEC-0264</t>
  </si>
  <si>
    <t>SEC-0265</t>
  </si>
  <si>
    <t>SEC-0266</t>
  </si>
  <si>
    <t>SEC-0267</t>
  </si>
  <si>
    <t>SEC-0268</t>
  </si>
  <si>
    <t>SEC-0269</t>
  </si>
  <si>
    <t>SEC-0270</t>
  </si>
  <si>
    <t>SEC-0271</t>
  </si>
  <si>
    <t>SEC-0272</t>
  </si>
  <si>
    <t>SEC-0273</t>
  </si>
  <si>
    <t>SEC-0274</t>
  </si>
  <si>
    <t>SEC-0275</t>
  </si>
  <si>
    <t>SEC-0276</t>
  </si>
  <si>
    <t>SEC-0277</t>
  </si>
  <si>
    <t>SEC-0278</t>
  </si>
  <si>
    <t>SEC-0279</t>
  </si>
  <si>
    <t>SEC-0280</t>
  </si>
  <si>
    <t>SEC-0664</t>
  </si>
  <si>
    <t>I.E. Jose Maria Muñoz Florez</t>
  </si>
  <si>
    <t>Carepa</t>
  </si>
  <si>
    <t>G20</t>
  </si>
  <si>
    <t>SEC-0665</t>
  </si>
  <si>
    <t>SEC-0666</t>
  </si>
  <si>
    <t>SEC-0667</t>
  </si>
  <si>
    <t>SEC-0668</t>
  </si>
  <si>
    <t>SEC-0669</t>
  </si>
  <si>
    <t>SEC-0670</t>
  </si>
  <si>
    <t>SEC-0671</t>
  </si>
  <si>
    <t>SEC-0672</t>
  </si>
  <si>
    <t>SEC-0673</t>
  </si>
  <si>
    <t>SEC-0674</t>
  </si>
  <si>
    <t>SEC-0675</t>
  </si>
  <si>
    <t>SEC-0676</t>
  </si>
  <si>
    <t>SEC-0677</t>
  </si>
  <si>
    <t>SEC-0678</t>
  </si>
  <si>
    <t>SEC-0679</t>
  </si>
  <si>
    <t>SEC-0680</t>
  </si>
  <si>
    <t>SEC-0681</t>
  </si>
  <si>
    <t>SEC-0682</t>
  </si>
  <si>
    <t>SEC-0683</t>
  </si>
  <si>
    <t>SEC-0684</t>
  </si>
  <si>
    <t>SEC-0685</t>
  </si>
  <si>
    <t>SEC-0686</t>
  </si>
  <si>
    <t>SEC-0687</t>
  </si>
  <si>
    <t>SEC-0688</t>
  </si>
  <si>
    <t>SEC-0689</t>
  </si>
  <si>
    <t>SEC-0690</t>
  </si>
  <si>
    <t>SEC-0691</t>
  </si>
  <si>
    <t>SEC-0692</t>
  </si>
  <si>
    <t>SEC-0693</t>
  </si>
  <si>
    <t>SEC-0694</t>
  </si>
  <si>
    <t>SEC-0695</t>
  </si>
  <si>
    <t>SEC-0696</t>
  </si>
  <si>
    <t>SEC-0697</t>
  </si>
  <si>
    <t>SEC-0698</t>
  </si>
  <si>
    <t>SEC-0699</t>
  </si>
  <si>
    <t>SEC-0700</t>
  </si>
  <si>
    <t>SEC-0701</t>
  </si>
  <si>
    <t>SEC-0702</t>
  </si>
  <si>
    <t>SEC-0703</t>
  </si>
  <si>
    <t>SEC-0704</t>
  </si>
  <si>
    <t>SEC-0705</t>
  </si>
  <si>
    <t>SEC-0706</t>
  </si>
  <si>
    <t>SEC-0707</t>
  </si>
  <si>
    <t>SEC-2192</t>
  </si>
  <si>
    <t>I.E. Jose Maria Villa</t>
  </si>
  <si>
    <t>Sopetrán</t>
  </si>
  <si>
    <t>G62</t>
  </si>
  <si>
    <t>SEC-2193</t>
  </si>
  <si>
    <t>SEC-2194</t>
  </si>
  <si>
    <t>SEC-2195</t>
  </si>
  <si>
    <t>SEC-2196</t>
  </si>
  <si>
    <t>SEC-2197</t>
  </si>
  <si>
    <t>SEC-2198</t>
  </si>
  <si>
    <t>SEC-2199</t>
  </si>
  <si>
    <t>SEC-2200</t>
  </si>
  <si>
    <t>SEC-2201</t>
  </si>
  <si>
    <t>SEC-2202</t>
  </si>
  <si>
    <t>SEC-2203</t>
  </si>
  <si>
    <t>SEC-2204</t>
  </si>
  <si>
    <t>SEC-2205</t>
  </si>
  <si>
    <t>SEC-2206</t>
  </si>
  <si>
    <t>SEC-2207</t>
  </si>
  <si>
    <t>SEC-2208</t>
  </si>
  <si>
    <t>SEC-2209</t>
  </si>
  <si>
    <t>SEC-2210</t>
  </si>
  <si>
    <t>SEC-2211</t>
  </si>
  <si>
    <t>SEC-2212</t>
  </si>
  <si>
    <t>SEC-2213</t>
  </si>
  <si>
    <t>SEC-2214</t>
  </si>
  <si>
    <t>SEC-2215</t>
  </si>
  <si>
    <t>SEC-2216</t>
  </si>
  <si>
    <t>SEC-2217</t>
  </si>
  <si>
    <t>SEC-2218</t>
  </si>
  <si>
    <t>SEC-2219</t>
  </si>
  <si>
    <t>SEC-2220</t>
  </si>
  <si>
    <t>SEC-2221</t>
  </si>
  <si>
    <t>SEC-2222</t>
  </si>
  <si>
    <t>SEC-2223</t>
  </si>
  <si>
    <t>SEC-2224</t>
  </si>
  <si>
    <t>SEC-2225</t>
  </si>
  <si>
    <t>SEC-2226</t>
  </si>
  <si>
    <t>SEC-2227</t>
  </si>
  <si>
    <t>SEC-0807</t>
  </si>
  <si>
    <t>I.E. Juan Evangelista Berrio</t>
  </si>
  <si>
    <t>Chigorodó</t>
  </si>
  <si>
    <t>G24</t>
  </si>
  <si>
    <t>SEC-0808</t>
  </si>
  <si>
    <t>SEC-0809</t>
  </si>
  <si>
    <t>SEC-0810</t>
  </si>
  <si>
    <t>SEC-0811</t>
  </si>
  <si>
    <t>SEC-0812</t>
  </si>
  <si>
    <t>SEC-0813</t>
  </si>
  <si>
    <t>SEC-0814</t>
  </si>
  <si>
    <t>SEC-0815</t>
  </si>
  <si>
    <t>SEC-0816</t>
  </si>
  <si>
    <t>SEC-0817</t>
  </si>
  <si>
    <t>SEC-0818</t>
  </si>
  <si>
    <t>SEC-0819</t>
  </si>
  <si>
    <t>SEC-0820</t>
  </si>
  <si>
    <t>SEC-0821</t>
  </si>
  <si>
    <t>SEC-0822</t>
  </si>
  <si>
    <t>SEC-0823</t>
  </si>
  <si>
    <t>SEC-0824</t>
  </si>
  <si>
    <t>SEC-0825</t>
  </si>
  <si>
    <t>SEC-0826</t>
  </si>
  <si>
    <t>SEC-0827</t>
  </si>
  <si>
    <t>SEC-0828</t>
  </si>
  <si>
    <t>SEC-0829</t>
  </si>
  <si>
    <t>SEC-0830</t>
  </si>
  <si>
    <t>SEC-0831</t>
  </si>
  <si>
    <t>SEC-0832</t>
  </si>
  <si>
    <t>SEC-0833</t>
  </si>
  <si>
    <t>SEC-0834</t>
  </si>
  <si>
    <t>SEC-0835</t>
  </si>
  <si>
    <t>SEC-0836</t>
  </si>
  <si>
    <t>SEC-0638</t>
  </si>
  <si>
    <t>I.E. Juan Pablo Gomez Ochoa</t>
  </si>
  <si>
    <t>Caramanta</t>
  </si>
  <si>
    <t>G19</t>
  </si>
  <si>
    <t>SEC-0639</t>
  </si>
  <si>
    <t>SEC-0640</t>
  </si>
  <si>
    <t>SEC-0641</t>
  </si>
  <si>
    <t>SEC-0642</t>
  </si>
  <si>
    <t>SEC-0643</t>
  </si>
  <si>
    <t>SEC-0644</t>
  </si>
  <si>
    <t>SEC-0645</t>
  </si>
  <si>
    <t>SEC-0646</t>
  </si>
  <si>
    <t>SEC-0647</t>
  </si>
  <si>
    <t>SEC-0648</t>
  </si>
  <si>
    <t>SEC-0649</t>
  </si>
  <si>
    <t>SEC-0650</t>
  </si>
  <si>
    <t>SEC-0651</t>
  </si>
  <si>
    <t>SEC-0652</t>
  </si>
  <si>
    <t>SEC-0653</t>
  </si>
  <si>
    <t>SEC-0654</t>
  </si>
  <si>
    <t>SEC-0655</t>
  </si>
  <si>
    <t>SEC-0656</t>
  </si>
  <si>
    <t>SEC-0657</t>
  </si>
  <si>
    <t>SEC-0658</t>
  </si>
  <si>
    <t>SEC-0659</t>
  </si>
  <si>
    <t>SEC-0660</t>
  </si>
  <si>
    <t>SEC-0661</t>
  </si>
  <si>
    <t>SEC-0662</t>
  </si>
  <si>
    <t>SEC-0663</t>
  </si>
  <si>
    <t>SEC-0129</t>
  </si>
  <si>
    <t>I.E. Juan de Dios Uribe</t>
  </si>
  <si>
    <t>Andes</t>
  </si>
  <si>
    <t>SEC-0130</t>
  </si>
  <si>
    <t>SEC-0131</t>
  </si>
  <si>
    <t>SEC-0132</t>
  </si>
  <si>
    <t>SEC-0133</t>
  </si>
  <si>
    <t>SEC-0134</t>
  </si>
  <si>
    <t>SEC-0135</t>
  </si>
  <si>
    <t>SEC-0136</t>
  </si>
  <si>
    <t>SEC-0137</t>
  </si>
  <si>
    <t>SEC-0138</t>
  </si>
  <si>
    <t>SEC-0139</t>
  </si>
  <si>
    <t>SEC-0140</t>
  </si>
  <si>
    <t>SEC-0141</t>
  </si>
  <si>
    <t>SEC-0142</t>
  </si>
  <si>
    <t>SEC-0143</t>
  </si>
  <si>
    <t>SEC-0144</t>
  </si>
  <si>
    <t>SEC-0145</t>
  </si>
  <si>
    <t>SEC-0146</t>
  </si>
  <si>
    <t>SEC-0147</t>
  </si>
  <si>
    <t>SEC-0148</t>
  </si>
  <si>
    <t>SEC-0149</t>
  </si>
  <si>
    <t>SEC-1054</t>
  </si>
  <si>
    <t>I.E. Leon Xiii</t>
  </si>
  <si>
    <t>El Peñol</t>
  </si>
  <si>
    <t>G31</t>
  </si>
  <si>
    <t>SEC-1055</t>
  </si>
  <si>
    <t>SEC-1056</t>
  </si>
  <si>
    <t>SEC-1057</t>
  </si>
  <si>
    <t>SEC-1058</t>
  </si>
  <si>
    <t>SEC-1059</t>
  </si>
  <si>
    <t>SEC-1060</t>
  </si>
  <si>
    <t>SEC-1061</t>
  </si>
  <si>
    <t>SEC-1062</t>
  </si>
  <si>
    <t>SEC-1063</t>
  </si>
  <si>
    <t>SEC-1064</t>
  </si>
  <si>
    <t>SEC-1065</t>
  </si>
  <si>
    <t>SEC-1066</t>
  </si>
  <si>
    <t>SEC-1067</t>
  </si>
  <si>
    <t>SEC-1068</t>
  </si>
  <si>
    <t>SEC-1069</t>
  </si>
  <si>
    <t>SEC-1070</t>
  </si>
  <si>
    <t>SEC-1071</t>
  </si>
  <si>
    <t>SEC-1072</t>
  </si>
  <si>
    <t>SEC-1073</t>
  </si>
  <si>
    <t>SEC-1074</t>
  </si>
  <si>
    <t>SEC-1075</t>
  </si>
  <si>
    <t>SEC-1076</t>
  </si>
  <si>
    <t>SEC-1077</t>
  </si>
  <si>
    <t>SEC-1078</t>
  </si>
  <si>
    <t>SEC-1079</t>
  </si>
  <si>
    <t>SEC-1080</t>
  </si>
  <si>
    <t>SEC-1081</t>
  </si>
  <si>
    <t>SEC-1082</t>
  </si>
  <si>
    <t>SEC-1083</t>
  </si>
  <si>
    <t>SEC-1084</t>
  </si>
  <si>
    <t>SEC-1085</t>
  </si>
  <si>
    <t>SEC-2169</t>
  </si>
  <si>
    <t>I.E. Liborio Bataller</t>
  </si>
  <si>
    <t>Segovia</t>
  </si>
  <si>
    <t>G61</t>
  </si>
  <si>
    <t>SEC-2170</t>
  </si>
  <si>
    <t>SEC-2171</t>
  </si>
  <si>
    <t>SEC-2172</t>
  </si>
  <si>
    <t>SEC-2173</t>
  </si>
  <si>
    <t>SEC-2174</t>
  </si>
  <si>
    <t>SEC-2175</t>
  </si>
  <si>
    <t>SEC-2176</t>
  </si>
  <si>
    <t>SEC-2177</t>
  </si>
  <si>
    <t>SEC-2178</t>
  </si>
  <si>
    <t>SEC-2179</t>
  </si>
  <si>
    <t>SEC-2180</t>
  </si>
  <si>
    <t>SEC-2181</t>
  </si>
  <si>
    <t>SEC-2182</t>
  </si>
  <si>
    <t>SEC-2183</t>
  </si>
  <si>
    <t>SEC-2184</t>
  </si>
  <si>
    <t>SEC-2185</t>
  </si>
  <si>
    <t>SEC-2186</t>
  </si>
  <si>
    <t>SEC-2187</t>
  </si>
  <si>
    <t>SEC-2188</t>
  </si>
  <si>
    <t>SEC-2189</t>
  </si>
  <si>
    <t>SEC-2190</t>
  </si>
  <si>
    <t>SEC-2191</t>
  </si>
  <si>
    <t>SEC-1727</t>
  </si>
  <si>
    <t>I.E. Llano de Cordoba</t>
  </si>
  <si>
    <t>Remedios</t>
  </si>
  <si>
    <t>G51</t>
  </si>
  <si>
    <t>SEC-1728</t>
  </si>
  <si>
    <t>SEC-1729</t>
  </si>
  <si>
    <t>SEC-1730</t>
  </si>
  <si>
    <t>SEC-1731</t>
  </si>
  <si>
    <t>SEC-1732</t>
  </si>
  <si>
    <t>SEC-1733</t>
  </si>
  <si>
    <t>SEC-1734</t>
  </si>
  <si>
    <t>SEC-1735</t>
  </si>
  <si>
    <t>SEC-1736</t>
  </si>
  <si>
    <t>SEC-1737</t>
  </si>
  <si>
    <t>SEC-1738</t>
  </si>
  <si>
    <t>SEC-1739</t>
  </si>
  <si>
    <t>SEC-1740</t>
  </si>
  <si>
    <t>SEC-1741</t>
  </si>
  <si>
    <t>SEC-1742</t>
  </si>
  <si>
    <t>SEC-1743</t>
  </si>
  <si>
    <t>SEC-1744</t>
  </si>
  <si>
    <t>SEC-1745</t>
  </si>
  <si>
    <t>SEC-1746</t>
  </si>
  <si>
    <t>SEC-1747</t>
  </si>
  <si>
    <t>SEC-1748</t>
  </si>
  <si>
    <t>SEC-1749</t>
  </si>
  <si>
    <t>SEC-1750</t>
  </si>
  <si>
    <t>SEC-1751</t>
  </si>
  <si>
    <t>SEC-1752</t>
  </si>
  <si>
    <t>SEC-1753</t>
  </si>
  <si>
    <t>SEC-2421</t>
  </si>
  <si>
    <t>I.E. Llanos de Cuiva</t>
  </si>
  <si>
    <t>Yarumal</t>
  </si>
  <si>
    <t>G69</t>
  </si>
  <si>
    <t>SEC-2422</t>
  </si>
  <si>
    <t>SEC-2423</t>
  </si>
  <si>
    <t>SEC-2424</t>
  </si>
  <si>
    <t>SEC-2425</t>
  </si>
  <si>
    <t>SEC-2426</t>
  </si>
  <si>
    <t>SEC-2427</t>
  </si>
  <si>
    <t>SEC-2428</t>
  </si>
  <si>
    <t>SEC-2429</t>
  </si>
  <si>
    <t>SEC-2430</t>
  </si>
  <si>
    <t>SEC-2431</t>
  </si>
  <si>
    <t>SEC-2432</t>
  </si>
  <si>
    <t>SEC-2433</t>
  </si>
  <si>
    <t>SEC-2434</t>
  </si>
  <si>
    <t>SEC-2435</t>
  </si>
  <si>
    <t>SEC-2436</t>
  </si>
  <si>
    <t>SEC-2437</t>
  </si>
  <si>
    <t>SEC-2438</t>
  </si>
  <si>
    <t>SEC-2439</t>
  </si>
  <si>
    <t>SEC-2440</t>
  </si>
  <si>
    <t>SEC-2441</t>
  </si>
  <si>
    <t>SEC-2442</t>
  </si>
  <si>
    <t>SEC-2443</t>
  </si>
  <si>
    <t>SEC-2444</t>
  </si>
  <si>
    <t>SEC-2445</t>
  </si>
  <si>
    <t>SEC-2446</t>
  </si>
  <si>
    <t>SEC-2447</t>
  </si>
  <si>
    <t>SEC-2448</t>
  </si>
  <si>
    <t>SEC-2449</t>
  </si>
  <si>
    <t>SEC-2450</t>
  </si>
  <si>
    <t>SEC-2401</t>
  </si>
  <si>
    <t>I.E. Lorenzo Yali</t>
  </si>
  <si>
    <t>Yalí</t>
  </si>
  <si>
    <t>G68</t>
  </si>
  <si>
    <t>SEC-2402</t>
  </si>
  <si>
    <t>SEC-2403</t>
  </si>
  <si>
    <t>SEC-2404</t>
  </si>
  <si>
    <t>SEC-2405</t>
  </si>
  <si>
    <t>SEC-2406</t>
  </si>
  <si>
    <t>SEC-2407</t>
  </si>
  <si>
    <t>SEC-2408</t>
  </si>
  <si>
    <t>SEC-2409</t>
  </si>
  <si>
    <t>SEC-2410</t>
  </si>
  <si>
    <t>SEC-2411</t>
  </si>
  <si>
    <t>SEC-2412</t>
  </si>
  <si>
    <t>SEC-2413</t>
  </si>
  <si>
    <t>SEC-2414</t>
  </si>
  <si>
    <t>SEC-2415</t>
  </si>
  <si>
    <t>SEC-2416</t>
  </si>
  <si>
    <t>SEC-2417</t>
  </si>
  <si>
    <t>SEC-2418</t>
  </si>
  <si>
    <t>SEC-2419</t>
  </si>
  <si>
    <t>SEC-2420</t>
  </si>
  <si>
    <t>SEC-2506</t>
  </si>
  <si>
    <t>I.E. Luis Eduardo Diaz</t>
  </si>
  <si>
    <t>Yondó</t>
  </si>
  <si>
    <t>G72</t>
  </si>
  <si>
    <t>SEC-2507</t>
  </si>
  <si>
    <t>SEC-2508</t>
  </si>
  <si>
    <t>SEC-2509</t>
  </si>
  <si>
    <t>SEC-2510</t>
  </si>
  <si>
    <t>SEC-2511</t>
  </si>
  <si>
    <t>SEC-2512</t>
  </si>
  <si>
    <t>SEC-2513</t>
  </si>
  <si>
    <t>SEC-2514</t>
  </si>
  <si>
    <t>SEC-2515</t>
  </si>
  <si>
    <t>SEC-2516</t>
  </si>
  <si>
    <t>SEC-2517</t>
  </si>
  <si>
    <t>SEC-2518</t>
  </si>
  <si>
    <t>SEC-2519</t>
  </si>
  <si>
    <t>SEC-2520</t>
  </si>
  <si>
    <t>SEC-2521</t>
  </si>
  <si>
    <t>SEC-2522</t>
  </si>
  <si>
    <t>SEC-2523</t>
  </si>
  <si>
    <t>SEC-2524</t>
  </si>
  <si>
    <t>SEC-2525</t>
  </si>
  <si>
    <t>SEC-2526</t>
  </si>
  <si>
    <t>SEC-2527</t>
  </si>
  <si>
    <t>SEC-2528</t>
  </si>
  <si>
    <t>SEC-2529</t>
  </si>
  <si>
    <t>SEC-2530</t>
  </si>
  <si>
    <t>SEC-2531</t>
  </si>
  <si>
    <t>SEC-2532</t>
  </si>
  <si>
    <t>SEC-2533</t>
  </si>
  <si>
    <t>SEC-2534</t>
  </si>
  <si>
    <t>SEC-2535</t>
  </si>
  <si>
    <t>SEC-2536</t>
  </si>
  <si>
    <t>SEC-2537</t>
  </si>
  <si>
    <t>SEC-2538</t>
  </si>
  <si>
    <t>SEC-2539</t>
  </si>
  <si>
    <t>SEC-2540</t>
  </si>
  <si>
    <t>SEC-2541</t>
  </si>
  <si>
    <t>SEC-2542</t>
  </si>
  <si>
    <t>SEC-2543</t>
  </si>
  <si>
    <t>SEC-2544</t>
  </si>
  <si>
    <t>SEC-2545</t>
  </si>
  <si>
    <t>SEC-2546</t>
  </si>
  <si>
    <t>SEC-2547</t>
  </si>
  <si>
    <t>SEC-2548</t>
  </si>
  <si>
    <t>SEC-2549</t>
  </si>
  <si>
    <t>SEC-2550</t>
  </si>
  <si>
    <t>SEC-2551</t>
  </si>
  <si>
    <t>SEC-2552</t>
  </si>
  <si>
    <t>SEC-2553</t>
  </si>
  <si>
    <t>SEC-2554</t>
  </si>
  <si>
    <t>SEC-2555</t>
  </si>
  <si>
    <t>SEC-2556</t>
  </si>
  <si>
    <t>SEC-2557</t>
  </si>
  <si>
    <t>SEC-2558</t>
  </si>
  <si>
    <t>SEC-2559</t>
  </si>
  <si>
    <t>SEC-2560</t>
  </si>
  <si>
    <t>SEC-2561</t>
  </si>
  <si>
    <t>SEC-2562</t>
  </si>
  <si>
    <t>SEC-2563</t>
  </si>
  <si>
    <t>SEC-2564</t>
  </si>
  <si>
    <t>SEC-2565</t>
  </si>
  <si>
    <t>SEC-2566</t>
  </si>
  <si>
    <t>SEC-2567</t>
  </si>
  <si>
    <t>SEC-2568</t>
  </si>
  <si>
    <t>SEC-2569</t>
  </si>
  <si>
    <t>SEC-2570</t>
  </si>
  <si>
    <t>SEC-2571</t>
  </si>
  <si>
    <t>SEC-2572</t>
  </si>
  <si>
    <t>SEC-2573</t>
  </si>
  <si>
    <t>SEC-2574</t>
  </si>
  <si>
    <t>SEC-2575</t>
  </si>
  <si>
    <t>SEC-2576</t>
  </si>
  <si>
    <t>I.E. Luis Fernando Restrepo Restrepo</t>
  </si>
  <si>
    <t>Zaragoza</t>
  </si>
  <si>
    <t>G73</t>
  </si>
  <si>
    <t>SEC-2577</t>
  </si>
  <si>
    <t>SEC-2578</t>
  </si>
  <si>
    <t>SEC-2579</t>
  </si>
  <si>
    <t>SEC-2580</t>
  </si>
  <si>
    <t>SEC-2581</t>
  </si>
  <si>
    <t>SEC-2582</t>
  </si>
  <si>
    <t>SEC-2583</t>
  </si>
  <si>
    <t>SEC-2584</t>
  </si>
  <si>
    <t>SEC-2585</t>
  </si>
  <si>
    <t>SEC-2586</t>
  </si>
  <si>
    <t>SEC-2587</t>
  </si>
  <si>
    <t>SEC-2588</t>
  </si>
  <si>
    <t>SEC-2589</t>
  </si>
  <si>
    <t>SEC-2590</t>
  </si>
  <si>
    <t>SEC-2591</t>
  </si>
  <si>
    <t>SEC-2592</t>
  </si>
  <si>
    <t>SEC-2593</t>
  </si>
  <si>
    <t>SEC-2594</t>
  </si>
  <si>
    <t>SEC-2595</t>
  </si>
  <si>
    <t>SEC-2596</t>
  </si>
  <si>
    <t>SEC-2597</t>
  </si>
  <si>
    <t>SEC-2598</t>
  </si>
  <si>
    <t>SEC-2599</t>
  </si>
  <si>
    <t>SEC-2600</t>
  </si>
  <si>
    <t>SEC-2601</t>
  </si>
  <si>
    <t>SEC-2602</t>
  </si>
  <si>
    <t>SEC-2603</t>
  </si>
  <si>
    <t>SEC-2604</t>
  </si>
  <si>
    <t>SEC-2605</t>
  </si>
  <si>
    <t>SEC-0837</t>
  </si>
  <si>
    <t>I.E. Maria Auxiliadora</t>
  </si>
  <si>
    <t>G25</t>
  </si>
  <si>
    <t>SEC-0838</t>
  </si>
  <si>
    <t>SEC-0839</t>
  </si>
  <si>
    <t>SEC-0840</t>
  </si>
  <si>
    <t>SEC-0841</t>
  </si>
  <si>
    <t>SEC-0842</t>
  </si>
  <si>
    <t>SEC-0843</t>
  </si>
  <si>
    <t>SEC-0844</t>
  </si>
  <si>
    <t>SEC-0845</t>
  </si>
  <si>
    <t>SEC-0846</t>
  </si>
  <si>
    <t>SEC-0847</t>
  </si>
  <si>
    <t>SEC-0848</t>
  </si>
  <si>
    <t>SEC-0849</t>
  </si>
  <si>
    <t>SEC-0850</t>
  </si>
  <si>
    <t>SEC-0851</t>
  </si>
  <si>
    <t>SEC-0852</t>
  </si>
  <si>
    <t>SEC-0853</t>
  </si>
  <si>
    <t>SEC-0854</t>
  </si>
  <si>
    <t>SEC-0855</t>
  </si>
  <si>
    <t>SEC-0856</t>
  </si>
  <si>
    <t>SEC-0857</t>
  </si>
  <si>
    <t>SEC-0858</t>
  </si>
  <si>
    <t>SEC-0859</t>
  </si>
  <si>
    <t>SEC-0860</t>
  </si>
  <si>
    <t>SEC-0861</t>
  </si>
  <si>
    <t>SEC-0862</t>
  </si>
  <si>
    <t>SEC-0863</t>
  </si>
  <si>
    <t>SEC-0864</t>
  </si>
  <si>
    <t>SEC-0865</t>
  </si>
  <si>
    <t>SEC-0866</t>
  </si>
  <si>
    <t>SEC-0867</t>
  </si>
  <si>
    <t>SEC-0281</t>
  </si>
  <si>
    <t>I.E. Miguel Vicente Garrido Ortiz</t>
  </si>
  <si>
    <t>G9</t>
  </si>
  <si>
    <t>SEC-0282</t>
  </si>
  <si>
    <t>SEC-0283</t>
  </si>
  <si>
    <t>SEC-0284</t>
  </si>
  <si>
    <t>SEC-0285</t>
  </si>
  <si>
    <t>SEC-0286</t>
  </si>
  <si>
    <t>SEC-0287</t>
  </si>
  <si>
    <t>SEC-0288</t>
  </si>
  <si>
    <t>SEC-0289</t>
  </si>
  <si>
    <t>SEC-0290</t>
  </si>
  <si>
    <t>SEC-0291</t>
  </si>
  <si>
    <t>SEC-0292</t>
  </si>
  <si>
    <t>SEC-0293</t>
  </si>
  <si>
    <t>SEC-0294</t>
  </si>
  <si>
    <t>SEC-0295</t>
  </si>
  <si>
    <t>SEC-0296</t>
  </si>
  <si>
    <t>SEC-0297</t>
  </si>
  <si>
    <t>SEC-0298</t>
  </si>
  <si>
    <t>SEC-0299</t>
  </si>
  <si>
    <t>SEC-0300</t>
  </si>
  <si>
    <t>SEC-0301</t>
  </si>
  <si>
    <t>SEC-0302</t>
  </si>
  <si>
    <t>SEC-0303</t>
  </si>
  <si>
    <t>SEC-0304</t>
  </si>
  <si>
    <t>SEC-0305</t>
  </si>
  <si>
    <t>SEC-0306</t>
  </si>
  <si>
    <t>SEC-0307</t>
  </si>
  <si>
    <t>SEC-0308</t>
  </si>
  <si>
    <t>SEC-0309</t>
  </si>
  <si>
    <t>SEC-0310</t>
  </si>
  <si>
    <t>SEC-0311</t>
  </si>
  <si>
    <t>SEC-0312</t>
  </si>
  <si>
    <t>SEC-0313</t>
  </si>
  <si>
    <t>SEC-0314</t>
  </si>
  <si>
    <t>SEC-0315</t>
  </si>
  <si>
    <t>SEC-0316</t>
  </si>
  <si>
    <t>SEC-0317</t>
  </si>
  <si>
    <t>SEC-0318</t>
  </si>
  <si>
    <t>SEC-0319</t>
  </si>
  <si>
    <t>SEC-0320</t>
  </si>
  <si>
    <t>SEC-0868</t>
  </si>
  <si>
    <t>I.E. Municipal Jose de los Santos Zuñiga</t>
  </si>
  <si>
    <t>G26</t>
  </si>
  <si>
    <t>SEC-0869</t>
  </si>
  <si>
    <t>SEC-0870</t>
  </si>
  <si>
    <t>SEC-0871</t>
  </si>
  <si>
    <t>SEC-0872</t>
  </si>
  <si>
    <t>SEC-0873</t>
  </si>
  <si>
    <t>SEC-0874</t>
  </si>
  <si>
    <t>SEC-0875</t>
  </si>
  <si>
    <t>SEC-0876</t>
  </si>
  <si>
    <t>SEC-0877</t>
  </si>
  <si>
    <t>SEC-0878</t>
  </si>
  <si>
    <t>SEC-0879</t>
  </si>
  <si>
    <t>SEC-0880</t>
  </si>
  <si>
    <t>SEC-0881</t>
  </si>
  <si>
    <t>SEC-0882</t>
  </si>
  <si>
    <t>SEC-0883</t>
  </si>
  <si>
    <t>SEC-0884</t>
  </si>
  <si>
    <t>SEC-0885</t>
  </si>
  <si>
    <t>SEC-0886</t>
  </si>
  <si>
    <t>SEC-0887</t>
  </si>
  <si>
    <t>SEC-0888</t>
  </si>
  <si>
    <t>SEC-0889</t>
  </si>
  <si>
    <t>SEC-0890</t>
  </si>
  <si>
    <t>SEC-0891</t>
  </si>
  <si>
    <t>SEC-0892</t>
  </si>
  <si>
    <t>SEC-0893</t>
  </si>
  <si>
    <t>SEC-0894</t>
  </si>
  <si>
    <t>SEC-0895</t>
  </si>
  <si>
    <t>SEC-0896</t>
  </si>
  <si>
    <t>SEC-0897</t>
  </si>
  <si>
    <t>SEC-0898</t>
  </si>
  <si>
    <t>SEC-0899</t>
  </si>
  <si>
    <t>SEC-0900</t>
  </si>
  <si>
    <t>SEC-0901</t>
  </si>
  <si>
    <t>SEC-0902</t>
  </si>
  <si>
    <t>SEC-0903</t>
  </si>
  <si>
    <t>SEC-0904</t>
  </si>
  <si>
    <t>SEC-0905</t>
  </si>
  <si>
    <t>SEC-0906</t>
  </si>
  <si>
    <t>SEC-0907</t>
  </si>
  <si>
    <t>SEC-0908</t>
  </si>
  <si>
    <t>SEC-0909</t>
  </si>
  <si>
    <t>SEC-0910</t>
  </si>
  <si>
    <t>SEC-0911</t>
  </si>
  <si>
    <t>SEC-0912</t>
  </si>
  <si>
    <t>SEC-0913</t>
  </si>
  <si>
    <t>SEC-0914</t>
  </si>
  <si>
    <t>SEC-1371</t>
  </si>
  <si>
    <t>I.E. Murindo</t>
  </si>
  <si>
    <t>Murindó</t>
  </si>
  <si>
    <t>G41</t>
  </si>
  <si>
    <t>SEC-1372</t>
  </si>
  <si>
    <t>SEC-1373</t>
  </si>
  <si>
    <t>SEC-1374</t>
  </si>
  <si>
    <t>SEC-1375</t>
  </si>
  <si>
    <t>SEC-1376</t>
  </si>
  <si>
    <t>SEC-1377</t>
  </si>
  <si>
    <t>SEC-1378</t>
  </si>
  <si>
    <t>SEC-1379</t>
  </si>
  <si>
    <t>SEC-1380</t>
  </si>
  <si>
    <t>SEC-1381</t>
  </si>
  <si>
    <t>SEC-1382</t>
  </si>
  <si>
    <t>SEC-1383</t>
  </si>
  <si>
    <t>SEC-1384</t>
  </si>
  <si>
    <t>SEC-1385</t>
  </si>
  <si>
    <t>SEC-1386</t>
  </si>
  <si>
    <t>SEC-1387</t>
  </si>
  <si>
    <t>SEC-1388</t>
  </si>
  <si>
    <t>SEC-1389</t>
  </si>
  <si>
    <t>SEC-1390</t>
  </si>
  <si>
    <t>SEC-1391</t>
  </si>
  <si>
    <t>SEC-1392</t>
  </si>
  <si>
    <t>SEC-1393</t>
  </si>
  <si>
    <t>SEC-1394</t>
  </si>
  <si>
    <t>SEC-1395</t>
  </si>
  <si>
    <t>SEC-1396</t>
  </si>
  <si>
    <t>SEC-1397</t>
  </si>
  <si>
    <t>SEC-1398</t>
  </si>
  <si>
    <t>SEC-1399</t>
  </si>
  <si>
    <t>SEC-1400</t>
  </si>
  <si>
    <t>SEC-1401</t>
  </si>
  <si>
    <t>SEC-1402</t>
  </si>
  <si>
    <t>SEC-1403</t>
  </si>
  <si>
    <t>SEC-1404</t>
  </si>
  <si>
    <t>SEC-1405</t>
  </si>
  <si>
    <t>SEC-1406</t>
  </si>
  <si>
    <t>SEC-1407</t>
  </si>
  <si>
    <t>SEC-1408</t>
  </si>
  <si>
    <t>SEC-1409</t>
  </si>
  <si>
    <t>SEC-1410</t>
  </si>
  <si>
    <t>SEC-1411</t>
  </si>
  <si>
    <t>SEC-1412</t>
  </si>
  <si>
    <t>SEC-1413</t>
  </si>
  <si>
    <t>SEC-1414</t>
  </si>
  <si>
    <t>SEC-1415</t>
  </si>
  <si>
    <t>SEC-1416</t>
  </si>
  <si>
    <t>SEC-1417</t>
  </si>
  <si>
    <t>I.E. Mutata</t>
  </si>
  <si>
    <t>Mutatá</t>
  </si>
  <si>
    <t>G42</t>
  </si>
  <si>
    <t>SEC-1418</t>
  </si>
  <si>
    <t>SEC-1419</t>
  </si>
  <si>
    <t>SEC-1420</t>
  </si>
  <si>
    <t>SEC-1421</t>
  </si>
  <si>
    <t>SEC-1422</t>
  </si>
  <si>
    <t>SEC-1423</t>
  </si>
  <si>
    <t>SEC-1424</t>
  </si>
  <si>
    <t>SEC-1425</t>
  </si>
  <si>
    <t>SEC-1426</t>
  </si>
  <si>
    <t>SEC-1427</t>
  </si>
  <si>
    <t>SEC-1428</t>
  </si>
  <si>
    <t>SEC-1429</t>
  </si>
  <si>
    <t>SEC-1430</t>
  </si>
  <si>
    <t>SEC-1431</t>
  </si>
  <si>
    <t>SEC-1432</t>
  </si>
  <si>
    <t>SEC-1433</t>
  </si>
  <si>
    <t>SEC-1434</t>
  </si>
  <si>
    <t>SEC-1435</t>
  </si>
  <si>
    <t>SEC-1436</t>
  </si>
  <si>
    <t>SEC-1437</t>
  </si>
  <si>
    <t>SEC-1438</t>
  </si>
  <si>
    <t>SEC-1439</t>
  </si>
  <si>
    <t>SEC-1440</t>
  </si>
  <si>
    <t>SEC-1441</t>
  </si>
  <si>
    <t>SEC-1442</t>
  </si>
  <si>
    <t>SEC-1443</t>
  </si>
  <si>
    <t>SEC-1444</t>
  </si>
  <si>
    <t>SEC-1445</t>
  </si>
  <si>
    <t>SEC-1446</t>
  </si>
  <si>
    <t>SEC-1447</t>
  </si>
  <si>
    <t>SEC-1448</t>
  </si>
  <si>
    <t>SEC-1449</t>
  </si>
  <si>
    <t>SEC-1450</t>
  </si>
  <si>
    <t>SEC-1451</t>
  </si>
  <si>
    <t>SEC-1452</t>
  </si>
  <si>
    <t>SEC-1453</t>
  </si>
  <si>
    <t>SEC-1454</t>
  </si>
  <si>
    <t>SEC-1455</t>
  </si>
  <si>
    <t>SEC-1456</t>
  </si>
  <si>
    <t>SEC-1457</t>
  </si>
  <si>
    <t>SEC-1458</t>
  </si>
  <si>
    <t>SEC-1459</t>
  </si>
  <si>
    <t>SEC-1460</t>
  </si>
  <si>
    <t>SEC-1461</t>
  </si>
  <si>
    <t>SEC-1462</t>
  </si>
  <si>
    <t>SEC-1463</t>
  </si>
  <si>
    <t>SEC-1464</t>
  </si>
  <si>
    <t>SEC-1465</t>
  </si>
  <si>
    <t>SEC-1466</t>
  </si>
  <si>
    <t>SEC-1467</t>
  </si>
  <si>
    <t>SEC-1468</t>
  </si>
  <si>
    <t>SEC-1469</t>
  </si>
  <si>
    <t>SEC-1470</t>
  </si>
  <si>
    <t>SEC-1471</t>
  </si>
  <si>
    <t>SEC-0586</t>
  </si>
  <si>
    <t>I.E. Nuestra Señora del Rosario</t>
  </si>
  <si>
    <t>Campamento</t>
  </si>
  <si>
    <t>G17</t>
  </si>
  <si>
    <t>SEC-0587</t>
  </si>
  <si>
    <t>SEC-0588</t>
  </si>
  <si>
    <t>SEC-0589</t>
  </si>
  <si>
    <t>SEC-0590</t>
  </si>
  <si>
    <t>SEC-0591</t>
  </si>
  <si>
    <t>SEC-0592</t>
  </si>
  <si>
    <t>SEC-0593</t>
  </si>
  <si>
    <t>SEC-0594</t>
  </si>
  <si>
    <t>SEC-0595</t>
  </si>
  <si>
    <t>SEC-0596</t>
  </si>
  <si>
    <t>SEC-0597</t>
  </si>
  <si>
    <t>SEC-0598</t>
  </si>
  <si>
    <t>SEC-0599</t>
  </si>
  <si>
    <t>SEC-0600</t>
  </si>
  <si>
    <t>SEC-0601</t>
  </si>
  <si>
    <t>SEC-0602</t>
  </si>
  <si>
    <t>SEC-0603</t>
  </si>
  <si>
    <t>SEC-0604</t>
  </si>
  <si>
    <t>SEC-0605</t>
  </si>
  <si>
    <t>SEC-0606</t>
  </si>
  <si>
    <t>SEC-0607</t>
  </si>
  <si>
    <t>SEC-0608</t>
  </si>
  <si>
    <t>SEC-0609</t>
  </si>
  <si>
    <t>SEC-0610</t>
  </si>
  <si>
    <t>SEC-0611</t>
  </si>
  <si>
    <t>SEC-2348</t>
  </si>
  <si>
    <t>I.E. Orlando Velasquez Arango</t>
  </si>
  <si>
    <t>Venecia</t>
  </si>
  <si>
    <t>G66</t>
  </si>
  <si>
    <t>SEC-2349</t>
  </si>
  <si>
    <t>SEC-2350</t>
  </si>
  <si>
    <t>SEC-2351</t>
  </si>
  <si>
    <t>SEC-2352</t>
  </si>
  <si>
    <t>SEC-2353</t>
  </si>
  <si>
    <t>SEC-2354</t>
  </si>
  <si>
    <t>SEC-2355</t>
  </si>
  <si>
    <t>SEC-2356</t>
  </si>
  <si>
    <t>SEC-2357</t>
  </si>
  <si>
    <t>SEC-2358</t>
  </si>
  <si>
    <t>SEC-2359</t>
  </si>
  <si>
    <t>SEC-2360</t>
  </si>
  <si>
    <t>SEC-2361</t>
  </si>
  <si>
    <t>SEC-2362</t>
  </si>
  <si>
    <t>SEC-2363</t>
  </si>
  <si>
    <t>SEC-2364</t>
  </si>
  <si>
    <t>SEC-2365</t>
  </si>
  <si>
    <t>SEC-2366</t>
  </si>
  <si>
    <t>SEC-0001</t>
  </si>
  <si>
    <t>I.E. Pascual Correa Florez</t>
  </si>
  <si>
    <t>Amagá</t>
  </si>
  <si>
    <t>SEC-0002</t>
  </si>
  <si>
    <t>SEC-0003</t>
  </si>
  <si>
    <t>SEC-0004</t>
  </si>
  <si>
    <t>SEC-0005</t>
  </si>
  <si>
    <t>SEC-0006</t>
  </si>
  <si>
    <t>SEC-0007</t>
  </si>
  <si>
    <t>SEC-0008</t>
  </si>
  <si>
    <t>SEC-0009</t>
  </si>
  <si>
    <t>SEC-0010</t>
  </si>
  <si>
    <t>SEC-0011</t>
  </si>
  <si>
    <t>SEC-0012</t>
  </si>
  <si>
    <t>SEC-0013</t>
  </si>
  <si>
    <t>SEC-0014</t>
  </si>
  <si>
    <t>SEC-0015</t>
  </si>
  <si>
    <t>SEC-0016</t>
  </si>
  <si>
    <t>SEC-0017</t>
  </si>
  <si>
    <t>SEC-0018</t>
  </si>
  <si>
    <t>SEC-0019</t>
  </si>
  <si>
    <t>SEC-0020</t>
  </si>
  <si>
    <t>SEC-0021</t>
  </si>
  <si>
    <t>SEC-0022</t>
  </si>
  <si>
    <t>SEC-0023</t>
  </si>
  <si>
    <t>SEC-0024</t>
  </si>
  <si>
    <t>SEC-0025</t>
  </si>
  <si>
    <t>SEC-0026</t>
  </si>
  <si>
    <t>SEC-0027</t>
  </si>
  <si>
    <t>SEC-0028</t>
  </si>
  <si>
    <t>SEC-0029</t>
  </si>
  <si>
    <t>SEC-0030</t>
  </si>
  <si>
    <t>SEC-0031</t>
  </si>
  <si>
    <t>SEC-0032</t>
  </si>
  <si>
    <t>SEC-0361</t>
  </si>
  <si>
    <t>I.E. Pbro. Ricardo Luis Gutierrez Tobon</t>
  </si>
  <si>
    <t>Belmira</t>
  </si>
  <si>
    <t>G11</t>
  </si>
  <si>
    <t>SEC-0362</t>
  </si>
  <si>
    <t>SEC-0363</t>
  </si>
  <si>
    <t>SEC-0364</t>
  </si>
  <si>
    <t>SEC-0365</t>
  </si>
  <si>
    <t>SEC-0366</t>
  </si>
  <si>
    <t>SEC-0367</t>
  </si>
  <si>
    <t>SEC-0368</t>
  </si>
  <si>
    <t>SEC-0369</t>
  </si>
  <si>
    <t>SEC-0370</t>
  </si>
  <si>
    <t>SEC-0371</t>
  </si>
  <si>
    <t>SEC-0372</t>
  </si>
  <si>
    <t>SEC-0373</t>
  </si>
  <si>
    <t>SEC-0374</t>
  </si>
  <si>
    <t>SEC-0375</t>
  </si>
  <si>
    <t>SEC-0376</t>
  </si>
  <si>
    <t>SEC-0377</t>
  </si>
  <si>
    <t>SEC-0378</t>
  </si>
  <si>
    <t>SEC-0379</t>
  </si>
  <si>
    <t>SEC-0380</t>
  </si>
  <si>
    <t>SEC-0381</t>
  </si>
  <si>
    <t>SEC-0382</t>
  </si>
  <si>
    <t>SEC-0383</t>
  </si>
  <si>
    <t>SEC-0384</t>
  </si>
  <si>
    <t>SEC-0385</t>
  </si>
  <si>
    <t>SEC-0386</t>
  </si>
  <si>
    <t>SEC-0387</t>
  </si>
  <si>
    <t>SEC-0388</t>
  </si>
  <si>
    <t>SEC-1208</t>
  </si>
  <si>
    <t>I.E. Pedro Nel Ospina</t>
  </si>
  <si>
    <t>Ituango</t>
  </si>
  <si>
    <t>G36</t>
  </si>
  <si>
    <t>SEC-1209</t>
  </si>
  <si>
    <t>SEC-1210</t>
  </si>
  <si>
    <t>SEC-1211</t>
  </si>
  <si>
    <t>SEC-1212</t>
  </si>
  <si>
    <t>SEC-1213</t>
  </si>
  <si>
    <t>SEC-1214</t>
  </si>
  <si>
    <t>SEC-1215</t>
  </si>
  <si>
    <t>SEC-1216</t>
  </si>
  <si>
    <t>SEC-1217</t>
  </si>
  <si>
    <t>SEC-1218</t>
  </si>
  <si>
    <t>SEC-1219</t>
  </si>
  <si>
    <t>SEC-1220</t>
  </si>
  <si>
    <t>SEC-1221</t>
  </si>
  <si>
    <t>SEC-1222</t>
  </si>
  <si>
    <t>SEC-1223</t>
  </si>
  <si>
    <t>SEC-1224</t>
  </si>
  <si>
    <t>SEC-1225</t>
  </si>
  <si>
    <t>SEC-1226</t>
  </si>
  <si>
    <t>SEC-1227</t>
  </si>
  <si>
    <t>SEC-1228</t>
  </si>
  <si>
    <t>SEC-1229</t>
  </si>
  <si>
    <t>SEC-1230</t>
  </si>
  <si>
    <t>SEC-1231</t>
  </si>
  <si>
    <t>SEC-0543</t>
  </si>
  <si>
    <t>I.E. Piamonte</t>
  </si>
  <si>
    <t>G15</t>
  </si>
  <si>
    <t>SEC-0544</t>
  </si>
  <si>
    <t>SEC-0545</t>
  </si>
  <si>
    <t>SEC-0546</t>
  </si>
  <si>
    <t>SEC-0547</t>
  </si>
  <si>
    <t>SEC-0548</t>
  </si>
  <si>
    <t>SEC-0549</t>
  </si>
  <si>
    <t>SEC-0550</t>
  </si>
  <si>
    <t>SEC-0551</t>
  </si>
  <si>
    <t>SEC-0552</t>
  </si>
  <si>
    <t>SEC-0553</t>
  </si>
  <si>
    <t>SEC-0554</t>
  </si>
  <si>
    <t>SEC-0555</t>
  </si>
  <si>
    <t>SEC-0556</t>
  </si>
  <si>
    <t>SEC-0557</t>
  </si>
  <si>
    <t>SEC-0558</t>
  </si>
  <si>
    <t>SEC-0559</t>
  </si>
  <si>
    <t>SEC-0560</t>
  </si>
  <si>
    <t>SEC-0561</t>
  </si>
  <si>
    <t>SEC-0562</t>
  </si>
  <si>
    <t>SEC-0033</t>
  </si>
  <si>
    <t>I.E. Presbitero Gerardo Montoya</t>
  </si>
  <si>
    <t>Amalfi</t>
  </si>
  <si>
    <t>SEC-0034</t>
  </si>
  <si>
    <t>SEC-0035</t>
  </si>
  <si>
    <t>SEC-0036</t>
  </si>
  <si>
    <t>SEC-0037</t>
  </si>
  <si>
    <t>SEC-0038</t>
  </si>
  <si>
    <t>SEC-0039</t>
  </si>
  <si>
    <t>SEC-0040</t>
  </si>
  <si>
    <t>SEC-0041</t>
  </si>
  <si>
    <t>SEC-0042</t>
  </si>
  <si>
    <t>SEC-0043</t>
  </si>
  <si>
    <t>SEC-0044</t>
  </si>
  <si>
    <t>SEC-0045</t>
  </si>
  <si>
    <t>SEC-0046</t>
  </si>
  <si>
    <t>SEC-0047</t>
  </si>
  <si>
    <t>SEC-0048</t>
  </si>
  <si>
    <t>SEC-0049</t>
  </si>
  <si>
    <t>SEC-0050</t>
  </si>
  <si>
    <t>SEC-0051</t>
  </si>
  <si>
    <t>SEC-0052</t>
  </si>
  <si>
    <t>SEC-0053</t>
  </si>
  <si>
    <t>SEC-0054</t>
  </si>
  <si>
    <t>SEC-0055</t>
  </si>
  <si>
    <t>SEC-0056</t>
  </si>
  <si>
    <t>SEC-0057</t>
  </si>
  <si>
    <t>SEC-0058</t>
  </si>
  <si>
    <t>SEC-0059</t>
  </si>
  <si>
    <t>SEC-0060</t>
  </si>
  <si>
    <t>SEC-0061</t>
  </si>
  <si>
    <t>SEC-0062</t>
  </si>
  <si>
    <t>SEC-0063</t>
  </si>
  <si>
    <t>SEC-0064</t>
  </si>
  <si>
    <t>SEC-0065</t>
  </si>
  <si>
    <t>SEC-0066</t>
  </si>
  <si>
    <t>SEC-0067</t>
  </si>
  <si>
    <t>SEC-0068</t>
  </si>
  <si>
    <t>SEC-0069</t>
  </si>
  <si>
    <t>SEC-0070</t>
  </si>
  <si>
    <t>SEC-0071</t>
  </si>
  <si>
    <t>SEC-0072</t>
  </si>
  <si>
    <t>SEC-0073</t>
  </si>
  <si>
    <t>SEC-0074</t>
  </si>
  <si>
    <t>SEC-0075</t>
  </si>
  <si>
    <t>SEC-0076</t>
  </si>
  <si>
    <t>SEC-0077</t>
  </si>
  <si>
    <t>SEC-0078</t>
  </si>
  <si>
    <t>SEC-0079</t>
  </si>
  <si>
    <t>SEC-0080</t>
  </si>
  <si>
    <t>SEC-0081</t>
  </si>
  <si>
    <t>SEC-0082</t>
  </si>
  <si>
    <t>SEC-0083</t>
  </si>
  <si>
    <t>SEC-0084</t>
  </si>
  <si>
    <t>SEC-0085</t>
  </si>
  <si>
    <t>SEC-0086</t>
  </si>
  <si>
    <t>SEC-0087</t>
  </si>
  <si>
    <t>SEC-0088</t>
  </si>
  <si>
    <t>SEC-0089</t>
  </si>
  <si>
    <t>SEC-0915</t>
  </si>
  <si>
    <t>I.E. Presbitero Libardo Aguirre</t>
  </si>
  <si>
    <t>Concepción</t>
  </si>
  <si>
    <t>G27</t>
  </si>
  <si>
    <t>SEC-0916</t>
  </si>
  <si>
    <t>SEC-0917</t>
  </si>
  <si>
    <t>SEC-0918</t>
  </si>
  <si>
    <t>SEC-0919</t>
  </si>
  <si>
    <t>SEC-0920</t>
  </si>
  <si>
    <t>SEC-0921</t>
  </si>
  <si>
    <t>SEC-0922</t>
  </si>
  <si>
    <t>SEC-0923</t>
  </si>
  <si>
    <t>SEC-0924</t>
  </si>
  <si>
    <t>SEC-0925</t>
  </si>
  <si>
    <t>SEC-0926</t>
  </si>
  <si>
    <t>SEC-0927</t>
  </si>
  <si>
    <t>SEC-0928</t>
  </si>
  <si>
    <t>SEC-0929</t>
  </si>
  <si>
    <t>SEC-0930</t>
  </si>
  <si>
    <t>SEC-0931</t>
  </si>
  <si>
    <t>SEC-0932</t>
  </si>
  <si>
    <t>SEC-0933</t>
  </si>
  <si>
    <t>SEC-0934</t>
  </si>
  <si>
    <t>SEC-0935</t>
  </si>
  <si>
    <t>SEC-0936</t>
  </si>
  <si>
    <t>SEC-0937</t>
  </si>
  <si>
    <t>SEC-0938</t>
  </si>
  <si>
    <t>SEC-0939</t>
  </si>
  <si>
    <t>SEC-0940</t>
  </si>
  <si>
    <t>SEC-0941</t>
  </si>
  <si>
    <t>SEC-0942</t>
  </si>
  <si>
    <t>SEC-0943</t>
  </si>
  <si>
    <t>SEC-0090</t>
  </si>
  <si>
    <t>I.E. Pueblo Nuevo</t>
  </si>
  <si>
    <t>SEC-0091</t>
  </si>
  <si>
    <t>SEC-0092</t>
  </si>
  <si>
    <t>SEC-0093</t>
  </si>
  <si>
    <t>SEC-0094</t>
  </si>
  <si>
    <t>SEC-0095</t>
  </si>
  <si>
    <t>SEC-0096</t>
  </si>
  <si>
    <t>SEC-0097</t>
  </si>
  <si>
    <t>SEC-0098</t>
  </si>
  <si>
    <t>SEC-0099</t>
  </si>
  <si>
    <t>SEC-0100</t>
  </si>
  <si>
    <t>SEC-0101</t>
  </si>
  <si>
    <t>SEC-0102</t>
  </si>
  <si>
    <t>SEC-0103</t>
  </si>
  <si>
    <t>SEC-0104</t>
  </si>
  <si>
    <t>SEC-0105</t>
  </si>
  <si>
    <t>SEC-0106</t>
  </si>
  <si>
    <t>SEC-0107</t>
  </si>
  <si>
    <t>SEC-0108</t>
  </si>
  <si>
    <t>SEC-0109</t>
  </si>
  <si>
    <t>SEC-0110</t>
  </si>
  <si>
    <t>SEC-0111</t>
  </si>
  <si>
    <t>SEC-0112</t>
  </si>
  <si>
    <t>SEC-0113</t>
  </si>
  <si>
    <t>SEC-0114</t>
  </si>
  <si>
    <t>SEC-0115</t>
  </si>
  <si>
    <t>SEC-0116</t>
  </si>
  <si>
    <t>SEC-0117</t>
  </si>
  <si>
    <t>SEC-0118</t>
  </si>
  <si>
    <t>SEC-0119</t>
  </si>
  <si>
    <t>SEC-0120</t>
  </si>
  <si>
    <t>SEC-0121</t>
  </si>
  <si>
    <t>SEC-0122</t>
  </si>
  <si>
    <t>SEC-0123</t>
  </si>
  <si>
    <t>SEC-0124</t>
  </si>
  <si>
    <t>SEC-0125</t>
  </si>
  <si>
    <t>SEC-0126</t>
  </si>
  <si>
    <t>SEC-0127</t>
  </si>
  <si>
    <t>SEC-0128</t>
  </si>
  <si>
    <t>SEC-1848</t>
  </si>
  <si>
    <t>I.E. San Andres</t>
  </si>
  <si>
    <t>San Andrés de Cuerquia</t>
  </si>
  <si>
    <t>G53</t>
  </si>
  <si>
    <t>SEC-1849</t>
  </si>
  <si>
    <t>SEC-1850</t>
  </si>
  <si>
    <t>SEC-1851</t>
  </si>
  <si>
    <t>SEC-1852</t>
  </si>
  <si>
    <t>SEC-1853</t>
  </si>
  <si>
    <t>SEC-1854</t>
  </si>
  <si>
    <t>SEC-1855</t>
  </si>
  <si>
    <t>SEC-1856</t>
  </si>
  <si>
    <t>SEC-1857</t>
  </si>
  <si>
    <t>SEC-1858</t>
  </si>
  <si>
    <t>SEC-1859</t>
  </si>
  <si>
    <t>SEC-1860</t>
  </si>
  <si>
    <t>SEC-1861</t>
  </si>
  <si>
    <t>SEC-1862</t>
  </si>
  <si>
    <t>SEC-1863</t>
  </si>
  <si>
    <t>SEC-1864</t>
  </si>
  <si>
    <t>SEC-1865</t>
  </si>
  <si>
    <t>SEC-1866</t>
  </si>
  <si>
    <t>SEC-1867</t>
  </si>
  <si>
    <t>SEC-1868</t>
  </si>
  <si>
    <t>SEC-1299</t>
  </si>
  <si>
    <t>I.E. San Diego</t>
  </si>
  <si>
    <t>Liborina</t>
  </si>
  <si>
    <t>G39</t>
  </si>
  <si>
    <t>SEC-1300</t>
  </si>
  <si>
    <t>SEC-1301</t>
  </si>
  <si>
    <t>SEC-1302</t>
  </si>
  <si>
    <t>SEC-1303</t>
  </si>
  <si>
    <t>SEC-1304</t>
  </si>
  <si>
    <t>SEC-1305</t>
  </si>
  <si>
    <t>SEC-1306</t>
  </si>
  <si>
    <t>SEC-1307</t>
  </si>
  <si>
    <t>SEC-1308</t>
  </si>
  <si>
    <t>SEC-1309</t>
  </si>
  <si>
    <t>SEC-1310</t>
  </si>
  <si>
    <t>SEC-1311</t>
  </si>
  <si>
    <t>SEC-1312</t>
  </si>
  <si>
    <t>SEC-1313</t>
  </si>
  <si>
    <t>SEC-1314</t>
  </si>
  <si>
    <t>SEC-1315</t>
  </si>
  <si>
    <t>SEC-1316</t>
  </si>
  <si>
    <t>SEC-1317</t>
  </si>
  <si>
    <t>SEC-1318</t>
  </si>
  <si>
    <t>SEC-1319</t>
  </si>
  <si>
    <t>SEC-1320</t>
  </si>
  <si>
    <t>SEC-1321</t>
  </si>
  <si>
    <t>SEC-1322</t>
  </si>
  <si>
    <t>SEC-1323</t>
  </si>
  <si>
    <t>SEC-1324</t>
  </si>
  <si>
    <t>SEC-1325</t>
  </si>
  <si>
    <t>SEC-1326</t>
  </si>
  <si>
    <t>SEC-1327</t>
  </si>
  <si>
    <t>SEC-1328</t>
  </si>
  <si>
    <t>SEC-1329</t>
  </si>
  <si>
    <t>SEC-1330</t>
  </si>
  <si>
    <t>SEC-1331</t>
  </si>
  <si>
    <t>SEC-1332</t>
  </si>
  <si>
    <t>SEC-0150</t>
  </si>
  <si>
    <t>I.E. San Jose</t>
  </si>
  <si>
    <t>Angelópolis</t>
  </si>
  <si>
    <t>SEC-0151</t>
  </si>
  <si>
    <t>SEC-0152</t>
  </si>
  <si>
    <t>SEC-0153</t>
  </si>
  <si>
    <t>SEC-0154</t>
  </si>
  <si>
    <t>SEC-0155</t>
  </si>
  <si>
    <t>SEC-0156</t>
  </si>
  <si>
    <t>SEC-0157</t>
  </si>
  <si>
    <t>SEC-0158</t>
  </si>
  <si>
    <t>SEC-0159</t>
  </si>
  <si>
    <t>SEC-0160</t>
  </si>
  <si>
    <t>SEC-0161</t>
  </si>
  <si>
    <t>SEC-0162</t>
  </si>
  <si>
    <t>SEC-0163</t>
  </si>
  <si>
    <t>SEC-0164</t>
  </si>
  <si>
    <t>SEC-0165</t>
  </si>
  <si>
    <t>SEC-0166</t>
  </si>
  <si>
    <t>SEC-0167</t>
  </si>
  <si>
    <t>SEC-0389</t>
  </si>
  <si>
    <t>Betulia</t>
  </si>
  <si>
    <t>SEC-0390</t>
  </si>
  <si>
    <t>SEC-0391</t>
  </si>
  <si>
    <t>SEC-0392</t>
  </si>
  <si>
    <t>SEC-0393</t>
  </si>
  <si>
    <t>SEC-0394</t>
  </si>
  <si>
    <t>SEC-0395</t>
  </si>
  <si>
    <t>SEC-0396</t>
  </si>
  <si>
    <t>SEC-0397</t>
  </si>
  <si>
    <t>SEC-0398</t>
  </si>
  <si>
    <t>SEC-0399</t>
  </si>
  <si>
    <t>SEC-0400</t>
  </si>
  <si>
    <t>SEC-0401</t>
  </si>
  <si>
    <t>SEC-0402</t>
  </si>
  <si>
    <t>SEC-0403</t>
  </si>
  <si>
    <t>SEC-0404</t>
  </si>
  <si>
    <t>SEC-0405</t>
  </si>
  <si>
    <t>SEC-0406</t>
  </si>
  <si>
    <t>SEC-0407</t>
  </si>
  <si>
    <t>SEC-0408</t>
  </si>
  <si>
    <t>SEC-0409</t>
  </si>
  <si>
    <t>SEC-0410</t>
  </si>
  <si>
    <t>SEC-0411</t>
  </si>
  <si>
    <t>SEC-0412</t>
  </si>
  <si>
    <t>SEC-0413</t>
  </si>
  <si>
    <t>SEC-0414</t>
  </si>
  <si>
    <t>SEC-0415</t>
  </si>
  <si>
    <t>SEC-0416</t>
  </si>
  <si>
    <t>SEC-0417</t>
  </si>
  <si>
    <t>SEC-0418</t>
  </si>
  <si>
    <t>SEC-0419</t>
  </si>
  <si>
    <t>SEC-0420</t>
  </si>
  <si>
    <t>SEC-0421</t>
  </si>
  <si>
    <t>SEC-0422</t>
  </si>
  <si>
    <t>SEC-0423</t>
  </si>
  <si>
    <t>SEC-0424</t>
  </si>
  <si>
    <t>SEC-0425</t>
  </si>
  <si>
    <t>SEC-0426</t>
  </si>
  <si>
    <t>SEC-0427</t>
  </si>
  <si>
    <t>SEC-0428</t>
  </si>
  <si>
    <t>SEC-0429</t>
  </si>
  <si>
    <t>SEC-0430</t>
  </si>
  <si>
    <t>SEC-0431</t>
  </si>
  <si>
    <t>SEC-1813</t>
  </si>
  <si>
    <t>Sabanalarga</t>
  </si>
  <si>
    <t>SEC-1814</t>
  </si>
  <si>
    <t>SEC-1815</t>
  </si>
  <si>
    <t>SEC-1816</t>
  </si>
  <si>
    <t>SEC-1817</t>
  </si>
  <si>
    <t>SEC-1818</t>
  </si>
  <si>
    <t>SEC-1819</t>
  </si>
  <si>
    <t>SEC-1820</t>
  </si>
  <si>
    <t>SEC-1821</t>
  </si>
  <si>
    <t>SEC-1822</t>
  </si>
  <si>
    <t>SEC-1823</t>
  </si>
  <si>
    <t>SEC-1824</t>
  </si>
  <si>
    <t>SEC-1825</t>
  </si>
  <si>
    <t>SEC-1826</t>
  </si>
  <si>
    <t>SEC-1827</t>
  </si>
  <si>
    <t>SEC-1828</t>
  </si>
  <si>
    <t>SEC-1829</t>
  </si>
  <si>
    <t>SEC-1830</t>
  </si>
  <si>
    <t>SEC-1831</t>
  </si>
  <si>
    <t>SEC-1832</t>
  </si>
  <si>
    <t>SEC-1833</t>
  </si>
  <si>
    <t>SEC-1834</t>
  </si>
  <si>
    <t>SEC-1835</t>
  </si>
  <si>
    <t>SEC-1836</t>
  </si>
  <si>
    <t>SEC-1837</t>
  </si>
  <si>
    <t>SEC-1838</t>
  </si>
  <si>
    <t>SEC-1839</t>
  </si>
  <si>
    <t>SEC-1840</t>
  </si>
  <si>
    <t>SEC-1841</t>
  </si>
  <si>
    <t>SEC-1842</t>
  </si>
  <si>
    <t>SEC-1843</t>
  </si>
  <si>
    <t>SEC-1844</t>
  </si>
  <si>
    <t>SEC-1845</t>
  </si>
  <si>
    <t>SEC-1846</t>
  </si>
  <si>
    <t>SEC-1847</t>
  </si>
  <si>
    <t>SEC-0563</t>
  </si>
  <si>
    <t>I.E. San Juan Bosco</t>
  </si>
  <si>
    <t>Caicedo</t>
  </si>
  <si>
    <t>G16</t>
  </si>
  <si>
    <t>SEC-0564</t>
  </si>
  <si>
    <t>SEC-0565</t>
  </si>
  <si>
    <t>SEC-0566</t>
  </si>
  <si>
    <t>SEC-0567</t>
  </si>
  <si>
    <t>SEC-0568</t>
  </si>
  <si>
    <t>SEC-0569</t>
  </si>
  <si>
    <t>SEC-0570</t>
  </si>
  <si>
    <t>SEC-0571</t>
  </si>
  <si>
    <t>SEC-0572</t>
  </si>
  <si>
    <t>SEC-0573</t>
  </si>
  <si>
    <t>SEC-0574</t>
  </si>
  <si>
    <t>SEC-0575</t>
  </si>
  <si>
    <t>SEC-0576</t>
  </si>
  <si>
    <t>SEC-0577</t>
  </si>
  <si>
    <t>SEC-0578</t>
  </si>
  <si>
    <t>SEC-0579</t>
  </si>
  <si>
    <t>SEC-0580</t>
  </si>
  <si>
    <t>SEC-0581</t>
  </si>
  <si>
    <t>SEC-0582</t>
  </si>
  <si>
    <t>SEC-0583</t>
  </si>
  <si>
    <t>SEC-0584</t>
  </si>
  <si>
    <t>SEC-0585</t>
  </si>
  <si>
    <t>SEC-1905</t>
  </si>
  <si>
    <t>I.E. San Juan de Uraba</t>
  </si>
  <si>
    <t>San Juan de Urabá</t>
  </si>
  <si>
    <t>G55</t>
  </si>
  <si>
    <t>SEC-1906</t>
  </si>
  <si>
    <t>SEC-1907</t>
  </si>
  <si>
    <t>SEC-1908</t>
  </si>
  <si>
    <t>SEC-1909</t>
  </si>
  <si>
    <t>SEC-1910</t>
  </si>
  <si>
    <t>SEC-1911</t>
  </si>
  <si>
    <t>SEC-1912</t>
  </si>
  <si>
    <t>SEC-1913</t>
  </si>
  <si>
    <t>SEC-1914</t>
  </si>
  <si>
    <t>SEC-1915</t>
  </si>
  <si>
    <t>SEC-1916</t>
  </si>
  <si>
    <t>SEC-1917</t>
  </si>
  <si>
    <t>SEC-1918</t>
  </si>
  <si>
    <t>SEC-1919</t>
  </si>
  <si>
    <t>SEC-1920</t>
  </si>
  <si>
    <t>SEC-1921</t>
  </si>
  <si>
    <t>SEC-1922</t>
  </si>
  <si>
    <t>SEC-1923</t>
  </si>
  <si>
    <t>SEC-1924</t>
  </si>
  <si>
    <t>SEC-1925</t>
  </si>
  <si>
    <t>SEC-1926</t>
  </si>
  <si>
    <t>SEC-1927</t>
  </si>
  <si>
    <t>SEC-1928</t>
  </si>
  <si>
    <t>SEC-1929</t>
  </si>
  <si>
    <t>SEC-1930</t>
  </si>
  <si>
    <t>SEC-1931</t>
  </si>
  <si>
    <t>SEC-1932</t>
  </si>
  <si>
    <t>SEC-1933</t>
  </si>
  <si>
    <t>SEC-1934</t>
  </si>
  <si>
    <t>SEC-1935</t>
  </si>
  <si>
    <t>SEC-1936</t>
  </si>
  <si>
    <t>SEC-1937</t>
  </si>
  <si>
    <t>SEC-1938</t>
  </si>
  <si>
    <t>SEC-1939</t>
  </si>
  <si>
    <t>SEC-1940</t>
  </si>
  <si>
    <t>SEC-1941</t>
  </si>
  <si>
    <t>SEC-1942</t>
  </si>
  <si>
    <t>SEC-1943</t>
  </si>
  <si>
    <t>SEC-1944</t>
  </si>
  <si>
    <t>SEC-1945</t>
  </si>
  <si>
    <t>SEC-1946</t>
  </si>
  <si>
    <t>SEC-1947</t>
  </si>
  <si>
    <t>SEC-1948</t>
  </si>
  <si>
    <t>SEC-1949</t>
  </si>
  <si>
    <t>SEC-1950</t>
  </si>
  <si>
    <t>SEC-1951</t>
  </si>
  <si>
    <t>SEC-1952</t>
  </si>
  <si>
    <t>SEC-1953</t>
  </si>
  <si>
    <t>SEC-1954</t>
  </si>
  <si>
    <t>SEC-1955</t>
  </si>
  <si>
    <t>SEC-1956</t>
  </si>
  <si>
    <t>SEC-1957</t>
  </si>
  <si>
    <t>SEC-1958</t>
  </si>
  <si>
    <t>SEC-1959</t>
  </si>
  <si>
    <t>SEC-1960</t>
  </si>
  <si>
    <t>SEC-1961</t>
  </si>
  <si>
    <t>SEC-1962</t>
  </si>
  <si>
    <t>SEC-1963</t>
  </si>
  <si>
    <t>SEC-1964</t>
  </si>
  <si>
    <t>SEC-1965</t>
  </si>
  <si>
    <t>SEC-1966</t>
  </si>
  <si>
    <t>SEC-1967</t>
  </si>
  <si>
    <t>SEC-1968</t>
  </si>
  <si>
    <t>SEC-1969</t>
  </si>
  <si>
    <t>SEC-1970</t>
  </si>
  <si>
    <t>SEC-1971</t>
  </si>
  <si>
    <t>SEC-1972</t>
  </si>
  <si>
    <t>SEC-1973</t>
  </si>
  <si>
    <t>SEC-1974</t>
  </si>
  <si>
    <t>SEC-1975</t>
  </si>
  <si>
    <t>SEC-1976</t>
  </si>
  <si>
    <t>SEC-1977</t>
  </si>
  <si>
    <t>SEC-1978</t>
  </si>
  <si>
    <t>SEC-1979</t>
  </si>
  <si>
    <t>SEC-1980</t>
  </si>
  <si>
    <t>SEC-1981</t>
  </si>
  <si>
    <t>SEC-1982</t>
  </si>
  <si>
    <t>SEC-1983</t>
  </si>
  <si>
    <t>SEC-1984</t>
  </si>
  <si>
    <t>SEC-1985</t>
  </si>
  <si>
    <t>SEC-1986</t>
  </si>
  <si>
    <t>SEC-1987</t>
  </si>
  <si>
    <t>SEC-1988</t>
  </si>
  <si>
    <t>SEC-1989</t>
  </si>
  <si>
    <t>SEC-2109</t>
  </si>
  <si>
    <t>I.E. San Luis Gonzaga</t>
  </si>
  <si>
    <t>Santa Fe de Antioquia</t>
  </si>
  <si>
    <t>G59</t>
  </si>
  <si>
    <t>SEC-2110</t>
  </si>
  <si>
    <t>SEC-2111</t>
  </si>
  <si>
    <t>SEC-2112</t>
  </si>
  <si>
    <t>SEC-2113</t>
  </si>
  <si>
    <t>SEC-2114</t>
  </si>
  <si>
    <t>SEC-2115</t>
  </si>
  <si>
    <t>SEC-2116</t>
  </si>
  <si>
    <t>SEC-2117</t>
  </si>
  <si>
    <t>SEC-2118</t>
  </si>
  <si>
    <t>SEC-2119</t>
  </si>
  <si>
    <t>SEC-2120</t>
  </si>
  <si>
    <t>SEC-2121</t>
  </si>
  <si>
    <t>SEC-2122</t>
  </si>
  <si>
    <t>SEC-2123</t>
  </si>
  <si>
    <t>SEC-2124</t>
  </si>
  <si>
    <t>SEC-2125</t>
  </si>
  <si>
    <t>SEC-2126</t>
  </si>
  <si>
    <t>SEC-2127</t>
  </si>
  <si>
    <t>SEC-2128</t>
  </si>
  <si>
    <t>SEC-2129</t>
  </si>
  <si>
    <t>SEC-2130</t>
  </si>
  <si>
    <t>SEC-2131</t>
  </si>
  <si>
    <t>SEC-2132</t>
  </si>
  <si>
    <t>SEC-2133</t>
  </si>
  <si>
    <t>SEC-2134</t>
  </si>
  <si>
    <t>SEC-2135</t>
  </si>
  <si>
    <t>SEC-2136</t>
  </si>
  <si>
    <t>SEC-2137</t>
  </si>
  <si>
    <t>SEC-2138</t>
  </si>
  <si>
    <t>SEC-2139</t>
  </si>
  <si>
    <t>SEC-2140</t>
  </si>
  <si>
    <t>SEC-2141</t>
  </si>
  <si>
    <t>SEC-2142</t>
  </si>
  <si>
    <t>SEC-2143</t>
  </si>
  <si>
    <t>SEC-2144</t>
  </si>
  <si>
    <t>SEC-2145</t>
  </si>
  <si>
    <t>SEC-2146</t>
  </si>
  <si>
    <t>SEC-2147</t>
  </si>
  <si>
    <t>SEC-2036</t>
  </si>
  <si>
    <t>I.E. San Pedro de Uraba</t>
  </si>
  <si>
    <t>G57</t>
  </si>
  <si>
    <t>SEC-2037</t>
  </si>
  <si>
    <t>SEC-2038</t>
  </si>
  <si>
    <t>SEC-2039</t>
  </si>
  <si>
    <t>SEC-2040</t>
  </si>
  <si>
    <t>SEC-2041</t>
  </si>
  <si>
    <t>SEC-2042</t>
  </si>
  <si>
    <t>SEC-2043</t>
  </si>
  <si>
    <t>SEC-2044</t>
  </si>
  <si>
    <t>SEC-2045</t>
  </si>
  <si>
    <t>SEC-2046</t>
  </si>
  <si>
    <t>SEC-2047</t>
  </si>
  <si>
    <t>SEC-2048</t>
  </si>
  <si>
    <t>SEC-2049</t>
  </si>
  <si>
    <t>SEC-2050</t>
  </si>
  <si>
    <t>SEC-2051</t>
  </si>
  <si>
    <t>SEC-2052</t>
  </si>
  <si>
    <t>SEC-2053</t>
  </si>
  <si>
    <t>SEC-2054</t>
  </si>
  <si>
    <t>SEC-2055</t>
  </si>
  <si>
    <t>SEC-2056</t>
  </si>
  <si>
    <t>SEC-2057</t>
  </si>
  <si>
    <t>SEC-0321</t>
  </si>
  <si>
    <t>I.E. Santa Teresa</t>
  </si>
  <si>
    <t>Argelia</t>
  </si>
  <si>
    <t>G10</t>
  </si>
  <si>
    <t>SEC-0322</t>
  </si>
  <si>
    <t>SEC-0323</t>
  </si>
  <si>
    <t>SEC-0324</t>
  </si>
  <si>
    <t>SEC-0325</t>
  </si>
  <si>
    <t>SEC-0326</t>
  </si>
  <si>
    <t>SEC-0327</t>
  </si>
  <si>
    <t>SEC-0328</t>
  </si>
  <si>
    <t>SEC-0329</t>
  </si>
  <si>
    <t>SEC-0330</t>
  </si>
  <si>
    <t>SEC-0331</t>
  </si>
  <si>
    <t>SEC-0332</t>
  </si>
  <si>
    <t>SEC-0333</t>
  </si>
  <si>
    <t>SEC-0334</t>
  </si>
  <si>
    <t>SEC-0335</t>
  </si>
  <si>
    <t>SEC-0336</t>
  </si>
  <si>
    <t>SEC-0337</t>
  </si>
  <si>
    <t>SEC-0338</t>
  </si>
  <si>
    <t>SEC-0339</t>
  </si>
  <si>
    <t>SEC-0340</t>
  </si>
  <si>
    <t>SEC-0341</t>
  </si>
  <si>
    <t>SEC-0342</t>
  </si>
  <si>
    <t>SEC-0343</t>
  </si>
  <si>
    <t>SEC-0344</t>
  </si>
  <si>
    <t>SEC-0345</t>
  </si>
  <si>
    <t>SEC-0346</t>
  </si>
  <si>
    <t>SEC-0347</t>
  </si>
  <si>
    <t>SEC-0348</t>
  </si>
  <si>
    <t>SEC-0349</t>
  </si>
  <si>
    <t>SEC-0350</t>
  </si>
  <si>
    <t>SEC-0351</t>
  </si>
  <si>
    <t>SEC-0352</t>
  </si>
  <si>
    <t>SEC-0353</t>
  </si>
  <si>
    <t>SEC-0354</t>
  </si>
  <si>
    <t>SEC-0355</t>
  </si>
  <si>
    <t>SEC-0356</t>
  </si>
  <si>
    <t>SEC-0357</t>
  </si>
  <si>
    <t>SEC-0358</t>
  </si>
  <si>
    <t>SEC-0359</t>
  </si>
  <si>
    <t>SEC-0360</t>
  </si>
  <si>
    <t>SEC-0776</t>
  </si>
  <si>
    <t>I.E. Santo Domingo</t>
  </si>
  <si>
    <t>Caucasia</t>
  </si>
  <si>
    <t>G23</t>
  </si>
  <si>
    <t>SEC-0777</t>
  </si>
  <si>
    <t>SEC-0778</t>
  </si>
  <si>
    <t>SEC-0779</t>
  </si>
  <si>
    <t>SEC-0780</t>
  </si>
  <si>
    <t>SEC-0781</t>
  </si>
  <si>
    <t>SEC-0782</t>
  </si>
  <si>
    <t>SEC-0783</t>
  </si>
  <si>
    <t>SEC-0784</t>
  </si>
  <si>
    <t>SEC-0785</t>
  </si>
  <si>
    <t>SEC-0786</t>
  </si>
  <si>
    <t>SEC-0787</t>
  </si>
  <si>
    <t>SEC-0788</t>
  </si>
  <si>
    <t>SEC-0789</t>
  </si>
  <si>
    <t>SEC-0790</t>
  </si>
  <si>
    <t>SEC-0791</t>
  </si>
  <si>
    <t>SEC-0792</t>
  </si>
  <si>
    <t>SEC-0793</t>
  </si>
  <si>
    <t>SEC-0794</t>
  </si>
  <si>
    <t>SEC-0795</t>
  </si>
  <si>
    <t>SEC-0796</t>
  </si>
  <si>
    <t>SEC-0797</t>
  </si>
  <si>
    <t>SEC-0798</t>
  </si>
  <si>
    <t>SEC-0799</t>
  </si>
  <si>
    <t>SEC-0800</t>
  </si>
  <si>
    <t>SEC-0801</t>
  </si>
  <si>
    <t>SEC-0802</t>
  </si>
  <si>
    <t>SEC-0803</t>
  </si>
  <si>
    <t>SEC-0804</t>
  </si>
  <si>
    <t>SEC-0805</t>
  </si>
  <si>
    <t>SEC-0806</t>
  </si>
  <si>
    <t>SEC-0944</t>
  </si>
  <si>
    <t>I.E. Urbana San Jose</t>
  </si>
  <si>
    <t>Ebéjico</t>
  </si>
  <si>
    <t>G28</t>
  </si>
  <si>
    <t>SEC-0945</t>
  </si>
  <si>
    <t>SEC-0946</t>
  </si>
  <si>
    <t>SEC-0947</t>
  </si>
  <si>
    <t>SEC-0948</t>
  </si>
  <si>
    <t>SEC-0949</t>
  </si>
  <si>
    <t>SEC-0950</t>
  </si>
  <si>
    <t>SEC-0951</t>
  </si>
  <si>
    <t>SEC-0952</t>
  </si>
  <si>
    <t>SEC-0953</t>
  </si>
  <si>
    <t>SEC-0954</t>
  </si>
  <si>
    <t>SEC-0955</t>
  </si>
  <si>
    <t>SEC-0956</t>
  </si>
  <si>
    <t>SEC-0957</t>
  </si>
  <si>
    <t>SEC-0958</t>
  </si>
  <si>
    <t>SEC-0959</t>
  </si>
  <si>
    <t>SEC-0960</t>
  </si>
  <si>
    <t>SEC-0961</t>
  </si>
  <si>
    <t>SEC-0962</t>
  </si>
  <si>
    <t>SEC-0963</t>
  </si>
  <si>
    <t>SEC-0964</t>
  </si>
  <si>
    <t>SEC-0965</t>
  </si>
  <si>
    <t>SEC-0966</t>
  </si>
  <si>
    <t>SEC-0967</t>
  </si>
  <si>
    <t>SEC-0968</t>
  </si>
  <si>
    <t>SEC-0969</t>
  </si>
  <si>
    <t>SEC-0970</t>
  </si>
  <si>
    <t>SEC-0971</t>
  </si>
  <si>
    <t>SEC-0972</t>
  </si>
  <si>
    <t>SEC-0973</t>
  </si>
  <si>
    <t>SEC-0974</t>
  </si>
  <si>
    <t>SEC-0975</t>
  </si>
  <si>
    <t>SEC-0976</t>
  </si>
  <si>
    <t>SEC-0977</t>
  </si>
  <si>
    <t>SEC-0978</t>
  </si>
  <si>
    <t>SEC-0979</t>
  </si>
  <si>
    <t>SEC-2367</t>
  </si>
  <si>
    <t>I.E. Vigia del Fuerte</t>
  </si>
  <si>
    <t>Vigía del Fuerte</t>
  </si>
  <si>
    <t>G67</t>
  </si>
  <si>
    <t>SEC-2368</t>
  </si>
  <si>
    <t>SEC-2369</t>
  </si>
  <si>
    <t>SEC-2370</t>
  </si>
  <si>
    <t>SEC-2371</t>
  </si>
  <si>
    <t>SEC-2372</t>
  </si>
  <si>
    <t>SEC-2373</t>
  </si>
  <si>
    <t>SEC-2374</t>
  </si>
  <si>
    <t>SEC-2375</t>
  </si>
  <si>
    <t>SEC-2376</t>
  </si>
  <si>
    <t>SEC-2377</t>
  </si>
  <si>
    <t>SEC-2378</t>
  </si>
  <si>
    <t>SEC-2379</t>
  </si>
  <si>
    <t>SEC-2380</t>
  </si>
  <si>
    <t>SEC-2381</t>
  </si>
  <si>
    <t>SEC-2382</t>
  </si>
  <si>
    <t>SEC-2383</t>
  </si>
  <si>
    <t>SEC-2384</t>
  </si>
  <si>
    <t>SEC-2385</t>
  </si>
  <si>
    <t>SEC-2386</t>
  </si>
  <si>
    <t>SEC-2387</t>
  </si>
  <si>
    <t>SEC-2388</t>
  </si>
  <si>
    <t>SEC-2389</t>
  </si>
  <si>
    <t>SEC-2390</t>
  </si>
  <si>
    <t>SEC-2391</t>
  </si>
  <si>
    <t>SEC-2392</t>
  </si>
  <si>
    <t>SEC-2393</t>
  </si>
  <si>
    <t>SEC-2394</t>
  </si>
  <si>
    <t>SEC-2395</t>
  </si>
  <si>
    <t>SEC-2396</t>
  </si>
  <si>
    <t>SEC-2397</t>
  </si>
  <si>
    <t>SEC-2398</t>
  </si>
  <si>
    <t>SEC-2399</t>
  </si>
  <si>
    <t>SEC-2400</t>
  </si>
  <si>
    <t>SEC-1606</t>
  </si>
  <si>
    <t>I.E. el Salvador</t>
  </si>
  <si>
    <t>Pueblorrico</t>
  </si>
  <si>
    <t>G47</t>
  </si>
  <si>
    <t>SEC-1607</t>
  </si>
  <si>
    <t>SEC-1608</t>
  </si>
  <si>
    <t>SEC-1609</t>
  </si>
  <si>
    <t>SEC-1610</t>
  </si>
  <si>
    <t>SEC-1611</t>
  </si>
  <si>
    <t>SEC-1612</t>
  </si>
  <si>
    <t>SEC-1613</t>
  </si>
  <si>
    <t>SEC-1614</t>
  </si>
  <si>
    <t>SEC-1615</t>
  </si>
  <si>
    <t>SEC-1616</t>
  </si>
  <si>
    <t>SEC-1617</t>
  </si>
  <si>
    <t>SEC-1618</t>
  </si>
  <si>
    <t>SEC-1619</t>
  </si>
  <si>
    <t>SEC-1620</t>
  </si>
  <si>
    <t>SEC-1621</t>
  </si>
  <si>
    <t>SEC-1622</t>
  </si>
  <si>
    <t>SEC-1623</t>
  </si>
  <si>
    <t>SEC-1624</t>
  </si>
  <si>
    <t>SEC-1625</t>
  </si>
  <si>
    <t>SEC-1626</t>
  </si>
  <si>
    <t>SEC-1627</t>
  </si>
  <si>
    <t>SEC-1628</t>
  </si>
  <si>
    <t>SEC-1629</t>
  </si>
  <si>
    <t>SEC-1630</t>
  </si>
  <si>
    <t>SEC-1631</t>
  </si>
  <si>
    <t>SEC-1632</t>
  </si>
  <si>
    <t>SEC-1633</t>
  </si>
  <si>
    <t>SEC-1634</t>
  </si>
  <si>
    <t>SEC-1635</t>
  </si>
  <si>
    <t>SEC-1636</t>
  </si>
  <si>
    <t>SEC-1637</t>
  </si>
  <si>
    <t>SEC-0980</t>
  </si>
  <si>
    <t>I.E. la Esmeralda</t>
  </si>
  <si>
    <t>El Bagre</t>
  </si>
  <si>
    <t>G29</t>
  </si>
  <si>
    <t>SEC-0981</t>
  </si>
  <si>
    <t>SEC-0982</t>
  </si>
  <si>
    <t>SEC-0983</t>
  </si>
  <si>
    <t>SEC-0984</t>
  </si>
  <si>
    <t>SEC-0985</t>
  </si>
  <si>
    <t>SEC-0986</t>
  </si>
  <si>
    <t>SEC-0987</t>
  </si>
  <si>
    <t>SEC-0988</t>
  </si>
  <si>
    <t>SEC-0989</t>
  </si>
  <si>
    <t>SEC-0990</t>
  </si>
  <si>
    <t>SEC-0991</t>
  </si>
  <si>
    <t>SEC-0992</t>
  </si>
  <si>
    <t>SEC-0993</t>
  </si>
  <si>
    <t>SEC-0994</t>
  </si>
  <si>
    <t>SEC-0995</t>
  </si>
  <si>
    <t>SEC-0996</t>
  </si>
  <si>
    <t>SEC-0997</t>
  </si>
  <si>
    <t>SEC-0998</t>
  </si>
  <si>
    <t>SEC-0999</t>
  </si>
  <si>
    <t>SEC-1000</t>
  </si>
  <si>
    <t>SEC-1001</t>
  </si>
  <si>
    <t>SEC-1002</t>
  </si>
  <si>
    <t>SEC-1003</t>
  </si>
  <si>
    <t>SEC-1004</t>
  </si>
  <si>
    <t>SEC-1005</t>
  </si>
  <si>
    <t>SEC-1006</t>
  </si>
  <si>
    <t>SEC-1007</t>
  </si>
  <si>
    <t>SEC-1008</t>
  </si>
  <si>
    <t>SEC-1009</t>
  </si>
  <si>
    <t>SEC-1010</t>
  </si>
  <si>
    <t>SEC-1011</t>
  </si>
  <si>
    <t>SEC-1012</t>
  </si>
  <si>
    <t>SEC-1013</t>
  </si>
  <si>
    <t>SEC-1014</t>
  </si>
  <si>
    <t>SEC-1015</t>
  </si>
  <si>
    <t>SEC-1016</t>
  </si>
  <si>
    <t>SEC-1017</t>
  </si>
  <si>
    <t>SEC-1018</t>
  </si>
  <si>
    <t>SEC-1019</t>
  </si>
  <si>
    <t>SEC-1263</t>
  </si>
  <si>
    <t>I.E. la Pintada</t>
  </si>
  <si>
    <t>La Pintada</t>
  </si>
  <si>
    <t>G38</t>
  </si>
  <si>
    <t>SEC-1264</t>
  </si>
  <si>
    <t>SEC-1265</t>
  </si>
  <si>
    <t>SEC-1266</t>
  </si>
  <si>
    <t>SEC-1267</t>
  </si>
  <si>
    <t>SEC-1268</t>
  </si>
  <si>
    <t>SEC-1269</t>
  </si>
  <si>
    <t>SEC-1270</t>
  </si>
  <si>
    <t>SEC-1271</t>
  </si>
  <si>
    <t>SEC-1272</t>
  </si>
  <si>
    <t>SEC-1273</t>
  </si>
  <si>
    <t>SEC-1274</t>
  </si>
  <si>
    <t>SEC-1275</t>
  </si>
  <si>
    <t>SEC-1276</t>
  </si>
  <si>
    <t>SEC-1277</t>
  </si>
  <si>
    <t>SEC-1278</t>
  </si>
  <si>
    <t>SEC-1279</t>
  </si>
  <si>
    <t>SEC-1280</t>
  </si>
  <si>
    <t>SEC-1281</t>
  </si>
  <si>
    <t>SEC-1282</t>
  </si>
  <si>
    <t>SEC-1283</t>
  </si>
  <si>
    <t>SEC-1284</t>
  </si>
  <si>
    <t>SEC-1285</t>
  </si>
  <si>
    <t>SEC-1286</t>
  </si>
  <si>
    <t>SEC-1287</t>
  </si>
  <si>
    <t>SEC-1288</t>
  </si>
  <si>
    <t>SEC-1289</t>
  </si>
  <si>
    <t>SEC-1290</t>
  </si>
  <si>
    <t>SEC-1291</t>
  </si>
  <si>
    <t>SEC-1292</t>
  </si>
  <si>
    <t>SEC-1293</t>
  </si>
  <si>
    <t>SEC-1294</t>
  </si>
  <si>
    <t>SEC-1295</t>
  </si>
  <si>
    <t>SEC-1296</t>
  </si>
  <si>
    <t>SEC-1297</t>
  </si>
  <si>
    <t>SEC-1298</t>
  </si>
  <si>
    <t>SEC-1020</t>
  </si>
  <si>
    <t>I.E. las Delicias</t>
  </si>
  <si>
    <t>G30</t>
  </si>
  <si>
    <t>SEC-1021</t>
  </si>
  <si>
    <t>SEC-1022</t>
  </si>
  <si>
    <t>SEC-1023</t>
  </si>
  <si>
    <t>SEC-1024</t>
  </si>
  <si>
    <t>SEC-1025</t>
  </si>
  <si>
    <t>SEC-1026</t>
  </si>
  <si>
    <t>SEC-1027</t>
  </si>
  <si>
    <t>SEC-1028</t>
  </si>
  <si>
    <t>SEC-1029</t>
  </si>
  <si>
    <t>SEC-1030</t>
  </si>
  <si>
    <t>SEC-1031</t>
  </si>
  <si>
    <t>SEC-1032</t>
  </si>
  <si>
    <t>SEC-1033</t>
  </si>
  <si>
    <t>SEC-1034</t>
  </si>
  <si>
    <t>SEC-1035</t>
  </si>
  <si>
    <t>SEC-1036</t>
  </si>
  <si>
    <t>SEC-1037</t>
  </si>
  <si>
    <t>SEC-1038</t>
  </si>
  <si>
    <t>SEC-1039</t>
  </si>
  <si>
    <t>SEC-1040</t>
  </si>
  <si>
    <t>SEC-1041</t>
  </si>
  <si>
    <t>SEC-1042</t>
  </si>
  <si>
    <t>SEC-1043</t>
  </si>
  <si>
    <t>SEC-1044</t>
  </si>
  <si>
    <t>SEC-1045</t>
  </si>
  <si>
    <t>SEC-1046</t>
  </si>
  <si>
    <t>SEC-1047</t>
  </si>
  <si>
    <t>SEC-1048</t>
  </si>
  <si>
    <t>SEC-1049</t>
  </si>
  <si>
    <t>SEC-1050</t>
  </si>
  <si>
    <t>SEC-1051</t>
  </si>
  <si>
    <t>SEC-1052</t>
  </si>
  <si>
    <t>SEC-1053</t>
  </si>
  <si>
    <t>SEC-1155</t>
  </si>
  <si>
    <t>I.E. las Mercedes</t>
  </si>
  <si>
    <t>Frontino</t>
  </si>
  <si>
    <t>G34</t>
  </si>
  <si>
    <t>SEC-1156</t>
  </si>
  <si>
    <t>SEC-1157</t>
  </si>
  <si>
    <t>SEC-1158</t>
  </si>
  <si>
    <t>SEC-1159</t>
  </si>
  <si>
    <t>SEC-1160</t>
  </si>
  <si>
    <t>SEC-1161</t>
  </si>
  <si>
    <t>SEC-1162</t>
  </si>
  <si>
    <t>SEC-1163</t>
  </si>
  <si>
    <t>SEC-1164</t>
  </si>
  <si>
    <t>SEC-1165</t>
  </si>
  <si>
    <t>SEC-1166</t>
  </si>
  <si>
    <t>SEC-1167</t>
  </si>
  <si>
    <t>SEC-1168</t>
  </si>
  <si>
    <t>SEC-1169</t>
  </si>
  <si>
    <t>SEC-1170</t>
  </si>
  <si>
    <t>SEC-1171</t>
  </si>
  <si>
    <t>SEC-1172</t>
  </si>
  <si>
    <t>SEC-1173</t>
  </si>
  <si>
    <t>SEC-1174</t>
  </si>
  <si>
    <t>SEC-0465</t>
  </si>
  <si>
    <t>I.E.R. Adolfo Moreno Usuga</t>
  </si>
  <si>
    <t>Buriticá</t>
  </si>
  <si>
    <t>G13</t>
  </si>
  <si>
    <t>SEC-0466</t>
  </si>
  <si>
    <t>SEC-0467</t>
  </si>
  <si>
    <t>SEC-0468</t>
  </si>
  <si>
    <t>SEC-0469</t>
  </si>
  <si>
    <t>SEC-0470</t>
  </si>
  <si>
    <t>SEC-0471</t>
  </si>
  <si>
    <t>SEC-0472</t>
  </si>
  <si>
    <t>SEC-0473</t>
  </si>
  <si>
    <t>SEC-0474</t>
  </si>
  <si>
    <t>SEC-0475</t>
  </si>
  <si>
    <t>SEC-0476</t>
  </si>
  <si>
    <t>SEC-0477</t>
  </si>
  <si>
    <t>SEC-0478</t>
  </si>
  <si>
    <t>SEC-0479</t>
  </si>
  <si>
    <t>SEC-0480</t>
  </si>
  <si>
    <t>SEC-0481</t>
  </si>
  <si>
    <t>SEC-0482</t>
  </si>
  <si>
    <t>SEC-0483</t>
  </si>
  <si>
    <t>SEC-0484</t>
  </si>
  <si>
    <t>SEC-0485</t>
  </si>
  <si>
    <t>SEC-0737</t>
  </si>
  <si>
    <t>I.E.R. Caceri</t>
  </si>
  <si>
    <t>G22</t>
  </si>
  <si>
    <t>SEC-0738</t>
  </si>
  <si>
    <t>SEC-0739</t>
  </si>
  <si>
    <t>SEC-0740</t>
  </si>
  <si>
    <t>SEC-0741</t>
  </si>
  <si>
    <t>SEC-0742</t>
  </si>
  <si>
    <t>SEC-0743</t>
  </si>
  <si>
    <t>SEC-0744</t>
  </si>
  <si>
    <t>SEC-0745</t>
  </si>
  <si>
    <t>SEC-0746</t>
  </si>
  <si>
    <t>SEC-0747</t>
  </si>
  <si>
    <t>SEC-0748</t>
  </si>
  <si>
    <t>SEC-0749</t>
  </si>
  <si>
    <t>SEC-0750</t>
  </si>
  <si>
    <t>SEC-0751</t>
  </si>
  <si>
    <t>SEC-0752</t>
  </si>
  <si>
    <t>SEC-0753</t>
  </si>
  <si>
    <t>SEC-0754</t>
  </si>
  <si>
    <t>SEC-0755</t>
  </si>
  <si>
    <t>SEC-0756</t>
  </si>
  <si>
    <t>SEC-0757</t>
  </si>
  <si>
    <t>SEC-0758</t>
  </si>
  <si>
    <t>SEC-0759</t>
  </si>
  <si>
    <t>SEC-0760</t>
  </si>
  <si>
    <t>SEC-0761</t>
  </si>
  <si>
    <t>SEC-0762</t>
  </si>
  <si>
    <t>SEC-0763</t>
  </si>
  <si>
    <t>SEC-0764</t>
  </si>
  <si>
    <t>SEC-0765</t>
  </si>
  <si>
    <t>SEC-0766</t>
  </si>
  <si>
    <t>SEC-0767</t>
  </si>
  <si>
    <t>SEC-0768</t>
  </si>
  <si>
    <t>SEC-0769</t>
  </si>
  <si>
    <t>SEC-0770</t>
  </si>
  <si>
    <t>SEC-0771</t>
  </si>
  <si>
    <t>SEC-0772</t>
  </si>
  <si>
    <t>SEC-0773</t>
  </si>
  <si>
    <t>SEC-0774</t>
  </si>
  <si>
    <t>SEC-0775</t>
  </si>
  <si>
    <t>SEC-2486</t>
  </si>
  <si>
    <t>I.E.R. Guillermo Aguilar</t>
  </si>
  <si>
    <t>G71</t>
  </si>
  <si>
    <t>SEC-2487</t>
  </si>
  <si>
    <t>SEC-2488</t>
  </si>
  <si>
    <t>SEC-2489</t>
  </si>
  <si>
    <t>SEC-2490</t>
  </si>
  <si>
    <t>SEC-2491</t>
  </si>
  <si>
    <t>SEC-2492</t>
  </si>
  <si>
    <t>SEC-2493</t>
  </si>
  <si>
    <t>SEC-2494</t>
  </si>
  <si>
    <t>SEC-2495</t>
  </si>
  <si>
    <t>SEC-2496</t>
  </si>
  <si>
    <t>SEC-2497</t>
  </si>
  <si>
    <t>SEC-2498</t>
  </si>
  <si>
    <t>SEC-2499</t>
  </si>
  <si>
    <t>SEC-2500</t>
  </si>
  <si>
    <t>SEC-2501</t>
  </si>
  <si>
    <t>SEC-2502</t>
  </si>
  <si>
    <t>SEC-2503</t>
  </si>
  <si>
    <t>SEC-2504</t>
  </si>
  <si>
    <t>SEC-2505</t>
  </si>
  <si>
    <t>SEC-1175</t>
  </si>
  <si>
    <t>I.E.R. Hojas Anchas</t>
  </si>
  <si>
    <t>Guarne</t>
  </si>
  <si>
    <t>G35</t>
  </si>
  <si>
    <t>SEC-1176</t>
  </si>
  <si>
    <t>SEC-1177</t>
  </si>
  <si>
    <t>SEC-1178</t>
  </si>
  <si>
    <t>SEC-1179</t>
  </si>
  <si>
    <t>SEC-1180</t>
  </si>
  <si>
    <t>SEC-1181</t>
  </si>
  <si>
    <t>SEC-1182</t>
  </si>
  <si>
    <t>SEC-1183</t>
  </si>
  <si>
    <t>SEC-1184</t>
  </si>
  <si>
    <t>SEC-1185</t>
  </si>
  <si>
    <t>SEC-1186</t>
  </si>
  <si>
    <t>SEC-1187</t>
  </si>
  <si>
    <t>SEC-1188</t>
  </si>
  <si>
    <t>SEC-1189</t>
  </si>
  <si>
    <t>SEC-1190</t>
  </si>
  <si>
    <t>SEC-1191</t>
  </si>
  <si>
    <t>SEC-1192</t>
  </si>
  <si>
    <t>SEC-1193</t>
  </si>
  <si>
    <t>SEC-1194</t>
  </si>
  <si>
    <t>SEC-1195</t>
  </si>
  <si>
    <t>SEC-1196</t>
  </si>
  <si>
    <t>SEC-1197</t>
  </si>
  <si>
    <t>SEC-1198</t>
  </si>
  <si>
    <t>SEC-1199</t>
  </si>
  <si>
    <t>SEC-1200</t>
  </si>
  <si>
    <t>SEC-1201</t>
  </si>
  <si>
    <t>SEC-1202</t>
  </si>
  <si>
    <t>SEC-1203</t>
  </si>
  <si>
    <t>SEC-1204</t>
  </si>
  <si>
    <t>SEC-1205</t>
  </si>
  <si>
    <t>SEC-1206</t>
  </si>
  <si>
    <t>SEC-1207</t>
  </si>
  <si>
    <t>SEC-2228</t>
  </si>
  <si>
    <t>I.E.R. Jaipera</t>
  </si>
  <si>
    <t>Urrao</t>
  </si>
  <si>
    <t>G63</t>
  </si>
  <si>
    <t>SEC-2229</t>
  </si>
  <si>
    <t>SEC-2230</t>
  </si>
  <si>
    <t>SEC-2231</t>
  </si>
  <si>
    <t>SEC-2232</t>
  </si>
  <si>
    <t>SEC-2233</t>
  </si>
  <si>
    <t>SEC-2234</t>
  </si>
  <si>
    <t>SEC-2235</t>
  </si>
  <si>
    <t>SEC-2236</t>
  </si>
  <si>
    <t>SEC-2237</t>
  </si>
  <si>
    <t>SEC-2238</t>
  </si>
  <si>
    <t>SEC-2239</t>
  </si>
  <si>
    <t>SEC-2240</t>
  </si>
  <si>
    <t>SEC-2241</t>
  </si>
  <si>
    <t>SEC-2242</t>
  </si>
  <si>
    <t>SEC-2243</t>
  </si>
  <si>
    <t>SEC-2244</t>
  </si>
  <si>
    <t>SEC-2245</t>
  </si>
  <si>
    <t>SEC-2246</t>
  </si>
  <si>
    <t>SEC-2247</t>
  </si>
  <si>
    <t>SEC-2248</t>
  </si>
  <si>
    <t>SEC-2249</t>
  </si>
  <si>
    <t>SEC-2250</t>
  </si>
  <si>
    <t>SEC-2251</t>
  </si>
  <si>
    <t>SEC-2252</t>
  </si>
  <si>
    <t>SEC-2253</t>
  </si>
  <si>
    <t>SEC-2254</t>
  </si>
  <si>
    <t>SEC-2255</t>
  </si>
  <si>
    <t>SEC-2256</t>
  </si>
  <si>
    <t>SEC-2257</t>
  </si>
  <si>
    <t>SEC-2258</t>
  </si>
  <si>
    <t>SEC-2259</t>
  </si>
  <si>
    <t>SEC-2260</t>
  </si>
  <si>
    <t>SEC-2261</t>
  </si>
  <si>
    <t>SEC-2262</t>
  </si>
  <si>
    <t>SEC-2263</t>
  </si>
  <si>
    <t>SEC-2264</t>
  </si>
  <si>
    <t>SEC-2265</t>
  </si>
  <si>
    <t>SEC-2266</t>
  </si>
  <si>
    <t>SEC-2267</t>
  </si>
  <si>
    <t>SEC-2268</t>
  </si>
  <si>
    <t>SEC-2269</t>
  </si>
  <si>
    <t>SEC-2270</t>
  </si>
  <si>
    <t>SEC-2271</t>
  </si>
  <si>
    <t>SEC-2272</t>
  </si>
  <si>
    <t>SEC-2273</t>
  </si>
  <si>
    <t>SEC-2274</t>
  </si>
  <si>
    <t>SEC-2275</t>
  </si>
  <si>
    <t>I.E.R. Marco A Rojo</t>
  </si>
  <si>
    <t>Valdivia</t>
  </si>
  <si>
    <t>G64</t>
  </si>
  <si>
    <t>SEC-2276</t>
  </si>
  <si>
    <t>SEC-2277</t>
  </si>
  <si>
    <t>SEC-2278</t>
  </si>
  <si>
    <t>SEC-2279</t>
  </si>
  <si>
    <t>SEC-2280</t>
  </si>
  <si>
    <t>SEC-2281</t>
  </si>
  <si>
    <t>SEC-2282</t>
  </si>
  <si>
    <t>SEC-2283</t>
  </si>
  <si>
    <t>SEC-2284</t>
  </si>
  <si>
    <t>SEC-2285</t>
  </si>
  <si>
    <t>SEC-2286</t>
  </si>
  <si>
    <t>SEC-2287</t>
  </si>
  <si>
    <t>SEC-2288</t>
  </si>
  <si>
    <t>SEC-2289</t>
  </si>
  <si>
    <t>SEC-2290</t>
  </si>
  <si>
    <t>SEC-2291</t>
  </si>
  <si>
    <t>SEC-2292</t>
  </si>
  <si>
    <t>SEC-2293</t>
  </si>
  <si>
    <t>SEC-2294</t>
  </si>
  <si>
    <t>SEC-2295</t>
  </si>
  <si>
    <t>SEC-2296</t>
  </si>
  <si>
    <t>SEC-2297</t>
  </si>
  <si>
    <t>SEC-2298</t>
  </si>
  <si>
    <t>SEC-2299</t>
  </si>
  <si>
    <t>SEC-2300</t>
  </si>
  <si>
    <t>SEC-2301</t>
  </si>
  <si>
    <t>SEC-2302</t>
  </si>
  <si>
    <t>SEC-2303</t>
  </si>
  <si>
    <t>SEC-2304</t>
  </si>
  <si>
    <t>SEC-2305</t>
  </si>
  <si>
    <t>SEC-2306</t>
  </si>
  <si>
    <t>SEC-2307</t>
  </si>
  <si>
    <t>SEC-2308</t>
  </si>
  <si>
    <t>SEC-2309</t>
  </si>
  <si>
    <t>SEC-2310</t>
  </si>
  <si>
    <t>SEC-2311</t>
  </si>
  <si>
    <t>SEC-2312</t>
  </si>
  <si>
    <t>SEC-2313</t>
  </si>
  <si>
    <t>SEC-1563</t>
  </si>
  <si>
    <t>I.E.R. Mellito</t>
  </si>
  <si>
    <t>Necoclí</t>
  </si>
  <si>
    <t>G46</t>
  </si>
  <si>
    <t>SEC-1564</t>
  </si>
  <si>
    <t>SEC-1565</t>
  </si>
  <si>
    <t>SEC-1566</t>
  </si>
  <si>
    <t>SEC-1567</t>
  </si>
  <si>
    <t>SEC-1568</t>
  </si>
  <si>
    <t>SEC-1569</t>
  </si>
  <si>
    <t>SEC-1570</t>
  </si>
  <si>
    <t>SEC-1571</t>
  </si>
  <si>
    <t>SEC-1572</t>
  </si>
  <si>
    <t>SEC-1573</t>
  </si>
  <si>
    <t>SEC-1574</t>
  </si>
  <si>
    <t>SEC-1575</t>
  </si>
  <si>
    <t>SEC-1576</t>
  </si>
  <si>
    <t>SEC-1577</t>
  </si>
  <si>
    <t>SEC-1578</t>
  </si>
  <si>
    <t>SEC-1579</t>
  </si>
  <si>
    <t>SEC-1580</t>
  </si>
  <si>
    <t>SEC-1581</t>
  </si>
  <si>
    <t>SEC-1582</t>
  </si>
  <si>
    <t>SEC-1583</t>
  </si>
  <si>
    <t>SEC-1584</t>
  </si>
  <si>
    <t>SEC-1585</t>
  </si>
  <si>
    <t>SEC-1586</t>
  </si>
  <si>
    <t>SEC-1587</t>
  </si>
  <si>
    <t>SEC-1588</t>
  </si>
  <si>
    <t>SEC-1589</t>
  </si>
  <si>
    <t>SEC-1590</t>
  </si>
  <si>
    <t>SEC-1591</t>
  </si>
  <si>
    <t>SEC-1592</t>
  </si>
  <si>
    <t>SEC-1593</t>
  </si>
  <si>
    <t>SEC-1594</t>
  </si>
  <si>
    <t>SEC-1595</t>
  </si>
  <si>
    <t>SEC-1596</t>
  </si>
  <si>
    <t>SEC-1597</t>
  </si>
  <si>
    <t>SEC-1598</t>
  </si>
  <si>
    <t>SEC-1599</t>
  </si>
  <si>
    <t>SEC-1600</t>
  </si>
  <si>
    <t>SEC-1601</t>
  </si>
  <si>
    <t>SEC-1602</t>
  </si>
  <si>
    <t>SEC-1603</t>
  </si>
  <si>
    <t>SEC-1604</t>
  </si>
  <si>
    <t>SEC-1605</t>
  </si>
  <si>
    <t>SEC-2148</t>
  </si>
  <si>
    <t>I.E.R. Porcesito</t>
  </si>
  <si>
    <t>Santo Domingo</t>
  </si>
  <si>
    <t>G60</t>
  </si>
  <si>
    <t>SEC-2149</t>
  </si>
  <si>
    <t>SEC-2150</t>
  </si>
  <si>
    <t>SEC-2151</t>
  </si>
  <si>
    <t>SEC-2152</t>
  </si>
  <si>
    <t>SEC-2153</t>
  </si>
  <si>
    <t>SEC-2154</t>
  </si>
  <si>
    <t>SEC-2155</t>
  </si>
  <si>
    <t>SEC-2156</t>
  </si>
  <si>
    <t>SEC-2157</t>
  </si>
  <si>
    <t>SEC-2158</t>
  </si>
  <si>
    <t>SEC-2159</t>
  </si>
  <si>
    <t>SEC-2160</t>
  </si>
  <si>
    <t>SEC-2161</t>
  </si>
  <si>
    <t>SEC-2162</t>
  </si>
  <si>
    <t>SEC-2163</t>
  </si>
  <si>
    <t>SEC-2164</t>
  </si>
  <si>
    <t>SEC-2165</t>
  </si>
  <si>
    <t>SEC-2166</t>
  </si>
  <si>
    <t>SEC-2167</t>
  </si>
  <si>
    <t>SEC-2168</t>
  </si>
  <si>
    <t>SEC-1232</t>
  </si>
  <si>
    <t>I.E.R. San Francisco de Asis</t>
  </si>
  <si>
    <t>Jericó</t>
  </si>
  <si>
    <t>G37</t>
  </si>
  <si>
    <t>SEC-1233</t>
  </si>
  <si>
    <t>SEC-1234</t>
  </si>
  <si>
    <t>SEC-1235</t>
  </si>
  <si>
    <t>SEC-1236</t>
  </si>
  <si>
    <t>SEC-1237</t>
  </si>
  <si>
    <t>SEC-1238</t>
  </si>
  <si>
    <t>SEC-1239</t>
  </si>
  <si>
    <t>SEC-1240</t>
  </si>
  <si>
    <t>SEC-1241</t>
  </si>
  <si>
    <t>SEC-1242</t>
  </si>
  <si>
    <t>SEC-1243</t>
  </si>
  <si>
    <t>SEC-1244</t>
  </si>
  <si>
    <t>SEC-1245</t>
  </si>
  <si>
    <t>SEC-1246</t>
  </si>
  <si>
    <t>SEC-1247</t>
  </si>
  <si>
    <t>SEC-1248</t>
  </si>
  <si>
    <t>SEC-1249</t>
  </si>
  <si>
    <t>SEC-1250</t>
  </si>
  <si>
    <t>SEC-1251</t>
  </si>
  <si>
    <t>SEC-1252</t>
  </si>
  <si>
    <t>SEC-1253</t>
  </si>
  <si>
    <t>SEC-1254</t>
  </si>
  <si>
    <t>SEC-1255</t>
  </si>
  <si>
    <t>SEC-1256</t>
  </si>
  <si>
    <t>SEC-1257</t>
  </si>
  <si>
    <t>SEC-1258</t>
  </si>
  <si>
    <t>SEC-1259</t>
  </si>
  <si>
    <t>SEC-1260</t>
  </si>
  <si>
    <t>SEC-1261</t>
  </si>
  <si>
    <t>SEC-1262</t>
  </si>
  <si>
    <t>SEC-0708</t>
  </si>
  <si>
    <t>I.E.R. Zungo Embarcadero</t>
  </si>
  <si>
    <t>G21</t>
  </si>
  <si>
    <t>SEC-0709</t>
  </si>
  <si>
    <t>SEC-0710</t>
  </si>
  <si>
    <t>SEC-0711</t>
  </si>
  <si>
    <t>SEC-0712</t>
  </si>
  <si>
    <t>SEC-0713</t>
  </si>
  <si>
    <t>SEC-0714</t>
  </si>
  <si>
    <t>SEC-0715</t>
  </si>
  <si>
    <t>SEC-0716</t>
  </si>
  <si>
    <t>SEC-0717</t>
  </si>
  <si>
    <t>SEC-0718</t>
  </si>
  <si>
    <t>SEC-0719</t>
  </si>
  <si>
    <t>SEC-0720</t>
  </si>
  <si>
    <t>SEC-0721</t>
  </si>
  <si>
    <t>SEC-0722</t>
  </si>
  <si>
    <t>SEC-0723</t>
  </si>
  <si>
    <t>SEC-0724</t>
  </si>
  <si>
    <t>SEC-0725</t>
  </si>
  <si>
    <t>SEC-0726</t>
  </si>
  <si>
    <t>SEC-0727</t>
  </si>
  <si>
    <t>SEC-0728</t>
  </si>
  <si>
    <t>SEC-0729</t>
  </si>
  <si>
    <t>SEC-0730</t>
  </si>
  <si>
    <t>SEC-0731</t>
  </si>
  <si>
    <t>SEC-0732</t>
  </si>
  <si>
    <t>SEC-0733</t>
  </si>
  <si>
    <t>SEC-0734</t>
  </si>
  <si>
    <t>SEC-0735</t>
  </si>
  <si>
    <t>SEC-0736</t>
  </si>
  <si>
    <t>SEC-1531</t>
  </si>
  <si>
    <t>I.E.R. el Totumo</t>
  </si>
  <si>
    <t>G45</t>
  </si>
  <si>
    <t>SEC-1532</t>
  </si>
  <si>
    <t>SEC-1533</t>
  </si>
  <si>
    <t>SEC-1534</t>
  </si>
  <si>
    <t>SEC-1535</t>
  </si>
  <si>
    <t>SEC-1536</t>
  </si>
  <si>
    <t>SEC-1537</t>
  </si>
  <si>
    <t>SEC-1538</t>
  </si>
  <si>
    <t>SEC-1539</t>
  </si>
  <si>
    <t>SEC-1540</t>
  </si>
  <si>
    <t>SEC-1541</t>
  </si>
  <si>
    <t>SEC-1542</t>
  </si>
  <si>
    <t>SEC-1543</t>
  </si>
  <si>
    <t>SEC-1544</t>
  </si>
  <si>
    <t>SEC-1545</t>
  </si>
  <si>
    <t>SEC-1546</t>
  </si>
  <si>
    <t>SEC-1547</t>
  </si>
  <si>
    <t>SEC-1548</t>
  </si>
  <si>
    <t>SEC-1549</t>
  </si>
  <si>
    <t>SEC-1550</t>
  </si>
  <si>
    <t>SEC-1551</t>
  </si>
  <si>
    <t>SEC-1552</t>
  </si>
  <si>
    <t>SEC-1553</t>
  </si>
  <si>
    <t>SEC-1554</t>
  </si>
  <si>
    <t>SEC-1555</t>
  </si>
  <si>
    <t>SEC-1556</t>
  </si>
  <si>
    <t>SEC-1557</t>
  </si>
  <si>
    <t>SEC-1558</t>
  </si>
  <si>
    <t>SEC-1559</t>
  </si>
  <si>
    <t>SEC-1560</t>
  </si>
  <si>
    <t>SEC-1561</t>
  </si>
  <si>
    <t>SEC-1562</t>
  </si>
  <si>
    <t>SEC-1754</t>
  </si>
  <si>
    <t>I.E.R. la Cruzada</t>
  </si>
  <si>
    <t>G52</t>
  </si>
  <si>
    <t>SEC-1755</t>
  </si>
  <si>
    <t>SEC-1756</t>
  </si>
  <si>
    <t>SEC-1757</t>
  </si>
  <si>
    <t>SEC-1758</t>
  </si>
  <si>
    <t>SEC-1759</t>
  </si>
  <si>
    <t>SEC-1760</t>
  </si>
  <si>
    <t>SEC-1761</t>
  </si>
  <si>
    <t>SEC-1762</t>
  </si>
  <si>
    <t>SEC-1763</t>
  </si>
  <si>
    <t>SEC-1764</t>
  </si>
  <si>
    <t>SEC-1765</t>
  </si>
  <si>
    <t>SEC-1766</t>
  </si>
  <si>
    <t>SEC-1767</t>
  </si>
  <si>
    <t>SEC-1768</t>
  </si>
  <si>
    <t>SEC-1769</t>
  </si>
  <si>
    <t>SEC-1770</t>
  </si>
  <si>
    <t>SEC-1771</t>
  </si>
  <si>
    <t>SEC-1772</t>
  </si>
  <si>
    <t>SEC-1773</t>
  </si>
  <si>
    <t>SEC-1774</t>
  </si>
  <si>
    <t>SEC-1775</t>
  </si>
  <si>
    <t>SEC-1776</t>
  </si>
  <si>
    <t>SEC-1777</t>
  </si>
  <si>
    <t>SEC-1778</t>
  </si>
  <si>
    <t>SEC-1779</t>
  </si>
  <si>
    <t>SEC-1780</t>
  </si>
  <si>
    <t>SEC-1781</t>
  </si>
  <si>
    <t>SEC-1782</t>
  </si>
  <si>
    <t>SEC-1783</t>
  </si>
  <si>
    <t>SEC-1784</t>
  </si>
  <si>
    <t>SEC-1785</t>
  </si>
  <si>
    <t>SEC-1786</t>
  </si>
  <si>
    <t>SEC-1787</t>
  </si>
  <si>
    <t>SEC-1788</t>
  </si>
  <si>
    <t>SEC-1789</t>
  </si>
  <si>
    <t>SEC-1790</t>
  </si>
  <si>
    <t>SEC-1791</t>
  </si>
  <si>
    <t>SEC-1792</t>
  </si>
  <si>
    <t>SEC-1793</t>
  </si>
  <si>
    <t>SEC-1794</t>
  </si>
  <si>
    <t>SEC-1795</t>
  </si>
  <si>
    <t>SEC-1796</t>
  </si>
  <si>
    <t>SEC-1797</t>
  </si>
  <si>
    <t>SEC-1798</t>
  </si>
  <si>
    <t>SEC-1799</t>
  </si>
  <si>
    <t>SEC-1800</t>
  </si>
  <si>
    <t>SEC-1801</t>
  </si>
  <si>
    <t>SEC-1802</t>
  </si>
  <si>
    <t>SEC-1803</t>
  </si>
  <si>
    <t>SEC-1804</t>
  </si>
  <si>
    <t>SEC-1805</t>
  </si>
  <si>
    <t>SEC-1806</t>
  </si>
  <si>
    <t>SEC-1807</t>
  </si>
  <si>
    <t>SEC-1808</t>
  </si>
  <si>
    <t>SEC-1809</t>
  </si>
  <si>
    <t>SEC-1810</t>
  </si>
  <si>
    <t>SEC-1811</t>
  </si>
  <si>
    <t>SEC-1812</t>
  </si>
  <si>
    <t>SEC-1472</t>
  </si>
  <si>
    <t>I.E.R. la Inmaculada Caucheras</t>
  </si>
  <si>
    <t>G43</t>
  </si>
  <si>
    <t>SEC-1473</t>
  </si>
  <si>
    <t>SEC-1474</t>
  </si>
  <si>
    <t>SEC-1475</t>
  </si>
  <si>
    <t>SEC-1476</t>
  </si>
  <si>
    <t>SEC-1477</t>
  </si>
  <si>
    <t>SEC-1478</t>
  </si>
  <si>
    <t>SEC-1479</t>
  </si>
  <si>
    <t>SEC-1480</t>
  </si>
  <si>
    <t>SEC-1481</t>
  </si>
  <si>
    <t>SEC-1482</t>
  </si>
  <si>
    <t>SEC-1483</t>
  </si>
  <si>
    <t>SEC-1484</t>
  </si>
  <si>
    <t>SEC-1485</t>
  </si>
  <si>
    <t>SEC-1486</t>
  </si>
  <si>
    <t>SEC-1487</t>
  </si>
  <si>
    <t>SEC-1488</t>
  </si>
  <si>
    <t>SEC-1489</t>
  </si>
  <si>
    <t>SEC-1490</t>
  </si>
  <si>
    <t>SEC-1491</t>
  </si>
  <si>
    <t>SEC-1492</t>
  </si>
  <si>
    <t>SEC-1493</t>
  </si>
  <si>
    <t>SEC-1494</t>
  </si>
  <si>
    <t>SEC-1495</t>
  </si>
  <si>
    <t>SEC-1672</t>
  </si>
  <si>
    <t>I.E.R. la Sierra</t>
  </si>
  <si>
    <t>Puerto Nare</t>
  </si>
  <si>
    <t>G49</t>
  </si>
  <si>
    <t>SEC-1673</t>
  </si>
  <si>
    <t>SEC-1674</t>
  </si>
  <si>
    <t>SEC-1675</t>
  </si>
  <si>
    <t>SEC-1676</t>
  </si>
  <si>
    <t>SEC-1677</t>
  </si>
  <si>
    <t>SEC-1678</t>
  </si>
  <si>
    <t>SEC-1679</t>
  </si>
  <si>
    <t>SEC-1680</t>
  </si>
  <si>
    <t>SEC-1681</t>
  </si>
  <si>
    <t>SEC-1682</t>
  </si>
  <si>
    <t>SEC-1683</t>
  </si>
  <si>
    <t>SEC-1684</t>
  </si>
  <si>
    <t>SEC-1685</t>
  </si>
  <si>
    <t>SEC-1686</t>
  </si>
  <si>
    <t>SEC-1687</t>
  </si>
  <si>
    <t>SEC-1688</t>
  </si>
  <si>
    <t>SEC-1689</t>
  </si>
  <si>
    <t>SEC-1690</t>
  </si>
  <si>
    <t>SEC-1691</t>
  </si>
  <si>
    <t>SEC-1692</t>
  </si>
  <si>
    <t>SEC-1693</t>
  </si>
  <si>
    <t>SEC-1694</t>
  </si>
  <si>
    <t>SEC-1695</t>
  </si>
  <si>
    <t>SEC-1696</t>
  </si>
  <si>
    <t>SEC-1697</t>
  </si>
  <si>
    <t>SEC-1698</t>
  </si>
  <si>
    <t>SEC-1699</t>
  </si>
  <si>
    <t>SEC-1700</t>
  </si>
  <si>
    <t>SEC-1701</t>
  </si>
  <si>
    <t>SEC-1702</t>
  </si>
  <si>
    <t>SEC-1703</t>
  </si>
  <si>
    <t>I.E.R. la Union</t>
  </si>
  <si>
    <t>G50</t>
  </si>
  <si>
    <t>SEC-1704</t>
  </si>
  <si>
    <t>SEC-1705</t>
  </si>
  <si>
    <t>SEC-1706</t>
  </si>
  <si>
    <t>SEC-1707</t>
  </si>
  <si>
    <t>SEC-1708</t>
  </si>
  <si>
    <t>SEC-1709</t>
  </si>
  <si>
    <t>SEC-1710</t>
  </si>
  <si>
    <t>SEC-1711</t>
  </si>
  <si>
    <t>SEC-1712</t>
  </si>
  <si>
    <t>SEC-1713</t>
  </si>
  <si>
    <t>SEC-1714</t>
  </si>
  <si>
    <t>SEC-1715</t>
  </si>
  <si>
    <t>SEC-1716</t>
  </si>
  <si>
    <t>SEC-1717</t>
  </si>
  <si>
    <t>SEC-1718</t>
  </si>
  <si>
    <t>SEC-1719</t>
  </si>
  <si>
    <t>SEC-1720</t>
  </si>
  <si>
    <t>SEC-1721</t>
  </si>
  <si>
    <t>SEC-1722</t>
  </si>
  <si>
    <t>SEC-1723</t>
  </si>
  <si>
    <t>SEC-1724</t>
  </si>
  <si>
    <t>SEC-1725</t>
  </si>
  <si>
    <t>SEC-1726</t>
  </si>
  <si>
    <t>SEC-1086</t>
  </si>
  <si>
    <t>Palmira</t>
  </si>
  <si>
    <t>G32</t>
  </si>
  <si>
    <t>SEC-1087</t>
  </si>
  <si>
    <t>SEC-1088</t>
  </si>
  <si>
    <t>SEC-1089</t>
  </si>
  <si>
    <t>SEC-1090</t>
  </si>
  <si>
    <t>SEC-1091</t>
  </si>
  <si>
    <t>SEC-1092</t>
  </si>
  <si>
    <t>SEC-1093</t>
  </si>
  <si>
    <t>SEC-1094</t>
  </si>
  <si>
    <t>SEC-1095</t>
  </si>
  <si>
    <t>SEC-1096</t>
  </si>
  <si>
    <t>SEC-1097</t>
  </si>
  <si>
    <t>SEC-1098</t>
  </si>
  <si>
    <t>SEC-1099</t>
  </si>
  <si>
    <t>SEC-1100</t>
  </si>
  <si>
    <t>SEC-1101</t>
  </si>
  <si>
    <t>SEC-1102</t>
  </si>
  <si>
    <t>SEC-1103</t>
  </si>
  <si>
    <t>SEC-1104</t>
  </si>
  <si>
    <t>SEC-1105</t>
  </si>
  <si>
    <t>SEC-1106</t>
  </si>
  <si>
    <t>SEC-1107</t>
  </si>
  <si>
    <t>SEC-1108</t>
  </si>
  <si>
    <t>Histograma del Puntaje Global y ajuste por una variable aleatoria normal</t>
  </si>
  <si>
    <t>PARAMETROS DE LA NORMAL PROPUESTA</t>
  </si>
  <si>
    <t>n (observaciones)</t>
  </si>
  <si>
    <t>Media (mu)</t>
  </si>
  <si>
    <t>Varianza (sigma^2)</t>
  </si>
  <si>
    <t>Desviacion (sigma)</t>
  </si>
  <si>
    <t>Se propone X ~ Normal(mu, sigma^2) con los parametros de arriba, estimados de la muestra.</t>
  </si>
  <si>
    <t>TABLA DE FRECUENCIAS Y FRECUENCIA ESPERADA BAJO LA NORMAL</t>
  </si>
  <si>
    <t>Limite inferior</t>
  </si>
  <si>
    <t>Limite superior</t>
  </si>
  <si>
    <t>Marca de clase</t>
  </si>
  <si>
    <t>Frecuencia observada</t>
  </si>
  <si>
    <t>Frecuencia relativa</t>
  </si>
  <si>
    <t>Frecuencia esperada normal</t>
  </si>
  <si>
    <t>Total</t>
  </si>
  <si>
    <t>PROBABILIDADES CON LA NORMAL PROPUESTA</t>
  </si>
  <si>
    <t>Evento</t>
  </si>
  <si>
    <t>Probabilidad normal</t>
  </si>
  <si>
    <t>Diferencia</t>
  </si>
  <si>
    <t>P(X &lt;= 150), riesgo alto</t>
  </si>
  <si>
    <t>P(150 &lt; X &lt;= 250), rango medio</t>
  </si>
  <si>
    <t>P(X &gt; 250), desempeno alto</t>
  </si>
  <si>
    <t>P(X &gt; 300), acceso competitivo</t>
  </si>
  <si>
    <t>P(X &gt; 350), becas de excelencia</t>
  </si>
  <si>
    <t>COBERTURA POR INTERVALOS DE DESVIACION ESTANDAR</t>
  </si>
  <si>
    <t>Intervalo</t>
  </si>
  <si>
    <t>Observado</t>
  </si>
  <si>
    <t>Normal teorica</t>
  </si>
  <si>
    <t>mu +/- 1 sigma</t>
  </si>
  <si>
    <t>mu +/- 2 sigma</t>
  </si>
  <si>
    <t>mu +/- 3 sigma</t>
  </si>
  <si>
    <t>INSTITUCIONES PARTICIPANTES</t>
  </si>
  <si>
    <t>n_estudiantes y promedio_global corresponden a los registros analizados.</t>
  </si>
  <si>
    <t>precision_ubicacion</t>
  </si>
  <si>
    <t>n_estudiantes</t>
  </si>
  <si>
    <t>promedio_global</t>
  </si>
  <si>
    <t>institucion_fuente</t>
  </si>
  <si>
    <t>colegio</t>
  </si>
  <si>
    <t>ALEJANDRO VÉLEZ BARRIENTOS</t>
  </si>
  <si>
    <t>COMERCIAL</t>
  </si>
  <si>
    <t>DARÍO DE BEDOUT</t>
  </si>
  <si>
    <t>JOSÉ MANUEL RESTREPO</t>
  </si>
  <si>
    <t>JOSÉ MIGUEL DE LA CALLE</t>
  </si>
  <si>
    <t>LA PAZ</t>
  </si>
  <si>
    <t>LAS PALMAS</t>
  </si>
  <si>
    <t>LETICIA ARANGO</t>
  </si>
  <si>
    <t>MANUEL URIBE ÁNGEL</t>
  </si>
  <si>
    <t>MARTÍN EDUARDO</t>
  </si>
  <si>
    <t>MARÍA POUSSEPIN</t>
  </si>
  <si>
    <t>NORMAL SUPERIOR</t>
  </si>
  <si>
    <t>SALADO</t>
  </si>
  <si>
    <t>SAN VICENTE</t>
  </si>
  <si>
    <t>aproximada</t>
  </si>
  <si>
    <t>I.E. Rural El Tablazo</t>
  </si>
  <si>
    <t>ANA GOMEZ</t>
  </si>
  <si>
    <t>ANTONIO DONADO</t>
  </si>
  <si>
    <t>BALTAZAR SALAZAR</t>
  </si>
  <si>
    <t>BARRO BLANCO</t>
  </si>
  <si>
    <t>DOMINGO SAVIO</t>
  </si>
  <si>
    <t>GILBERTO ECHEVERRY</t>
  </si>
  <si>
    <t>GUILLERMO GAVIRIA</t>
  </si>
  <si>
    <t>JOSE MARIA CORDOBA</t>
  </si>
  <si>
    <t>LA MOSQUITA</t>
  </si>
  <si>
    <t>SAN JOSE DE LAS CUCHILLAS</t>
  </si>
  <si>
    <t>SANTA BARBARA</t>
  </si>
  <si>
    <t>TECNICO INDUSTRIAL</t>
  </si>
  <si>
    <t>C. E. R. LAS FLORES</t>
  </si>
  <si>
    <t>I. E. ANORI</t>
  </si>
  <si>
    <t>I. E. ANTONIO NARIÑO</t>
  </si>
  <si>
    <t>I. E. ANTONIO ROLDAN BETANCUR</t>
  </si>
  <si>
    <t>I. E. ANZA</t>
  </si>
  <si>
    <t>I. E. CAMILO TORRES</t>
  </si>
  <si>
    <t>I. E. EDUARDO AGUILAR</t>
  </si>
  <si>
    <t>I. E. EFE GOMEZ</t>
  </si>
  <si>
    <t>I. E. ESCUELA NORMAL SUPERIOR MARIANO OSPINA RODRIGUEZ</t>
  </si>
  <si>
    <t>I. E. FILIBERTO RESTREPO SIERRA</t>
  </si>
  <si>
    <t>I. E. FRANCISCO ABEL GALLEGO</t>
  </si>
  <si>
    <t>I. E. GABRIEL CORREA VELEZ</t>
  </si>
  <si>
    <t>I. E. GUARUMO</t>
  </si>
  <si>
    <t>I. E. JESUS MARIA ROJAS PAGOLA</t>
  </si>
  <si>
    <t>I. E. JOSE MANUEL RESTREPO</t>
  </si>
  <si>
    <t>I. E. JOSE MARIA MUÑOZ FLOREZ</t>
  </si>
  <si>
    <t>I. E. JOSE MARIA VILLA</t>
  </si>
  <si>
    <t>I. E. JUAN EVANGELISTA BERRIO</t>
  </si>
  <si>
    <t>I. E. JUAN PABLO GOMEZ OCHOA</t>
  </si>
  <si>
    <t>I. E. JUAN DE DIOS URIBE</t>
  </si>
  <si>
    <t>I. E. LEON XIII</t>
  </si>
  <si>
    <t>I. E. LIBORIO BATALLER</t>
  </si>
  <si>
    <t>I. E. LLANO DE CORDOBA</t>
  </si>
  <si>
    <t>I. E. LLANOS DE CUIVA</t>
  </si>
  <si>
    <t>I. E. LORENZO YALI</t>
  </si>
  <si>
    <t>I. E. LUIS EDUARDO DIAZ</t>
  </si>
  <si>
    <t>I. E. LUIS FERNANDO RESTREPO RESTREPO</t>
  </si>
  <si>
    <t>I. E. MARIA AUXILIADORA</t>
  </si>
  <si>
    <t>I. E. MIGUEL VICENTE GARRIDO ORTIZ</t>
  </si>
  <si>
    <t>I.E. MUNICIPAL JOSE DE LOS SANTOS ZUÑIGA</t>
  </si>
  <si>
    <t>I. E. MURINDO</t>
  </si>
  <si>
    <t>I. E. MUTATA</t>
  </si>
  <si>
    <t>I. E. NUESTRA SEÑORA DEL ROSARIO</t>
  </si>
  <si>
    <t>I. E. ORLANDO VELASQUEZ ARANGO</t>
  </si>
  <si>
    <t>I. E. PASCUAL CORREA FLOREZ</t>
  </si>
  <si>
    <t>I.E. PBRO. RICARDO LUIS GUTIERREZ TOBON</t>
  </si>
  <si>
    <t>I. E. PEDRO NEL OSPINA</t>
  </si>
  <si>
    <t>I. E. PIAMONTE</t>
  </si>
  <si>
    <t>I. E. PRESBITERO GERARDO MONTOYA</t>
  </si>
  <si>
    <t>I. E. PRESBITERO LIBARDO AGUIRRE</t>
  </si>
  <si>
    <t>I. E. PUEBLO NUEVO</t>
  </si>
  <si>
    <t>I. E. SAN ANDRES</t>
  </si>
  <si>
    <t>I. E. SAN DIEGO</t>
  </si>
  <si>
    <t>I. E. SAN JOSE</t>
  </si>
  <si>
    <t>I. E. SAN JUAN BOSCO</t>
  </si>
  <si>
    <t>I. E. SAN JUAN DE URABA</t>
  </si>
  <si>
    <t>I. E. SAN LUIS GONZAGA</t>
  </si>
  <si>
    <t>I. E. SAN PEDRO DE URABA</t>
  </si>
  <si>
    <t>I. E. SANTA TERESA</t>
  </si>
  <si>
    <t>I. E. SANTO DOMINGO</t>
  </si>
  <si>
    <t>I. E. URBANA SAN JOSE</t>
  </si>
  <si>
    <t>I. E. VIGIA DEL FUERTE</t>
  </si>
  <si>
    <t>I. E. EL SALVADOR</t>
  </si>
  <si>
    <t>I. E. LA ESMERALDA</t>
  </si>
  <si>
    <t>I. E. LA PINTADA</t>
  </si>
  <si>
    <t>I. E. LAS DELICIAS</t>
  </si>
  <si>
    <t>I. E. LAS MERCEDES</t>
  </si>
  <si>
    <t>I. E. R. ADOLFO MORENO USUGA</t>
  </si>
  <si>
    <t>I. E. R. CACERI</t>
  </si>
  <si>
    <t>I. E. R. GUILLERMO AGUILAR</t>
  </si>
  <si>
    <t>I.E.R. HOJAS ANCHAS</t>
  </si>
  <si>
    <t>I. E. R. JAIPERA</t>
  </si>
  <si>
    <t>I. E. R. MARCO A ROJO</t>
  </si>
  <si>
    <t>I. E. R. MELLITO</t>
  </si>
  <si>
    <t>I. E. R. PORCESITO</t>
  </si>
  <si>
    <t>I. E. R. SAN FRANCISCO DE ASIS</t>
  </si>
  <si>
    <t>I. E. R. ZUNGO EMBARCADERO</t>
  </si>
  <si>
    <t>I. E. R. EL TOTUMO</t>
  </si>
  <si>
    <t>I. E. R. LA CRUZADA</t>
  </si>
  <si>
    <t>I. E. R. LA INMACULADA CAUCHERAS</t>
  </si>
  <si>
    <t>I. E. R. LA SIERRA</t>
  </si>
  <si>
    <t>I. E. R. LA UNION</t>
  </si>
  <si>
    <t>PALMIRA</t>
  </si>
  <si>
    <t>SABER 11 OFICIAL POR ESTABLECIMIENTO, PERIODO 2022-2</t>
  </si>
  <si>
    <t>Dataset abierto kgxf-xxbe de datos.gov.co. Periodo mas reciente consultable por API para Antioquia. Sirve de referencia externa para contrastar el nivel del simulacro.</t>
  </si>
  <si>
    <t>periodo</t>
  </si>
  <si>
    <t>establecimiento</t>
  </si>
  <si>
    <t>naturaleza</t>
  </si>
  <si>
    <t>global</t>
  </si>
  <si>
    <t>COLOMBO BRITANICO</t>
  </si>
  <si>
    <t>NO OFICIAL</t>
  </si>
  <si>
    <t>COLEGIO BENEDICTINO DE SANTA MARIA</t>
  </si>
  <si>
    <t>COL FONTAN</t>
  </si>
  <si>
    <t>INSTITUCION EDUCATIVA  MARTIN EDUARDO RIOS LLANOS</t>
  </si>
  <si>
    <t>OFICIAL</t>
  </si>
  <si>
    <t>COLEGIO DE LA PRESENTACION - ENVIGADO</t>
  </si>
  <si>
    <t>GIMNASIO INTEGRAL SANTA ANA</t>
  </si>
  <si>
    <t>COLEGIO TERESIANO</t>
  </si>
  <si>
    <t>UNIDAD EDUCATIVA SAN MARCOS</t>
  </si>
  <si>
    <t>COLEGIO LA SALLE ENVIGADO</t>
  </si>
  <si>
    <t>COLEGIO ALCARAVANES</t>
  </si>
  <si>
    <t>COLEGIO FRANCISCANO PALERMO DE SAN JOSE</t>
  </si>
  <si>
    <t>GIMNASIO CAMPESTRE EL TESORO</t>
  </si>
  <si>
    <t>INSTITUCION EDUCATIVA LA PAZ</t>
  </si>
  <si>
    <t>LICEO FRANCISCO RESTREPO MOLINA</t>
  </si>
  <si>
    <t>COLEGIO HONTANARES</t>
  </si>
  <si>
    <t>I.E. NORMAL SUPERIOR DE ENVIGADO</t>
  </si>
  <si>
    <t>INSTITUCION EDUCATIVA LETICIA ARANGO DE AVENDAÑO</t>
  </si>
  <si>
    <t>INSTITUCION EDUCATIVA ALEJANDRO VELEZ BARRIENTOS</t>
  </si>
  <si>
    <t>INSTITUCION EDUCATIVA SAN VICENTE DE PAUL</t>
  </si>
  <si>
    <t>INSTITUCION EDUCATIVA AVANZAR</t>
  </si>
  <si>
    <t>I.E. JOSE MANUEL RESTREPO VELEZ</t>
  </si>
  <si>
    <t>INSTITUCION EDUCATIVA JOSE MIGUEL DE LA CALLE</t>
  </si>
  <si>
    <t>COLEGIO MANUEL MEJIA VALLEJO</t>
  </si>
  <si>
    <t>INSTITUCION EDUCATIVA DARIO DE BEDOUT</t>
  </si>
  <si>
    <t>INSTITUCION EDUCATIVA COMERCIAL DE ENVIGADO</t>
  </si>
  <si>
    <t>INSTITUCION EDUCATIVA  ANTONIO DONADO CAMACHO</t>
  </si>
  <si>
    <t>INSTITUCION EDUCATIVA MARIA POUSSEPIN</t>
  </si>
  <si>
    <t>CENTRO EDUCATIVO INSTITUTO DE CIENCIAS APLICADAS INDECAP</t>
  </si>
  <si>
    <t>INSTITUCION EDUCATIVA MANUEL URIBE ANGEL</t>
  </si>
  <si>
    <t>INSTITUCION EDUCATIVA LAS PALMAS</t>
  </si>
  <si>
    <t>COLEGIO DE CAPACITACIÓN DE ENVIGADO</t>
  </si>
  <si>
    <t>COLEGIO INTEGRADO LAURELES</t>
  </si>
  <si>
    <t>POLITECNICO INTEGRAL COLOMBIANO</t>
  </si>
  <si>
    <t>INSTITUCI¿N EDUCATIVA EL SALADO</t>
  </si>
  <si>
    <t>Q1</t>
  </si>
  <si>
    <t>Q3</t>
  </si>
  <si>
    <t>Rango</t>
  </si>
  <si>
    <t>Moda</t>
  </si>
  <si>
    <t>Coeficiente de variación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</si>
</sst>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8" formatCode="0.0000000"/>
  </numFmts>
  <fonts count="7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sz val="11"/>
      <color rgb="FF595959"/>
      <name val="Calibri"/>
    </font>
    <font>
      <b/>
      <sz val="11"/>
      <color rgb="FF1F3864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0" borderId="0" xfId="0" applyAlignment="1">
      <alignment vertical="top" wrapText="1"/>
    </xf>
    <xf numFmtId="0" fontId="5" fillId="0" borderId="0" xfId="0" applyFont="1"/>
    <xf numFmtId="0" fontId="6" fillId="3" borderId="0" xfId="0" applyFont="1" applyFill="1" applyAlignment="1">
      <alignment horizontal="center"/>
    </xf>
    <xf numFmtId="1" fontId="4" fillId="2" borderId="0" xfId="0" applyNumberFormat="1" applyFont="1" applyFill="1"/>
    <xf numFmtId="2" fontId="4" fillId="2" borderId="0" xfId="0" applyNumberFormat="1" applyFont="1" applyFill="1"/>
    <xf numFmtId="1" fontId="0" fillId="0" borderId="0" xfId="0" applyNumberFormat="1"/>
    <xf numFmtId="2" fontId="0" fillId="0" borderId="0" xfId="0" applyNumberFormat="1"/>
    <xf numFmtId="0" fontId="6" fillId="3" borderId="0" xfId="0" applyFont="1" applyFill="1" applyAlignment="1">
      <alignment horizontal="center" wrapText="1"/>
    </xf>
    <xf numFmtId="164" fontId="0" fillId="0" borderId="0" xfId="0" applyNumberFormat="1"/>
    <xf numFmtId="165" fontId="0" fillId="0" borderId="0" xfId="0" applyNumberFormat="1"/>
    <xf numFmtId="0" fontId="4" fillId="0" borderId="0" xfId="0" applyFont="1"/>
    <xf numFmtId="164" fontId="4" fillId="2" borderId="0" xfId="0" applyNumberFormat="1" applyFont="1" applyFill="1"/>
    <xf numFmtId="165" fontId="4" fillId="2" borderId="0" xfId="0" applyNumberFormat="1" applyFont="1" applyFill="1"/>
    <xf numFmtId="168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Distribucion del Puntaje Global frente a la normal propuesta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'3_Histograma'!$E$20</c:f>
              <c:strCache>
                <c:ptCount val="1"/>
                <c:pt idx="0">
                  <c:v>Frecuencia observada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'3_Histograma'!$D$21:$D$38</c:f>
              <c:numCache>
                <c:formatCode>General</c:formatCode>
                <c:ptCount val="18"/>
                <c:pt idx="0">
                  <c:v>12.5</c:v>
                </c:pt>
                <c:pt idx="1">
                  <c:v>37.5</c:v>
                </c:pt>
                <c:pt idx="2">
                  <c:v>62.5</c:v>
                </c:pt>
                <c:pt idx="3">
                  <c:v>87.5</c:v>
                </c:pt>
                <c:pt idx="4">
                  <c:v>112.5</c:v>
                </c:pt>
                <c:pt idx="5">
                  <c:v>137.5</c:v>
                </c:pt>
                <c:pt idx="6">
                  <c:v>162.5</c:v>
                </c:pt>
                <c:pt idx="7">
                  <c:v>187.5</c:v>
                </c:pt>
                <c:pt idx="8">
                  <c:v>212.5</c:v>
                </c:pt>
                <c:pt idx="9">
                  <c:v>237.5</c:v>
                </c:pt>
                <c:pt idx="10">
                  <c:v>262.5</c:v>
                </c:pt>
                <c:pt idx="11">
                  <c:v>287.5</c:v>
                </c:pt>
                <c:pt idx="12">
                  <c:v>312.5</c:v>
                </c:pt>
                <c:pt idx="13">
                  <c:v>337.5</c:v>
                </c:pt>
                <c:pt idx="14">
                  <c:v>362.5</c:v>
                </c:pt>
                <c:pt idx="15">
                  <c:v>387.5</c:v>
                </c:pt>
                <c:pt idx="16">
                  <c:v>412.5</c:v>
                </c:pt>
                <c:pt idx="17">
                  <c:v>437.5</c:v>
                </c:pt>
              </c:numCache>
            </c:numRef>
          </c:cat>
          <c:val>
            <c:numRef>
              <c:f>'3_Histograma'!$E$21:$E$38</c:f>
              <c:numCache>
                <c:formatCode>General</c:formatCode>
                <c:ptCount val="18"/>
                <c:pt idx="0">
                  <c:v>0</c:v>
                </c:pt>
                <c:pt idx="1">
                  <c:v>4</c:v>
                </c:pt>
                <c:pt idx="2">
                  <c:v>29</c:v>
                </c:pt>
                <c:pt idx="3">
                  <c:v>51</c:v>
                </c:pt>
                <c:pt idx="4">
                  <c:v>193</c:v>
                </c:pt>
                <c:pt idx="5">
                  <c:v>678</c:v>
                </c:pt>
                <c:pt idx="6">
                  <c:v>873</c:v>
                </c:pt>
                <c:pt idx="7">
                  <c:v>798</c:v>
                </c:pt>
                <c:pt idx="8">
                  <c:v>587</c:v>
                </c:pt>
                <c:pt idx="9">
                  <c:v>392</c:v>
                </c:pt>
                <c:pt idx="10">
                  <c:v>258</c:v>
                </c:pt>
                <c:pt idx="11">
                  <c:v>128</c:v>
                </c:pt>
                <c:pt idx="12">
                  <c:v>105</c:v>
                </c:pt>
                <c:pt idx="13">
                  <c:v>48</c:v>
                </c:pt>
                <c:pt idx="14">
                  <c:v>16</c:v>
                </c:pt>
                <c:pt idx="15">
                  <c:v>14</c:v>
                </c:pt>
                <c:pt idx="16">
                  <c:v>4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F3-449D-877C-8C138A83ED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'3_Histograma'!$G$20</c:f>
              <c:strCache>
                <c:ptCount val="1"/>
                <c:pt idx="0">
                  <c:v>Frecuencia esperada normal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'3_Histograma'!$D$21:$D$38</c:f>
              <c:numCache>
                <c:formatCode>General</c:formatCode>
                <c:ptCount val="18"/>
                <c:pt idx="0">
                  <c:v>12.5</c:v>
                </c:pt>
                <c:pt idx="1">
                  <c:v>37.5</c:v>
                </c:pt>
                <c:pt idx="2">
                  <c:v>62.5</c:v>
                </c:pt>
                <c:pt idx="3">
                  <c:v>87.5</c:v>
                </c:pt>
                <c:pt idx="4">
                  <c:v>112.5</c:v>
                </c:pt>
                <c:pt idx="5">
                  <c:v>137.5</c:v>
                </c:pt>
                <c:pt idx="6">
                  <c:v>162.5</c:v>
                </c:pt>
                <c:pt idx="7">
                  <c:v>187.5</c:v>
                </c:pt>
                <c:pt idx="8">
                  <c:v>212.5</c:v>
                </c:pt>
                <c:pt idx="9">
                  <c:v>237.5</c:v>
                </c:pt>
                <c:pt idx="10">
                  <c:v>262.5</c:v>
                </c:pt>
                <c:pt idx="11">
                  <c:v>287.5</c:v>
                </c:pt>
                <c:pt idx="12">
                  <c:v>312.5</c:v>
                </c:pt>
                <c:pt idx="13">
                  <c:v>337.5</c:v>
                </c:pt>
                <c:pt idx="14">
                  <c:v>362.5</c:v>
                </c:pt>
                <c:pt idx="15">
                  <c:v>387.5</c:v>
                </c:pt>
                <c:pt idx="16">
                  <c:v>412.5</c:v>
                </c:pt>
                <c:pt idx="17">
                  <c:v>437.5</c:v>
                </c:pt>
              </c:numCache>
            </c:numRef>
          </c:cat>
          <c:val>
            <c:numRef>
              <c:f>'3_Histograma'!$G$21:$G$38</c:f>
              <c:numCache>
                <c:formatCode>0.0</c:formatCode>
                <c:ptCount val="18"/>
                <c:pt idx="0">
                  <c:v>3.2892083316189749</c:v>
                </c:pt>
                <c:pt idx="1">
                  <c:v>13.569222382082824</c:v>
                </c:pt>
                <c:pt idx="2">
                  <c:v>45.249560992608515</c:v>
                </c:pt>
                <c:pt idx="3">
                  <c:v>121.97465874310831</c:v>
                </c:pt>
                <c:pt idx="4">
                  <c:v>265.77901344880945</c:v>
                </c:pt>
                <c:pt idx="5">
                  <c:v>468.13120323929604</c:v>
                </c:pt>
                <c:pt idx="6">
                  <c:v>666.5156120412928</c:v>
                </c:pt>
                <c:pt idx="7">
                  <c:v>767.09454557145727</c:v>
                </c:pt>
                <c:pt idx="8">
                  <c:v>713.64675363287074</c:v>
                </c:pt>
                <c:pt idx="9">
                  <c:v>536.67767048538735</c:v>
                </c:pt>
                <c:pt idx="10">
                  <c:v>326.24178834911328</c:v>
                </c:pt>
                <c:pt idx="11">
                  <c:v>160.31032103673704</c:v>
                </c:pt>
                <c:pt idx="12">
                  <c:v>63.67650380572892</c:v>
                </c:pt>
                <c:pt idx="13">
                  <c:v>20.445266139143587</c:v>
                </c:pt>
                <c:pt idx="14">
                  <c:v>5.3064265574776943</c:v>
                </c:pt>
                <c:pt idx="15">
                  <c:v>1.1132876186378562</c:v>
                </c:pt>
                <c:pt idx="16">
                  <c:v>0.18880280056511073</c:v>
                </c:pt>
                <c:pt idx="17">
                  <c:v>2.5882445998379758E-2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AF3-449D-877C-8C138A83ED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Marca de clase del Puntaje Global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Numero de estudiantes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r"/>
        <c:majorGridlines/>
        <c:numFmt formatCode="0.0" sourceLinked="1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3</xdr:row>
      <xdr:rowOff>0</xdr:rowOff>
    </xdr:from>
    <xdr:ext cx="864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34"/>
  <sheetViews>
    <sheetView showGridLines="0" workbookViewId="0">
      <selection activeCell="C25" sqref="C25"/>
    </sheetView>
  </sheetViews>
  <sheetFormatPr baseColWidth="10" defaultColWidth="9.140625" defaultRowHeight="15" x14ac:dyDescent="0.25"/>
  <cols>
    <col min="1" max="1" width="3" customWidth="1"/>
    <col min="2" max="2" width="30" customWidth="1"/>
    <col min="3" max="3" width="95" customWidth="1"/>
  </cols>
  <sheetData>
    <row r="2" spans="2:3" ht="18.75" x14ac:dyDescent="0.3">
      <c r="B2" s="1" t="s">
        <v>0</v>
      </c>
    </row>
    <row r="3" spans="2:3" x14ac:dyDescent="0.25">
      <c r="B3" s="2" t="s">
        <v>1</v>
      </c>
    </row>
    <row r="5" spans="2:3" x14ac:dyDescent="0.25">
      <c r="B5" s="3" t="s">
        <v>2</v>
      </c>
    </row>
    <row r="6" spans="2:3" x14ac:dyDescent="0.25">
      <c r="B6" s="4" t="s">
        <v>3</v>
      </c>
      <c r="C6" s="4" t="s">
        <v>4</v>
      </c>
    </row>
    <row r="7" spans="2:3" x14ac:dyDescent="0.25">
      <c r="B7" t="s">
        <v>5</v>
      </c>
      <c r="C7" t="s">
        <v>6</v>
      </c>
    </row>
    <row r="8" spans="2:3" x14ac:dyDescent="0.25">
      <c r="B8" t="s">
        <v>7</v>
      </c>
      <c r="C8" t="s">
        <v>8</v>
      </c>
    </row>
    <row r="9" spans="2:3" x14ac:dyDescent="0.25">
      <c r="B9" t="s">
        <v>9</v>
      </c>
      <c r="C9" t="s">
        <v>10</v>
      </c>
    </row>
    <row r="11" spans="2:3" x14ac:dyDescent="0.25">
      <c r="B11" s="3" t="s">
        <v>11</v>
      </c>
    </row>
    <row r="13" spans="2:3" x14ac:dyDescent="0.25">
      <c r="B13" t="s">
        <v>12</v>
      </c>
      <c r="C13" t="s">
        <v>13</v>
      </c>
    </row>
    <row r="14" spans="2:3" x14ac:dyDescent="0.25">
      <c r="B14" t="s">
        <v>14</v>
      </c>
      <c r="C14" t="s">
        <v>15</v>
      </c>
    </row>
    <row r="15" spans="2:3" x14ac:dyDescent="0.25">
      <c r="B15" t="s">
        <v>16</v>
      </c>
      <c r="C15" t="s">
        <v>17</v>
      </c>
    </row>
    <row r="16" spans="2:3" x14ac:dyDescent="0.25">
      <c r="B16" t="s">
        <v>18</v>
      </c>
      <c r="C16" t="s">
        <v>19</v>
      </c>
    </row>
    <row r="17" spans="2:3" x14ac:dyDescent="0.25">
      <c r="B17" t="s">
        <v>20</v>
      </c>
      <c r="C17" t="s">
        <v>21</v>
      </c>
    </row>
    <row r="18" spans="2:3" x14ac:dyDescent="0.25">
      <c r="C18" t="s">
        <v>22</v>
      </c>
    </row>
    <row r="20" spans="2:3" x14ac:dyDescent="0.25">
      <c r="B20" s="3" t="s">
        <v>23</v>
      </c>
    </row>
    <row r="22" spans="2:3" x14ac:dyDescent="0.25">
      <c r="B22" t="s">
        <v>24</v>
      </c>
      <c r="C22" t="s">
        <v>25</v>
      </c>
    </row>
    <row r="23" spans="2:3" x14ac:dyDescent="0.25">
      <c r="B23" t="s">
        <v>26</v>
      </c>
      <c r="C23" t="s">
        <v>27</v>
      </c>
    </row>
    <row r="24" spans="2:3" x14ac:dyDescent="0.25">
      <c r="B24" t="s">
        <v>28</v>
      </c>
      <c r="C24" t="s">
        <v>29</v>
      </c>
    </row>
    <row r="25" spans="2:3" x14ac:dyDescent="0.25">
      <c r="B25" t="s">
        <v>30</v>
      </c>
      <c r="C25" t="s">
        <v>31</v>
      </c>
    </row>
    <row r="26" spans="2:3" x14ac:dyDescent="0.25">
      <c r="B26" t="s">
        <v>32</v>
      </c>
      <c r="C26" t="s">
        <v>33</v>
      </c>
    </row>
    <row r="27" spans="2:3" x14ac:dyDescent="0.25">
      <c r="B27" t="s">
        <v>34</v>
      </c>
      <c r="C27" t="s">
        <v>35</v>
      </c>
    </row>
    <row r="29" spans="2:3" x14ac:dyDescent="0.25">
      <c r="B29" s="3" t="s">
        <v>36</v>
      </c>
    </row>
    <row r="30" spans="2:3" x14ac:dyDescent="0.25">
      <c r="B30" t="s">
        <v>37</v>
      </c>
      <c r="C30">
        <v>4180</v>
      </c>
    </row>
    <row r="31" spans="2:3" ht="30" customHeight="1" x14ac:dyDescent="0.25">
      <c r="B31" t="s">
        <v>38</v>
      </c>
      <c r="C31" s="5" t="s">
        <v>39</v>
      </c>
    </row>
    <row r="34" ht="30" customHeight="1" x14ac:dyDescent="0.25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194"/>
  <sheetViews>
    <sheetView showGridLines="0" workbookViewId="0">
      <pane ySplit="14" topLeftCell="A18" activePane="bottomLeft" state="frozen"/>
      <selection pane="bottomLeft" activeCell="D7" sqref="D7"/>
    </sheetView>
  </sheetViews>
  <sheetFormatPr baseColWidth="10" defaultColWidth="9.140625" defaultRowHeight="15" x14ac:dyDescent="0.25"/>
  <cols>
    <col min="1" max="1" width="14" customWidth="1"/>
    <col min="2" max="2" width="15" customWidth="1"/>
    <col min="3" max="3" width="34" customWidth="1"/>
    <col min="4" max="4" width="16" customWidth="1"/>
    <col min="5" max="5" width="12" customWidth="1"/>
    <col min="6" max="6" width="22" customWidth="1"/>
    <col min="7" max="8" width="11" customWidth="1"/>
    <col min="9" max="10" width="8" customWidth="1"/>
    <col min="11" max="11" width="11" customWidth="1"/>
    <col min="12" max="12" width="16" customWidth="1"/>
    <col min="13" max="13" width="15" customWidth="1"/>
    <col min="14" max="14" width="16" customWidth="1"/>
    <col min="15" max="15" width="13" customWidth="1"/>
    <col min="16" max="16" width="11" customWidth="1"/>
    <col min="17" max="17" width="18" customWidth="1"/>
    <col min="18" max="18" width="10" customWidth="1"/>
  </cols>
  <sheetData>
    <row r="1" spans="1:18" ht="18.75" x14ac:dyDescent="0.3">
      <c r="A1" s="1" t="s">
        <v>40</v>
      </c>
    </row>
    <row r="2" spans="1:18" x14ac:dyDescent="0.25">
      <c r="A2" s="6" t="s">
        <v>41</v>
      </c>
    </row>
    <row r="4" spans="1:18" x14ac:dyDescent="0.25">
      <c r="A4" s="7" t="s">
        <v>42</v>
      </c>
      <c r="B4" s="7" t="s">
        <v>43</v>
      </c>
      <c r="C4" s="7" t="s">
        <v>44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49</v>
      </c>
    </row>
    <row r="5" spans="1:18" x14ac:dyDescent="0.25">
      <c r="A5" s="4" t="s">
        <v>50</v>
      </c>
      <c r="B5" s="8">
        <f>COUNT('2_Datos'!$M$15:$M$60000)</f>
        <v>4180</v>
      </c>
      <c r="C5" s="9">
        <f>AVERAGE('2_Datos'!$M$15:$M$60000)</f>
        <v>191.51401913875603</v>
      </c>
      <c r="D5" s="9">
        <f>MEDIAN('2_Datos'!$M$15:$M$60000)</f>
        <v>183</v>
      </c>
      <c r="E5" s="9">
        <f>STDEV('2_Datos'!$M$15:$M$60000)</f>
        <v>54.198389654389786</v>
      </c>
      <c r="F5" s="9">
        <f>VAR('2_Datos'!$M$15:$M$60000)</f>
        <v>2937.4654411290658</v>
      </c>
      <c r="G5" s="9">
        <f>MIN('2_Datos'!$M$15:$M$60000)</f>
        <v>40</v>
      </c>
      <c r="H5" s="9">
        <f>MAX('2_Datos'!$M$15:$M$60000)</f>
        <v>439.7</v>
      </c>
    </row>
    <row r="6" spans="1:18" x14ac:dyDescent="0.25">
      <c r="A6" t="s">
        <v>51</v>
      </c>
      <c r="B6" s="10">
        <f>COUNTIFS('2_Datos'!$B$15:$B$60000,"UdeA",'2_Datos'!$M$15:$M$60000,"&gt;=0")</f>
        <v>165</v>
      </c>
      <c r="C6" s="11">
        <f>AVERAGEIF('2_Datos'!$B$15:$B$60000,"UdeA",'2_Datos'!$M$15:$M$60000)</f>
        <v>292.58424242424235</v>
      </c>
      <c r="D6" s="11">
        <v>289.3</v>
      </c>
      <c r="E6" s="11">
        <v>55.06</v>
      </c>
      <c r="F6" s="11">
        <v>3031.97</v>
      </c>
      <c r="G6" s="11">
        <v>140</v>
      </c>
      <c r="H6" s="11">
        <v>439.7</v>
      </c>
    </row>
    <row r="7" spans="1:18" x14ac:dyDescent="0.25">
      <c r="A7" t="s">
        <v>52</v>
      </c>
      <c r="B7" s="10">
        <f>COUNTIFS('2_Datos'!$B$15:$B$60000,"Envigado",'2_Datos'!$M$15:$M$60000,"&gt;=0")</f>
        <v>938</v>
      </c>
      <c r="C7" s="11">
        <f>AVERAGEIF('2_Datos'!$B$15:$B$60000,"Envigado",'2_Datos'!$M$15:$M$60000)</f>
        <v>209.75373134328359</v>
      </c>
      <c r="D7" s="11">
        <v>207</v>
      </c>
      <c r="E7" s="11">
        <v>55.74</v>
      </c>
      <c r="F7" s="11">
        <v>3106.8</v>
      </c>
      <c r="G7" s="11">
        <v>60</v>
      </c>
      <c r="H7" s="11">
        <v>382</v>
      </c>
    </row>
    <row r="8" spans="1:18" x14ac:dyDescent="0.25">
      <c r="A8" t="s">
        <v>53</v>
      </c>
      <c r="B8" s="10">
        <f>COUNTIFS('2_Datos'!$B$15:$B$60000,"Tablazo",'2_Datos'!$M$15:$M$60000,"&gt;=0")</f>
        <v>22</v>
      </c>
      <c r="C8" s="11">
        <f>AVERAGEIF('2_Datos'!$B$15:$B$60000,"Tablazo",'2_Datos'!$M$15:$M$60000)</f>
        <v>222.5</v>
      </c>
      <c r="D8" s="11">
        <v>226.55</v>
      </c>
      <c r="E8" s="11">
        <v>32.15</v>
      </c>
      <c r="F8" s="11">
        <v>1033.67</v>
      </c>
      <c r="G8" s="11">
        <v>151.4</v>
      </c>
      <c r="H8" s="11">
        <v>281.8</v>
      </c>
    </row>
    <row r="9" spans="1:18" x14ac:dyDescent="0.25">
      <c r="A9" t="s">
        <v>54</v>
      </c>
      <c r="B9" s="10">
        <f>COUNTIFS('2_Datos'!$B$15:$B$60000,"Rionegro",'2_Datos'!$M$15:$M$60000,"&gt;=0")</f>
        <v>450</v>
      </c>
      <c r="C9" s="11">
        <f>AVERAGEIF('2_Datos'!$B$15:$B$60000,"Rionegro",'2_Datos'!$M$15:$M$60000)</f>
        <v>215.26044444444435</v>
      </c>
      <c r="D9" s="11">
        <v>209.3</v>
      </c>
      <c r="E9" s="11">
        <v>59.82</v>
      </c>
      <c r="F9" s="11">
        <v>3578.18</v>
      </c>
      <c r="G9" s="11">
        <v>40.4</v>
      </c>
      <c r="H9" s="11">
        <v>418.5</v>
      </c>
    </row>
    <row r="10" spans="1:18" x14ac:dyDescent="0.25">
      <c r="A10" t="s">
        <v>55</v>
      </c>
      <c r="B10" s="10">
        <f>COUNTIFS('2_Datos'!$B$15:$B$60000,"Semestre Cero",'2_Datos'!$M$15:$M$60000,"&gt;=0")</f>
        <v>2605</v>
      </c>
      <c r="C10" s="11">
        <f>AVERAGEIF('2_Datos'!$B$15:$B$60000,"Semestre Cero",'2_Datos'!$M$15:$M$60000)</f>
        <v>174.18080614203456</v>
      </c>
      <c r="D10" s="11">
        <v>170</v>
      </c>
      <c r="E10" s="11">
        <v>40.08</v>
      </c>
      <c r="F10" s="11">
        <v>1606.74</v>
      </c>
      <c r="G10" s="11">
        <v>40</v>
      </c>
      <c r="H10" s="11">
        <v>335</v>
      </c>
    </row>
    <row r="12" spans="1:18" x14ac:dyDescent="0.25">
      <c r="A12" s="6" t="s">
        <v>56</v>
      </c>
    </row>
    <row r="14" spans="1:18" x14ac:dyDescent="0.25">
      <c r="A14" s="7" t="s">
        <v>57</v>
      </c>
      <c r="B14" s="7" t="s">
        <v>58</v>
      </c>
      <c r="C14" s="7" t="s">
        <v>59</v>
      </c>
      <c r="D14" s="7" t="s">
        <v>60</v>
      </c>
      <c r="E14" s="7" t="s">
        <v>61</v>
      </c>
      <c r="F14" s="7" t="s">
        <v>62</v>
      </c>
      <c r="G14" s="7" t="s">
        <v>63</v>
      </c>
      <c r="H14" s="7" t="s">
        <v>64</v>
      </c>
      <c r="I14" s="7" t="s">
        <v>65</v>
      </c>
      <c r="J14" s="7" t="s">
        <v>66</v>
      </c>
      <c r="K14" s="7" t="s">
        <v>67</v>
      </c>
      <c r="L14" s="7" t="s">
        <v>68</v>
      </c>
      <c r="M14" s="7" t="s">
        <v>69</v>
      </c>
      <c r="N14" s="7" t="s">
        <v>70</v>
      </c>
      <c r="O14" s="7" t="s">
        <v>71</v>
      </c>
      <c r="P14" s="7" t="s">
        <v>72</v>
      </c>
      <c r="Q14" s="7" t="s">
        <v>73</v>
      </c>
      <c r="R14" s="7" t="s">
        <v>74</v>
      </c>
    </row>
    <row r="15" spans="1:18" x14ac:dyDescent="0.25">
      <c r="A15" t="s">
        <v>75</v>
      </c>
      <c r="B15" t="s">
        <v>51</v>
      </c>
      <c r="C15" t="s">
        <v>76</v>
      </c>
      <c r="D15" t="s">
        <v>77</v>
      </c>
      <c r="E15" t="s">
        <v>78</v>
      </c>
      <c r="F15" t="s">
        <v>79</v>
      </c>
      <c r="G15">
        <v>6.2675000000000001</v>
      </c>
      <c r="H15">
        <v>-75.568600000000004</v>
      </c>
      <c r="I15" t="s">
        <v>80</v>
      </c>
      <c r="J15">
        <v>11</v>
      </c>
      <c r="K15">
        <v>197</v>
      </c>
      <c r="L15">
        <v>254</v>
      </c>
      <c r="M15">
        <v>374</v>
      </c>
      <c r="N15">
        <v>75.599999999999994</v>
      </c>
      <c r="O15">
        <v>54</v>
      </c>
      <c r="P15">
        <v>86</v>
      </c>
      <c r="Q15">
        <v>77.599999999999994</v>
      </c>
      <c r="R15">
        <v>92.7</v>
      </c>
    </row>
    <row r="16" spans="1:18" x14ac:dyDescent="0.25">
      <c r="A16" t="s">
        <v>81</v>
      </c>
      <c r="B16" t="s">
        <v>51</v>
      </c>
      <c r="C16" t="s">
        <v>76</v>
      </c>
      <c r="D16" t="s">
        <v>77</v>
      </c>
      <c r="E16" t="s">
        <v>78</v>
      </c>
      <c r="F16" t="s">
        <v>79</v>
      </c>
      <c r="G16">
        <v>6.2675000000000001</v>
      </c>
      <c r="H16">
        <v>-75.568600000000004</v>
      </c>
      <c r="I16" t="s">
        <v>80</v>
      </c>
      <c r="J16">
        <v>11</v>
      </c>
      <c r="K16">
        <v>170</v>
      </c>
      <c r="L16">
        <v>254</v>
      </c>
      <c r="M16">
        <v>327.8</v>
      </c>
      <c r="N16">
        <v>68.3</v>
      </c>
      <c r="O16">
        <v>48</v>
      </c>
      <c r="P16">
        <v>82</v>
      </c>
      <c r="Q16">
        <v>60.3</v>
      </c>
      <c r="R16">
        <v>76.400000000000006</v>
      </c>
    </row>
    <row r="17" spans="1:18" x14ac:dyDescent="0.25">
      <c r="A17" t="s">
        <v>82</v>
      </c>
      <c r="B17" t="s">
        <v>51</v>
      </c>
      <c r="C17" t="s">
        <v>76</v>
      </c>
      <c r="D17" t="s">
        <v>77</v>
      </c>
      <c r="E17" t="s">
        <v>78</v>
      </c>
      <c r="F17" t="s">
        <v>79</v>
      </c>
      <c r="G17">
        <v>6.2675000000000001</v>
      </c>
      <c r="H17">
        <v>-75.568600000000004</v>
      </c>
      <c r="I17" t="s">
        <v>80</v>
      </c>
      <c r="J17">
        <v>11</v>
      </c>
      <c r="K17">
        <v>171</v>
      </c>
      <c r="L17">
        <v>254</v>
      </c>
      <c r="M17">
        <v>331.5</v>
      </c>
      <c r="N17">
        <v>73.2</v>
      </c>
      <c r="O17">
        <v>44</v>
      </c>
      <c r="P17">
        <v>78</v>
      </c>
      <c r="Q17">
        <v>67.2</v>
      </c>
      <c r="R17">
        <v>74.5</v>
      </c>
    </row>
    <row r="18" spans="1:18" x14ac:dyDescent="0.25">
      <c r="A18" t="s">
        <v>83</v>
      </c>
      <c r="B18" t="s">
        <v>51</v>
      </c>
      <c r="C18" t="s">
        <v>76</v>
      </c>
      <c r="D18" t="s">
        <v>77</v>
      </c>
      <c r="E18" t="s">
        <v>78</v>
      </c>
      <c r="F18" t="s">
        <v>79</v>
      </c>
      <c r="G18">
        <v>6.2675000000000001</v>
      </c>
      <c r="H18">
        <v>-75.568600000000004</v>
      </c>
      <c r="I18" t="s">
        <v>80</v>
      </c>
      <c r="J18">
        <v>11</v>
      </c>
      <c r="K18">
        <v>203</v>
      </c>
      <c r="L18">
        <v>254</v>
      </c>
      <c r="M18">
        <v>392.7</v>
      </c>
      <c r="N18">
        <v>85.4</v>
      </c>
      <c r="O18">
        <v>70</v>
      </c>
      <c r="P18">
        <v>84</v>
      </c>
      <c r="Q18">
        <v>70.7</v>
      </c>
      <c r="R18">
        <v>90.9</v>
      </c>
    </row>
    <row r="19" spans="1:18" x14ac:dyDescent="0.25">
      <c r="A19" t="s">
        <v>84</v>
      </c>
      <c r="B19" t="s">
        <v>51</v>
      </c>
      <c r="C19" t="s">
        <v>76</v>
      </c>
      <c r="D19" t="s">
        <v>77</v>
      </c>
      <c r="E19" t="s">
        <v>78</v>
      </c>
      <c r="F19" t="s">
        <v>79</v>
      </c>
      <c r="G19">
        <v>6.2675000000000001</v>
      </c>
      <c r="H19">
        <v>-75.568600000000004</v>
      </c>
      <c r="I19" t="s">
        <v>80</v>
      </c>
      <c r="J19">
        <v>11</v>
      </c>
      <c r="K19">
        <v>173</v>
      </c>
      <c r="L19">
        <v>254</v>
      </c>
      <c r="M19">
        <v>321.7</v>
      </c>
      <c r="N19">
        <v>65.900000000000006</v>
      </c>
      <c r="O19">
        <v>38</v>
      </c>
      <c r="P19">
        <v>78</v>
      </c>
      <c r="Q19">
        <v>67.2</v>
      </c>
      <c r="R19">
        <v>89.1</v>
      </c>
    </row>
    <row r="20" spans="1:18" x14ac:dyDescent="0.25">
      <c r="A20" t="s">
        <v>85</v>
      </c>
      <c r="B20" t="s">
        <v>51</v>
      </c>
      <c r="C20" t="s">
        <v>76</v>
      </c>
      <c r="D20" t="s">
        <v>77</v>
      </c>
      <c r="E20" t="s">
        <v>78</v>
      </c>
      <c r="F20" t="s">
        <v>79</v>
      </c>
      <c r="G20">
        <v>6.2675000000000001</v>
      </c>
      <c r="H20">
        <v>-75.568600000000004</v>
      </c>
      <c r="I20" t="s">
        <v>80</v>
      </c>
      <c r="J20">
        <v>11</v>
      </c>
      <c r="K20">
        <v>144</v>
      </c>
      <c r="L20">
        <v>254</v>
      </c>
      <c r="M20">
        <v>268.89999999999998</v>
      </c>
      <c r="N20">
        <v>70.7</v>
      </c>
      <c r="O20">
        <v>38</v>
      </c>
      <c r="P20">
        <v>42</v>
      </c>
      <c r="Q20">
        <v>56.9</v>
      </c>
      <c r="R20">
        <v>76.400000000000006</v>
      </c>
    </row>
    <row r="21" spans="1:18" x14ac:dyDescent="0.25">
      <c r="A21" t="s">
        <v>86</v>
      </c>
      <c r="B21" t="s">
        <v>51</v>
      </c>
      <c r="C21" t="s">
        <v>76</v>
      </c>
      <c r="D21" t="s">
        <v>77</v>
      </c>
      <c r="E21" t="s">
        <v>78</v>
      </c>
      <c r="F21" t="s">
        <v>79</v>
      </c>
      <c r="G21">
        <v>6.2675000000000001</v>
      </c>
      <c r="H21">
        <v>-75.568600000000004</v>
      </c>
      <c r="I21" t="s">
        <v>80</v>
      </c>
      <c r="J21">
        <v>11</v>
      </c>
      <c r="K21">
        <v>142</v>
      </c>
      <c r="L21">
        <v>254</v>
      </c>
      <c r="M21">
        <v>268.39999999999998</v>
      </c>
      <c r="N21">
        <v>61</v>
      </c>
      <c r="O21">
        <v>32</v>
      </c>
      <c r="P21">
        <v>58</v>
      </c>
      <c r="Q21">
        <v>58.6</v>
      </c>
      <c r="R21">
        <v>69.099999999999994</v>
      </c>
    </row>
    <row r="22" spans="1:18" x14ac:dyDescent="0.25">
      <c r="A22" t="s">
        <v>87</v>
      </c>
      <c r="B22" t="s">
        <v>51</v>
      </c>
      <c r="C22" t="s">
        <v>76</v>
      </c>
      <c r="D22" t="s">
        <v>77</v>
      </c>
      <c r="E22" t="s">
        <v>78</v>
      </c>
      <c r="F22" t="s">
        <v>79</v>
      </c>
      <c r="G22">
        <v>6.2675000000000001</v>
      </c>
      <c r="H22">
        <v>-75.568600000000004</v>
      </c>
      <c r="I22" t="s">
        <v>80</v>
      </c>
      <c r="J22">
        <v>11</v>
      </c>
      <c r="K22">
        <v>158</v>
      </c>
      <c r="L22">
        <v>254</v>
      </c>
      <c r="M22">
        <v>288.89999999999998</v>
      </c>
      <c r="N22">
        <v>61</v>
      </c>
      <c r="O22">
        <v>30</v>
      </c>
      <c r="P22">
        <v>70</v>
      </c>
      <c r="Q22">
        <v>60.3</v>
      </c>
      <c r="R22">
        <v>87.3</v>
      </c>
    </row>
    <row r="23" spans="1:18" x14ac:dyDescent="0.25">
      <c r="A23" t="s">
        <v>88</v>
      </c>
      <c r="B23" t="s">
        <v>51</v>
      </c>
      <c r="C23" t="s">
        <v>76</v>
      </c>
      <c r="D23" t="s">
        <v>77</v>
      </c>
      <c r="E23" t="s">
        <v>78</v>
      </c>
      <c r="F23" t="s">
        <v>79</v>
      </c>
      <c r="G23">
        <v>6.2675000000000001</v>
      </c>
      <c r="H23">
        <v>-75.568600000000004</v>
      </c>
      <c r="I23" t="s">
        <v>80</v>
      </c>
      <c r="J23">
        <v>11</v>
      </c>
      <c r="K23">
        <v>116</v>
      </c>
      <c r="L23">
        <v>254</v>
      </c>
      <c r="M23">
        <v>206.3</v>
      </c>
      <c r="N23">
        <v>41.5</v>
      </c>
      <c r="O23">
        <v>32</v>
      </c>
      <c r="P23">
        <v>42</v>
      </c>
      <c r="Q23">
        <v>39.700000000000003</v>
      </c>
      <c r="R23">
        <v>70.900000000000006</v>
      </c>
    </row>
    <row r="24" spans="1:18" x14ac:dyDescent="0.25">
      <c r="A24" t="s">
        <v>89</v>
      </c>
      <c r="B24" t="s">
        <v>51</v>
      </c>
      <c r="C24" t="s">
        <v>76</v>
      </c>
      <c r="D24" t="s">
        <v>77</v>
      </c>
      <c r="E24" t="s">
        <v>78</v>
      </c>
      <c r="F24" t="s">
        <v>79</v>
      </c>
      <c r="G24">
        <v>6.2675000000000001</v>
      </c>
      <c r="H24">
        <v>-75.568600000000004</v>
      </c>
      <c r="I24" t="s">
        <v>80</v>
      </c>
      <c r="J24">
        <v>11</v>
      </c>
      <c r="K24">
        <v>149</v>
      </c>
      <c r="L24">
        <v>254</v>
      </c>
      <c r="M24">
        <v>291.39999999999998</v>
      </c>
      <c r="N24">
        <v>65.900000000000006</v>
      </c>
      <c r="O24">
        <v>46</v>
      </c>
      <c r="P24">
        <v>66</v>
      </c>
      <c r="Q24">
        <v>53.4</v>
      </c>
      <c r="R24">
        <v>63.6</v>
      </c>
    </row>
    <row r="25" spans="1:18" x14ac:dyDescent="0.25">
      <c r="A25" t="s">
        <v>90</v>
      </c>
      <c r="B25" t="s">
        <v>51</v>
      </c>
      <c r="C25" t="s">
        <v>76</v>
      </c>
      <c r="D25" t="s">
        <v>77</v>
      </c>
      <c r="E25" t="s">
        <v>78</v>
      </c>
      <c r="F25" t="s">
        <v>79</v>
      </c>
      <c r="G25">
        <v>6.2675000000000001</v>
      </c>
      <c r="H25">
        <v>-75.568600000000004</v>
      </c>
      <c r="I25" t="s">
        <v>80</v>
      </c>
      <c r="J25">
        <v>11</v>
      </c>
      <c r="K25">
        <v>104</v>
      </c>
      <c r="L25">
        <v>254</v>
      </c>
      <c r="M25">
        <v>201.8</v>
      </c>
      <c r="N25">
        <v>63.4</v>
      </c>
      <c r="O25">
        <v>22</v>
      </c>
      <c r="P25">
        <v>38</v>
      </c>
      <c r="Q25">
        <v>34.5</v>
      </c>
      <c r="R25">
        <v>50.9</v>
      </c>
    </row>
    <row r="26" spans="1:18" x14ac:dyDescent="0.25">
      <c r="A26" t="s">
        <v>91</v>
      </c>
      <c r="B26" t="s">
        <v>51</v>
      </c>
      <c r="C26" t="s">
        <v>76</v>
      </c>
      <c r="D26" t="s">
        <v>77</v>
      </c>
      <c r="E26" t="s">
        <v>78</v>
      </c>
      <c r="F26" t="s">
        <v>79</v>
      </c>
      <c r="G26">
        <v>6.2675000000000001</v>
      </c>
      <c r="H26">
        <v>-75.568600000000004</v>
      </c>
      <c r="I26" t="s">
        <v>80</v>
      </c>
      <c r="J26">
        <v>11</v>
      </c>
      <c r="K26">
        <v>215</v>
      </c>
      <c r="L26">
        <v>254</v>
      </c>
      <c r="M26">
        <v>410.7</v>
      </c>
      <c r="N26">
        <v>70.7</v>
      </c>
      <c r="O26">
        <v>72</v>
      </c>
      <c r="P26">
        <v>92</v>
      </c>
      <c r="Q26">
        <v>89.7</v>
      </c>
      <c r="R26">
        <v>94.5</v>
      </c>
    </row>
    <row r="27" spans="1:18" x14ac:dyDescent="0.25">
      <c r="A27" t="s">
        <v>92</v>
      </c>
      <c r="B27" t="s">
        <v>51</v>
      </c>
      <c r="C27" t="s">
        <v>76</v>
      </c>
      <c r="D27" t="s">
        <v>77</v>
      </c>
      <c r="E27" t="s">
        <v>78</v>
      </c>
      <c r="F27" t="s">
        <v>79</v>
      </c>
      <c r="G27">
        <v>6.2675000000000001</v>
      </c>
      <c r="H27">
        <v>-75.568600000000004</v>
      </c>
      <c r="I27" t="s">
        <v>80</v>
      </c>
      <c r="J27">
        <v>11</v>
      </c>
      <c r="K27">
        <v>204</v>
      </c>
      <c r="L27">
        <v>254</v>
      </c>
      <c r="M27">
        <v>395.7</v>
      </c>
      <c r="N27">
        <v>85.4</v>
      </c>
      <c r="O27">
        <v>68</v>
      </c>
      <c r="P27">
        <v>92</v>
      </c>
      <c r="Q27">
        <v>67.2</v>
      </c>
      <c r="R27">
        <v>90.9</v>
      </c>
    </row>
    <row r="28" spans="1:18" x14ac:dyDescent="0.25">
      <c r="A28" t="s">
        <v>93</v>
      </c>
      <c r="B28" t="s">
        <v>51</v>
      </c>
      <c r="C28" t="s">
        <v>76</v>
      </c>
      <c r="D28" t="s">
        <v>77</v>
      </c>
      <c r="E28" t="s">
        <v>78</v>
      </c>
      <c r="F28" t="s">
        <v>79</v>
      </c>
      <c r="G28">
        <v>6.2675000000000001</v>
      </c>
      <c r="H28">
        <v>-75.568600000000004</v>
      </c>
      <c r="I28" t="s">
        <v>80</v>
      </c>
      <c r="J28">
        <v>11</v>
      </c>
      <c r="K28">
        <v>134</v>
      </c>
      <c r="L28">
        <v>254</v>
      </c>
      <c r="M28">
        <v>253.8</v>
      </c>
      <c r="N28">
        <v>61</v>
      </c>
      <c r="O28">
        <v>32</v>
      </c>
      <c r="P28">
        <v>74</v>
      </c>
      <c r="Q28">
        <v>29.3</v>
      </c>
      <c r="R28">
        <v>70.900000000000006</v>
      </c>
    </row>
    <row r="29" spans="1:18" x14ac:dyDescent="0.25">
      <c r="A29" t="s">
        <v>94</v>
      </c>
      <c r="B29" t="s">
        <v>51</v>
      </c>
      <c r="C29" t="s">
        <v>76</v>
      </c>
      <c r="D29" t="s">
        <v>77</v>
      </c>
      <c r="E29" t="s">
        <v>78</v>
      </c>
      <c r="F29" t="s">
        <v>79</v>
      </c>
      <c r="G29">
        <v>6.2675000000000001</v>
      </c>
      <c r="H29">
        <v>-75.568600000000004</v>
      </c>
      <c r="I29" t="s">
        <v>80</v>
      </c>
      <c r="J29">
        <v>11</v>
      </c>
      <c r="K29">
        <v>146</v>
      </c>
      <c r="L29">
        <v>254</v>
      </c>
      <c r="M29">
        <v>269.10000000000002</v>
      </c>
      <c r="N29">
        <v>53.7</v>
      </c>
      <c r="O29">
        <v>38</v>
      </c>
      <c r="P29">
        <v>54</v>
      </c>
      <c r="Q29">
        <v>62.1</v>
      </c>
      <c r="R29">
        <v>76.400000000000006</v>
      </c>
    </row>
    <row r="30" spans="1:18" x14ac:dyDescent="0.25">
      <c r="A30" t="s">
        <v>95</v>
      </c>
      <c r="B30" t="s">
        <v>51</v>
      </c>
      <c r="C30" t="s">
        <v>76</v>
      </c>
      <c r="D30" t="s">
        <v>77</v>
      </c>
      <c r="E30" t="s">
        <v>78</v>
      </c>
      <c r="F30" t="s">
        <v>79</v>
      </c>
      <c r="G30">
        <v>6.2675000000000001</v>
      </c>
      <c r="H30">
        <v>-75.568600000000004</v>
      </c>
      <c r="I30" t="s">
        <v>80</v>
      </c>
      <c r="J30">
        <v>11</v>
      </c>
      <c r="K30">
        <v>123</v>
      </c>
      <c r="L30">
        <v>254</v>
      </c>
      <c r="M30">
        <v>254.3</v>
      </c>
      <c r="N30">
        <v>80.5</v>
      </c>
      <c r="O30">
        <v>22</v>
      </c>
      <c r="P30">
        <v>54</v>
      </c>
      <c r="Q30">
        <v>50</v>
      </c>
      <c r="R30">
        <v>41.8</v>
      </c>
    </row>
    <row r="31" spans="1:18" x14ac:dyDescent="0.25">
      <c r="A31" t="s">
        <v>96</v>
      </c>
      <c r="B31" t="s">
        <v>51</v>
      </c>
      <c r="C31" t="s">
        <v>76</v>
      </c>
      <c r="D31" t="s">
        <v>77</v>
      </c>
      <c r="E31" t="s">
        <v>78</v>
      </c>
      <c r="F31" t="s">
        <v>79</v>
      </c>
      <c r="G31">
        <v>6.2675000000000001</v>
      </c>
      <c r="H31">
        <v>-75.568600000000004</v>
      </c>
      <c r="I31" t="s">
        <v>80</v>
      </c>
      <c r="J31">
        <v>11</v>
      </c>
      <c r="K31">
        <v>159</v>
      </c>
      <c r="L31">
        <v>254</v>
      </c>
      <c r="M31">
        <v>305</v>
      </c>
      <c r="N31">
        <v>68.3</v>
      </c>
      <c r="O31">
        <v>56</v>
      </c>
      <c r="P31">
        <v>52</v>
      </c>
      <c r="Q31">
        <v>63.8</v>
      </c>
      <c r="R31">
        <v>72.7</v>
      </c>
    </row>
    <row r="32" spans="1:18" x14ac:dyDescent="0.25">
      <c r="A32" t="s">
        <v>97</v>
      </c>
      <c r="B32" t="s">
        <v>51</v>
      </c>
      <c r="C32" t="s">
        <v>76</v>
      </c>
      <c r="D32" t="s">
        <v>77</v>
      </c>
      <c r="E32" t="s">
        <v>78</v>
      </c>
      <c r="F32" t="s">
        <v>79</v>
      </c>
      <c r="G32">
        <v>6.2675000000000001</v>
      </c>
      <c r="H32">
        <v>-75.568600000000004</v>
      </c>
      <c r="I32" t="s">
        <v>80</v>
      </c>
      <c r="J32">
        <v>11</v>
      </c>
      <c r="K32">
        <v>173</v>
      </c>
      <c r="L32">
        <v>254</v>
      </c>
      <c r="M32">
        <v>331.6</v>
      </c>
      <c r="N32">
        <v>78</v>
      </c>
      <c r="O32">
        <v>54</v>
      </c>
      <c r="P32">
        <v>74</v>
      </c>
      <c r="Q32">
        <v>53.4</v>
      </c>
      <c r="R32">
        <v>83.6</v>
      </c>
    </row>
    <row r="33" spans="1:18" x14ac:dyDescent="0.25">
      <c r="A33" t="s">
        <v>98</v>
      </c>
      <c r="B33" t="s">
        <v>51</v>
      </c>
      <c r="C33" t="s">
        <v>76</v>
      </c>
      <c r="D33" t="s">
        <v>77</v>
      </c>
      <c r="E33" t="s">
        <v>78</v>
      </c>
      <c r="F33" t="s">
        <v>79</v>
      </c>
      <c r="G33">
        <v>6.2675000000000001</v>
      </c>
      <c r="H33">
        <v>-75.568600000000004</v>
      </c>
      <c r="I33" t="s">
        <v>80</v>
      </c>
      <c r="J33">
        <v>11</v>
      </c>
      <c r="K33">
        <v>191</v>
      </c>
      <c r="L33">
        <v>254</v>
      </c>
      <c r="M33">
        <v>368</v>
      </c>
      <c r="N33">
        <v>73.2</v>
      </c>
      <c r="O33">
        <v>62</v>
      </c>
      <c r="P33">
        <v>88</v>
      </c>
      <c r="Q33">
        <v>67.2</v>
      </c>
      <c r="R33">
        <v>85.5</v>
      </c>
    </row>
    <row r="34" spans="1:18" x14ac:dyDescent="0.25">
      <c r="A34" t="s">
        <v>99</v>
      </c>
      <c r="B34" t="s">
        <v>51</v>
      </c>
      <c r="C34" t="s">
        <v>76</v>
      </c>
      <c r="D34" t="s">
        <v>77</v>
      </c>
      <c r="E34" t="s">
        <v>78</v>
      </c>
      <c r="F34" t="s">
        <v>79</v>
      </c>
      <c r="G34">
        <v>6.2675000000000001</v>
      </c>
      <c r="H34">
        <v>-75.568600000000004</v>
      </c>
      <c r="I34" t="s">
        <v>80</v>
      </c>
      <c r="J34">
        <v>11</v>
      </c>
      <c r="K34">
        <v>170</v>
      </c>
      <c r="L34">
        <v>254</v>
      </c>
      <c r="M34">
        <v>322</v>
      </c>
      <c r="N34">
        <v>68.3</v>
      </c>
      <c r="O34">
        <v>48</v>
      </c>
      <c r="P34">
        <v>78</v>
      </c>
      <c r="Q34">
        <v>56.9</v>
      </c>
      <c r="R34">
        <v>83.6</v>
      </c>
    </row>
    <row r="35" spans="1:18" x14ac:dyDescent="0.25">
      <c r="A35" t="s">
        <v>100</v>
      </c>
      <c r="B35" t="s">
        <v>51</v>
      </c>
      <c r="C35" t="s">
        <v>76</v>
      </c>
      <c r="D35" t="s">
        <v>77</v>
      </c>
      <c r="E35" t="s">
        <v>78</v>
      </c>
      <c r="F35" t="s">
        <v>79</v>
      </c>
      <c r="G35">
        <v>6.2675000000000001</v>
      </c>
      <c r="H35">
        <v>-75.568600000000004</v>
      </c>
      <c r="I35" t="s">
        <v>80</v>
      </c>
      <c r="J35">
        <v>11</v>
      </c>
      <c r="K35">
        <v>144</v>
      </c>
      <c r="L35">
        <v>254</v>
      </c>
      <c r="M35">
        <v>268.60000000000002</v>
      </c>
      <c r="N35">
        <v>36.6</v>
      </c>
      <c r="O35">
        <v>48</v>
      </c>
      <c r="P35">
        <v>62</v>
      </c>
      <c r="Q35">
        <v>63.8</v>
      </c>
      <c r="R35">
        <v>67.3</v>
      </c>
    </row>
    <row r="36" spans="1:18" x14ac:dyDescent="0.25">
      <c r="A36" t="s">
        <v>101</v>
      </c>
      <c r="B36" t="s">
        <v>51</v>
      </c>
      <c r="C36" t="s">
        <v>76</v>
      </c>
      <c r="D36" t="s">
        <v>77</v>
      </c>
      <c r="E36" t="s">
        <v>78</v>
      </c>
      <c r="F36" t="s">
        <v>79</v>
      </c>
      <c r="G36">
        <v>6.2675000000000001</v>
      </c>
      <c r="H36">
        <v>-75.568600000000004</v>
      </c>
      <c r="I36" t="s">
        <v>80</v>
      </c>
      <c r="J36">
        <v>11</v>
      </c>
      <c r="K36">
        <v>161</v>
      </c>
      <c r="L36">
        <v>254</v>
      </c>
      <c r="M36">
        <v>308.8</v>
      </c>
      <c r="N36">
        <v>70.7</v>
      </c>
      <c r="O36">
        <v>44</v>
      </c>
      <c r="P36">
        <v>66</v>
      </c>
      <c r="Q36">
        <v>62.1</v>
      </c>
      <c r="R36">
        <v>74.5</v>
      </c>
    </row>
    <row r="37" spans="1:18" x14ac:dyDescent="0.25">
      <c r="A37" t="s">
        <v>102</v>
      </c>
      <c r="B37" t="s">
        <v>51</v>
      </c>
      <c r="C37" t="s">
        <v>76</v>
      </c>
      <c r="D37" t="s">
        <v>77</v>
      </c>
      <c r="E37" t="s">
        <v>78</v>
      </c>
      <c r="F37" t="s">
        <v>79</v>
      </c>
      <c r="G37">
        <v>6.2675000000000001</v>
      </c>
      <c r="H37">
        <v>-75.568600000000004</v>
      </c>
      <c r="I37" t="s">
        <v>80</v>
      </c>
      <c r="J37">
        <v>11</v>
      </c>
      <c r="K37">
        <v>148</v>
      </c>
      <c r="L37">
        <v>254</v>
      </c>
      <c r="M37">
        <v>275.2</v>
      </c>
      <c r="N37">
        <v>65.900000000000006</v>
      </c>
      <c r="O37">
        <v>30</v>
      </c>
      <c r="P37">
        <v>66</v>
      </c>
      <c r="Q37">
        <v>50</v>
      </c>
      <c r="R37">
        <v>80</v>
      </c>
    </row>
    <row r="38" spans="1:18" x14ac:dyDescent="0.25">
      <c r="A38" t="s">
        <v>103</v>
      </c>
      <c r="B38" t="s">
        <v>51</v>
      </c>
      <c r="C38" t="s">
        <v>76</v>
      </c>
      <c r="D38" t="s">
        <v>77</v>
      </c>
      <c r="E38" t="s">
        <v>78</v>
      </c>
      <c r="F38" t="s">
        <v>79</v>
      </c>
      <c r="G38">
        <v>6.2675000000000001</v>
      </c>
      <c r="H38">
        <v>-75.568600000000004</v>
      </c>
      <c r="I38" t="s">
        <v>80</v>
      </c>
      <c r="J38">
        <v>11</v>
      </c>
      <c r="K38">
        <v>155</v>
      </c>
      <c r="L38">
        <v>254</v>
      </c>
      <c r="M38">
        <v>300.7</v>
      </c>
      <c r="N38">
        <v>65.900000000000006</v>
      </c>
      <c r="O38">
        <v>44</v>
      </c>
      <c r="P38">
        <v>68</v>
      </c>
      <c r="Q38">
        <v>60.3</v>
      </c>
      <c r="R38">
        <v>67.3</v>
      </c>
    </row>
    <row r="39" spans="1:18" x14ac:dyDescent="0.25">
      <c r="A39" t="s">
        <v>104</v>
      </c>
      <c r="B39" t="s">
        <v>51</v>
      </c>
      <c r="C39" t="s">
        <v>76</v>
      </c>
      <c r="D39" t="s">
        <v>77</v>
      </c>
      <c r="E39" t="s">
        <v>78</v>
      </c>
      <c r="F39" t="s">
        <v>79</v>
      </c>
      <c r="G39">
        <v>6.2675000000000001</v>
      </c>
      <c r="H39">
        <v>-75.568600000000004</v>
      </c>
      <c r="I39" t="s">
        <v>80</v>
      </c>
      <c r="J39">
        <v>11</v>
      </c>
      <c r="K39">
        <v>179</v>
      </c>
      <c r="L39">
        <v>254</v>
      </c>
      <c r="M39">
        <v>347.5</v>
      </c>
      <c r="N39">
        <v>70.7</v>
      </c>
      <c r="O39">
        <v>54</v>
      </c>
      <c r="P39">
        <v>90</v>
      </c>
      <c r="Q39">
        <v>60.3</v>
      </c>
      <c r="R39">
        <v>78.2</v>
      </c>
    </row>
    <row r="40" spans="1:18" x14ac:dyDescent="0.25">
      <c r="A40" t="s">
        <v>105</v>
      </c>
      <c r="B40" t="s">
        <v>51</v>
      </c>
      <c r="C40" t="s">
        <v>76</v>
      </c>
      <c r="D40" t="s">
        <v>77</v>
      </c>
      <c r="E40" t="s">
        <v>78</v>
      </c>
      <c r="F40" t="s">
        <v>79</v>
      </c>
      <c r="G40">
        <v>6.2675000000000001</v>
      </c>
      <c r="H40">
        <v>-75.568600000000004</v>
      </c>
      <c r="I40" t="s">
        <v>80</v>
      </c>
      <c r="J40">
        <v>11</v>
      </c>
      <c r="K40">
        <v>175</v>
      </c>
      <c r="L40">
        <v>254</v>
      </c>
      <c r="M40">
        <v>332.7</v>
      </c>
      <c r="N40">
        <v>78</v>
      </c>
      <c r="O40">
        <v>46</v>
      </c>
      <c r="P40">
        <v>72</v>
      </c>
      <c r="Q40">
        <v>63.8</v>
      </c>
      <c r="R40">
        <v>85.5</v>
      </c>
    </row>
    <row r="41" spans="1:18" x14ac:dyDescent="0.25">
      <c r="A41" t="s">
        <v>106</v>
      </c>
      <c r="B41" t="s">
        <v>51</v>
      </c>
      <c r="C41" t="s">
        <v>76</v>
      </c>
      <c r="D41" t="s">
        <v>77</v>
      </c>
      <c r="E41" t="s">
        <v>78</v>
      </c>
      <c r="F41" t="s">
        <v>79</v>
      </c>
      <c r="G41">
        <v>6.2675000000000001</v>
      </c>
      <c r="H41">
        <v>-75.568600000000004</v>
      </c>
      <c r="I41" t="s">
        <v>80</v>
      </c>
      <c r="J41">
        <v>11</v>
      </c>
      <c r="K41">
        <v>147</v>
      </c>
      <c r="L41">
        <v>254</v>
      </c>
      <c r="M41">
        <v>273.10000000000002</v>
      </c>
      <c r="N41">
        <v>56.1</v>
      </c>
      <c r="O41">
        <v>24</v>
      </c>
      <c r="P41">
        <v>76</v>
      </c>
      <c r="Q41">
        <v>55.2</v>
      </c>
      <c r="R41">
        <v>76.400000000000006</v>
      </c>
    </row>
    <row r="42" spans="1:18" x14ac:dyDescent="0.25">
      <c r="A42" t="s">
        <v>107</v>
      </c>
      <c r="B42" t="s">
        <v>51</v>
      </c>
      <c r="C42" t="s">
        <v>76</v>
      </c>
      <c r="D42" t="s">
        <v>77</v>
      </c>
      <c r="E42" t="s">
        <v>78</v>
      </c>
      <c r="F42" t="s">
        <v>79</v>
      </c>
      <c r="G42">
        <v>6.2675000000000001</v>
      </c>
      <c r="H42">
        <v>-75.568600000000004</v>
      </c>
      <c r="I42" t="s">
        <v>80</v>
      </c>
      <c r="J42">
        <v>11</v>
      </c>
      <c r="K42">
        <v>164</v>
      </c>
      <c r="L42">
        <v>254</v>
      </c>
      <c r="M42">
        <v>305.2</v>
      </c>
      <c r="N42">
        <v>58.5</v>
      </c>
      <c r="O42">
        <v>56</v>
      </c>
      <c r="P42">
        <v>60</v>
      </c>
      <c r="Q42">
        <v>62.1</v>
      </c>
      <c r="R42">
        <v>83.6</v>
      </c>
    </row>
    <row r="43" spans="1:18" x14ac:dyDescent="0.25">
      <c r="A43" t="s">
        <v>108</v>
      </c>
      <c r="B43" t="s">
        <v>51</v>
      </c>
      <c r="C43" t="s">
        <v>76</v>
      </c>
      <c r="D43" t="s">
        <v>77</v>
      </c>
      <c r="E43" t="s">
        <v>78</v>
      </c>
      <c r="F43" t="s">
        <v>79</v>
      </c>
      <c r="G43">
        <v>6.2675000000000001</v>
      </c>
      <c r="H43">
        <v>-75.568600000000004</v>
      </c>
      <c r="I43" t="s">
        <v>80</v>
      </c>
      <c r="J43">
        <v>11</v>
      </c>
      <c r="K43">
        <v>163</v>
      </c>
      <c r="L43">
        <v>254</v>
      </c>
      <c r="M43">
        <v>327.2</v>
      </c>
      <c r="N43">
        <v>70.7</v>
      </c>
      <c r="O43">
        <v>60</v>
      </c>
      <c r="P43">
        <v>84</v>
      </c>
      <c r="Q43">
        <v>48.3</v>
      </c>
      <c r="R43">
        <v>61.8</v>
      </c>
    </row>
    <row r="44" spans="1:18" x14ac:dyDescent="0.25">
      <c r="A44" t="s">
        <v>109</v>
      </c>
      <c r="B44" t="s">
        <v>51</v>
      </c>
      <c r="C44" t="s">
        <v>76</v>
      </c>
      <c r="D44" t="s">
        <v>77</v>
      </c>
      <c r="E44" t="s">
        <v>78</v>
      </c>
      <c r="F44" t="s">
        <v>79</v>
      </c>
      <c r="G44">
        <v>6.2675000000000001</v>
      </c>
      <c r="H44">
        <v>-75.568600000000004</v>
      </c>
      <c r="I44" t="s">
        <v>110</v>
      </c>
      <c r="J44">
        <v>11</v>
      </c>
      <c r="K44">
        <v>181</v>
      </c>
      <c r="L44">
        <v>254</v>
      </c>
      <c r="M44">
        <v>338.8</v>
      </c>
      <c r="N44">
        <v>56.1</v>
      </c>
      <c r="O44">
        <v>68</v>
      </c>
      <c r="P44">
        <v>60</v>
      </c>
      <c r="Q44">
        <v>81</v>
      </c>
      <c r="R44">
        <v>85.5</v>
      </c>
    </row>
    <row r="45" spans="1:18" x14ac:dyDescent="0.25">
      <c r="A45" t="s">
        <v>111</v>
      </c>
      <c r="B45" t="s">
        <v>51</v>
      </c>
      <c r="C45" t="s">
        <v>76</v>
      </c>
      <c r="D45" t="s">
        <v>77</v>
      </c>
      <c r="E45" t="s">
        <v>78</v>
      </c>
      <c r="F45" t="s">
        <v>79</v>
      </c>
      <c r="G45">
        <v>6.2675000000000001</v>
      </c>
      <c r="H45">
        <v>-75.568600000000004</v>
      </c>
      <c r="I45" t="s">
        <v>110</v>
      </c>
      <c r="J45">
        <v>11</v>
      </c>
      <c r="K45">
        <v>150</v>
      </c>
      <c r="L45">
        <v>254</v>
      </c>
      <c r="M45">
        <v>275.89999999999998</v>
      </c>
      <c r="N45">
        <v>61</v>
      </c>
      <c r="O45">
        <v>46</v>
      </c>
      <c r="P45">
        <v>56</v>
      </c>
      <c r="Q45">
        <v>48.3</v>
      </c>
      <c r="R45">
        <v>83.6</v>
      </c>
    </row>
    <row r="46" spans="1:18" x14ac:dyDescent="0.25">
      <c r="A46" t="s">
        <v>112</v>
      </c>
      <c r="B46" t="s">
        <v>51</v>
      </c>
      <c r="C46" t="s">
        <v>76</v>
      </c>
      <c r="D46" t="s">
        <v>77</v>
      </c>
      <c r="E46" t="s">
        <v>78</v>
      </c>
      <c r="F46" t="s">
        <v>79</v>
      </c>
      <c r="G46">
        <v>6.2675000000000001</v>
      </c>
      <c r="H46">
        <v>-75.568600000000004</v>
      </c>
      <c r="I46" t="s">
        <v>110</v>
      </c>
      <c r="J46">
        <v>11</v>
      </c>
      <c r="K46">
        <v>66</v>
      </c>
      <c r="L46">
        <v>120</v>
      </c>
      <c r="M46">
        <v>260.5</v>
      </c>
      <c r="N46">
        <v>75.599999999999994</v>
      </c>
      <c r="O46">
        <v>36</v>
      </c>
      <c r="P46">
        <v>52</v>
      </c>
      <c r="Q46">
        <v>44.8</v>
      </c>
    </row>
    <row r="47" spans="1:18" x14ac:dyDescent="0.25">
      <c r="A47" t="s">
        <v>113</v>
      </c>
      <c r="B47" t="s">
        <v>51</v>
      </c>
      <c r="C47" t="s">
        <v>76</v>
      </c>
      <c r="D47" t="s">
        <v>77</v>
      </c>
      <c r="E47" t="s">
        <v>78</v>
      </c>
      <c r="F47" t="s">
        <v>79</v>
      </c>
      <c r="G47">
        <v>6.2675000000000001</v>
      </c>
      <c r="H47">
        <v>-75.568600000000004</v>
      </c>
      <c r="I47" t="s">
        <v>110</v>
      </c>
      <c r="J47">
        <v>11</v>
      </c>
      <c r="K47">
        <v>204</v>
      </c>
      <c r="L47">
        <v>254</v>
      </c>
      <c r="M47">
        <v>384.7</v>
      </c>
      <c r="N47">
        <v>75.599999999999994</v>
      </c>
      <c r="O47">
        <v>72</v>
      </c>
      <c r="P47">
        <v>72</v>
      </c>
      <c r="Q47">
        <v>81</v>
      </c>
      <c r="R47">
        <v>98.2</v>
      </c>
    </row>
    <row r="48" spans="1:18" x14ac:dyDescent="0.25">
      <c r="A48" t="s">
        <v>114</v>
      </c>
      <c r="B48" t="s">
        <v>51</v>
      </c>
      <c r="C48" t="s">
        <v>76</v>
      </c>
      <c r="D48" t="s">
        <v>77</v>
      </c>
      <c r="E48" t="s">
        <v>78</v>
      </c>
      <c r="F48" t="s">
        <v>79</v>
      </c>
      <c r="G48">
        <v>6.2675000000000001</v>
      </c>
      <c r="H48">
        <v>-75.568600000000004</v>
      </c>
      <c r="I48" t="s">
        <v>110</v>
      </c>
      <c r="J48">
        <v>11</v>
      </c>
      <c r="K48">
        <v>162</v>
      </c>
      <c r="L48">
        <v>254</v>
      </c>
      <c r="M48">
        <v>311.3</v>
      </c>
      <c r="N48">
        <v>73.2</v>
      </c>
      <c r="O48">
        <v>44</v>
      </c>
      <c r="P48">
        <v>72</v>
      </c>
      <c r="Q48">
        <v>55.2</v>
      </c>
      <c r="R48">
        <v>76.400000000000006</v>
      </c>
    </row>
    <row r="49" spans="1:18" x14ac:dyDescent="0.25">
      <c r="A49" t="s">
        <v>115</v>
      </c>
      <c r="B49" t="s">
        <v>51</v>
      </c>
      <c r="C49" t="s">
        <v>76</v>
      </c>
      <c r="D49" t="s">
        <v>77</v>
      </c>
      <c r="E49" t="s">
        <v>78</v>
      </c>
      <c r="F49" t="s">
        <v>79</v>
      </c>
      <c r="G49">
        <v>6.2675000000000001</v>
      </c>
      <c r="H49">
        <v>-75.568600000000004</v>
      </c>
      <c r="I49" t="s">
        <v>110</v>
      </c>
      <c r="J49">
        <v>11</v>
      </c>
      <c r="K49">
        <v>216</v>
      </c>
      <c r="L49">
        <v>254</v>
      </c>
      <c r="M49">
        <v>415.3</v>
      </c>
      <c r="N49">
        <v>75.599999999999994</v>
      </c>
      <c r="O49">
        <v>82</v>
      </c>
      <c r="P49">
        <v>80</v>
      </c>
      <c r="Q49">
        <v>91.4</v>
      </c>
      <c r="R49">
        <v>92.7</v>
      </c>
    </row>
    <row r="50" spans="1:18" x14ac:dyDescent="0.25">
      <c r="A50" t="s">
        <v>116</v>
      </c>
      <c r="B50" t="s">
        <v>51</v>
      </c>
      <c r="C50" t="s">
        <v>76</v>
      </c>
      <c r="D50" t="s">
        <v>77</v>
      </c>
      <c r="E50" t="s">
        <v>78</v>
      </c>
      <c r="F50" t="s">
        <v>79</v>
      </c>
      <c r="G50">
        <v>6.2675000000000001</v>
      </c>
      <c r="H50">
        <v>-75.568600000000004</v>
      </c>
      <c r="I50" t="s">
        <v>110</v>
      </c>
      <c r="J50">
        <v>11</v>
      </c>
      <c r="K50">
        <v>154</v>
      </c>
      <c r="L50">
        <v>254</v>
      </c>
      <c r="M50">
        <v>282</v>
      </c>
      <c r="N50">
        <v>61</v>
      </c>
      <c r="O50">
        <v>26</v>
      </c>
      <c r="P50">
        <v>64</v>
      </c>
      <c r="Q50">
        <v>65.5</v>
      </c>
      <c r="R50">
        <v>83.6</v>
      </c>
    </row>
    <row r="51" spans="1:18" x14ac:dyDescent="0.25">
      <c r="A51" t="s">
        <v>117</v>
      </c>
      <c r="B51" t="s">
        <v>51</v>
      </c>
      <c r="C51" t="s">
        <v>76</v>
      </c>
      <c r="D51" t="s">
        <v>77</v>
      </c>
      <c r="E51" t="s">
        <v>78</v>
      </c>
      <c r="F51" t="s">
        <v>79</v>
      </c>
      <c r="G51">
        <v>6.2675000000000001</v>
      </c>
      <c r="H51">
        <v>-75.568600000000004</v>
      </c>
      <c r="I51" t="s">
        <v>110</v>
      </c>
      <c r="J51">
        <v>11</v>
      </c>
      <c r="K51">
        <v>146</v>
      </c>
      <c r="L51">
        <v>254</v>
      </c>
      <c r="M51">
        <v>266</v>
      </c>
      <c r="N51">
        <v>68.3</v>
      </c>
      <c r="O51">
        <v>28</v>
      </c>
      <c r="P51">
        <v>54</v>
      </c>
      <c r="Q51">
        <v>51.7</v>
      </c>
      <c r="R51">
        <v>85.5</v>
      </c>
    </row>
    <row r="52" spans="1:18" x14ac:dyDescent="0.25">
      <c r="A52" t="s">
        <v>118</v>
      </c>
      <c r="B52" t="s">
        <v>51</v>
      </c>
      <c r="C52" t="s">
        <v>76</v>
      </c>
      <c r="D52" t="s">
        <v>77</v>
      </c>
      <c r="E52" t="s">
        <v>78</v>
      </c>
      <c r="F52" t="s">
        <v>79</v>
      </c>
      <c r="G52">
        <v>6.2675000000000001</v>
      </c>
      <c r="H52">
        <v>-75.568600000000004</v>
      </c>
      <c r="I52" t="s">
        <v>110</v>
      </c>
      <c r="J52">
        <v>11</v>
      </c>
      <c r="K52">
        <v>163</v>
      </c>
      <c r="L52">
        <v>254</v>
      </c>
      <c r="M52">
        <v>312.8</v>
      </c>
      <c r="N52">
        <v>65.900000000000006</v>
      </c>
      <c r="O52">
        <v>42</v>
      </c>
      <c r="P52">
        <v>70</v>
      </c>
      <c r="Q52">
        <v>69</v>
      </c>
      <c r="R52">
        <v>72.7</v>
      </c>
    </row>
    <row r="53" spans="1:18" x14ac:dyDescent="0.25">
      <c r="A53" t="s">
        <v>119</v>
      </c>
      <c r="B53" t="s">
        <v>51</v>
      </c>
      <c r="C53" t="s">
        <v>76</v>
      </c>
      <c r="D53" t="s">
        <v>77</v>
      </c>
      <c r="E53" t="s">
        <v>78</v>
      </c>
      <c r="F53" t="s">
        <v>79</v>
      </c>
      <c r="G53">
        <v>6.2675000000000001</v>
      </c>
      <c r="H53">
        <v>-75.568600000000004</v>
      </c>
      <c r="I53" t="s">
        <v>110</v>
      </c>
      <c r="J53">
        <v>11</v>
      </c>
      <c r="K53">
        <v>171</v>
      </c>
      <c r="L53">
        <v>254</v>
      </c>
      <c r="M53">
        <v>311.10000000000002</v>
      </c>
      <c r="N53">
        <v>63.4</v>
      </c>
      <c r="O53">
        <v>38</v>
      </c>
      <c r="P53">
        <v>66</v>
      </c>
      <c r="Q53">
        <v>70.7</v>
      </c>
      <c r="R53">
        <v>94.5</v>
      </c>
    </row>
    <row r="54" spans="1:18" x14ac:dyDescent="0.25">
      <c r="A54" t="s">
        <v>120</v>
      </c>
      <c r="B54" t="s">
        <v>51</v>
      </c>
      <c r="C54" t="s">
        <v>76</v>
      </c>
      <c r="D54" t="s">
        <v>77</v>
      </c>
      <c r="E54" t="s">
        <v>78</v>
      </c>
      <c r="F54" t="s">
        <v>79</v>
      </c>
      <c r="G54">
        <v>6.2675000000000001</v>
      </c>
      <c r="H54">
        <v>-75.568600000000004</v>
      </c>
      <c r="I54" t="s">
        <v>110</v>
      </c>
      <c r="J54">
        <v>11</v>
      </c>
      <c r="K54">
        <v>192</v>
      </c>
      <c r="L54">
        <v>254</v>
      </c>
      <c r="M54">
        <v>365.7</v>
      </c>
      <c r="N54">
        <v>80.5</v>
      </c>
      <c r="O54">
        <v>46</v>
      </c>
      <c r="P54">
        <v>86</v>
      </c>
      <c r="Q54">
        <v>74.099999999999994</v>
      </c>
      <c r="R54">
        <v>90.9</v>
      </c>
    </row>
    <row r="55" spans="1:18" x14ac:dyDescent="0.25">
      <c r="A55" t="s">
        <v>121</v>
      </c>
      <c r="B55" t="s">
        <v>51</v>
      </c>
      <c r="C55" t="s">
        <v>76</v>
      </c>
      <c r="D55" t="s">
        <v>77</v>
      </c>
      <c r="E55" t="s">
        <v>78</v>
      </c>
      <c r="F55" t="s">
        <v>79</v>
      </c>
      <c r="G55">
        <v>6.2675000000000001</v>
      </c>
      <c r="H55">
        <v>-75.568600000000004</v>
      </c>
      <c r="I55" t="s">
        <v>110</v>
      </c>
      <c r="J55">
        <v>11</v>
      </c>
      <c r="K55">
        <v>209</v>
      </c>
      <c r="L55">
        <v>254</v>
      </c>
      <c r="M55">
        <v>399.8</v>
      </c>
      <c r="N55">
        <v>80.5</v>
      </c>
      <c r="O55">
        <v>60</v>
      </c>
      <c r="P55">
        <v>90</v>
      </c>
      <c r="Q55">
        <v>84.5</v>
      </c>
      <c r="R55">
        <v>94.5</v>
      </c>
    </row>
    <row r="56" spans="1:18" x14ac:dyDescent="0.25">
      <c r="A56" t="s">
        <v>122</v>
      </c>
      <c r="B56" t="s">
        <v>51</v>
      </c>
      <c r="C56" t="s">
        <v>76</v>
      </c>
      <c r="D56" t="s">
        <v>77</v>
      </c>
      <c r="E56" t="s">
        <v>78</v>
      </c>
      <c r="F56" t="s">
        <v>79</v>
      </c>
      <c r="G56">
        <v>6.2675000000000001</v>
      </c>
      <c r="H56">
        <v>-75.568600000000004</v>
      </c>
      <c r="I56" t="s">
        <v>110</v>
      </c>
      <c r="J56">
        <v>11</v>
      </c>
      <c r="K56">
        <v>165</v>
      </c>
      <c r="L56">
        <v>254</v>
      </c>
      <c r="M56">
        <v>312.89999999999998</v>
      </c>
      <c r="N56">
        <v>65.900000000000006</v>
      </c>
      <c r="O56">
        <v>34</v>
      </c>
      <c r="P56">
        <v>78</v>
      </c>
      <c r="Q56">
        <v>67.2</v>
      </c>
      <c r="R56">
        <v>78.2</v>
      </c>
    </row>
    <row r="57" spans="1:18" x14ac:dyDescent="0.25">
      <c r="A57" t="s">
        <v>123</v>
      </c>
      <c r="B57" t="s">
        <v>51</v>
      </c>
      <c r="C57" t="s">
        <v>76</v>
      </c>
      <c r="D57" t="s">
        <v>77</v>
      </c>
      <c r="E57" t="s">
        <v>78</v>
      </c>
      <c r="F57" t="s">
        <v>79</v>
      </c>
      <c r="G57">
        <v>6.2675000000000001</v>
      </c>
      <c r="H57">
        <v>-75.568600000000004</v>
      </c>
      <c r="I57" t="s">
        <v>110</v>
      </c>
      <c r="J57">
        <v>11</v>
      </c>
      <c r="K57">
        <v>219</v>
      </c>
      <c r="L57">
        <v>254</v>
      </c>
      <c r="M57">
        <v>420.5</v>
      </c>
      <c r="N57">
        <v>82.9</v>
      </c>
      <c r="O57">
        <v>72</v>
      </c>
      <c r="P57">
        <v>94</v>
      </c>
      <c r="Q57">
        <v>82.8</v>
      </c>
      <c r="R57">
        <v>98.2</v>
      </c>
    </row>
    <row r="58" spans="1:18" x14ac:dyDescent="0.25">
      <c r="A58" t="s">
        <v>124</v>
      </c>
      <c r="B58" t="s">
        <v>51</v>
      </c>
      <c r="C58" t="s">
        <v>76</v>
      </c>
      <c r="D58" t="s">
        <v>77</v>
      </c>
      <c r="E58" t="s">
        <v>78</v>
      </c>
      <c r="F58" t="s">
        <v>79</v>
      </c>
      <c r="G58">
        <v>6.2675000000000001</v>
      </c>
      <c r="H58">
        <v>-75.568600000000004</v>
      </c>
      <c r="I58" t="s">
        <v>110</v>
      </c>
      <c r="J58">
        <v>11</v>
      </c>
      <c r="K58">
        <v>181</v>
      </c>
      <c r="L58">
        <v>254</v>
      </c>
      <c r="M58">
        <v>343.8</v>
      </c>
      <c r="N58">
        <v>80.5</v>
      </c>
      <c r="O58">
        <v>50</v>
      </c>
      <c r="P58">
        <v>74</v>
      </c>
      <c r="Q58">
        <v>63.8</v>
      </c>
      <c r="R58">
        <v>89.1</v>
      </c>
    </row>
    <row r="59" spans="1:18" x14ac:dyDescent="0.25">
      <c r="A59" t="s">
        <v>125</v>
      </c>
      <c r="B59" t="s">
        <v>51</v>
      </c>
      <c r="C59" t="s">
        <v>76</v>
      </c>
      <c r="D59" t="s">
        <v>77</v>
      </c>
      <c r="E59" t="s">
        <v>78</v>
      </c>
      <c r="F59" t="s">
        <v>79</v>
      </c>
      <c r="G59">
        <v>6.2675000000000001</v>
      </c>
      <c r="H59">
        <v>-75.568600000000004</v>
      </c>
      <c r="I59" t="s">
        <v>110</v>
      </c>
      <c r="J59">
        <v>11</v>
      </c>
      <c r="K59">
        <v>143</v>
      </c>
      <c r="L59">
        <v>254</v>
      </c>
      <c r="M59">
        <v>261.8</v>
      </c>
      <c r="N59">
        <v>58.5</v>
      </c>
      <c r="O59">
        <v>36</v>
      </c>
      <c r="P59">
        <v>54</v>
      </c>
      <c r="Q59">
        <v>51.7</v>
      </c>
      <c r="R59">
        <v>80</v>
      </c>
    </row>
    <row r="60" spans="1:18" x14ac:dyDescent="0.25">
      <c r="A60" t="s">
        <v>126</v>
      </c>
      <c r="B60" t="s">
        <v>51</v>
      </c>
      <c r="C60" t="s">
        <v>76</v>
      </c>
      <c r="D60" t="s">
        <v>77</v>
      </c>
      <c r="E60" t="s">
        <v>78</v>
      </c>
      <c r="F60" t="s">
        <v>79</v>
      </c>
      <c r="G60">
        <v>6.2675000000000001</v>
      </c>
      <c r="H60">
        <v>-75.568600000000004</v>
      </c>
      <c r="I60" t="s">
        <v>110</v>
      </c>
      <c r="J60">
        <v>11</v>
      </c>
      <c r="K60">
        <v>106</v>
      </c>
      <c r="L60">
        <v>254</v>
      </c>
      <c r="M60">
        <v>209.3</v>
      </c>
      <c r="N60">
        <v>51.2</v>
      </c>
      <c r="O60">
        <v>40</v>
      </c>
      <c r="P60">
        <v>36</v>
      </c>
      <c r="Q60">
        <v>39.700000000000003</v>
      </c>
      <c r="R60">
        <v>43.6</v>
      </c>
    </row>
    <row r="61" spans="1:18" x14ac:dyDescent="0.25">
      <c r="A61" t="s">
        <v>127</v>
      </c>
      <c r="B61" t="s">
        <v>51</v>
      </c>
      <c r="C61" t="s">
        <v>76</v>
      </c>
      <c r="D61" t="s">
        <v>77</v>
      </c>
      <c r="E61" t="s">
        <v>78</v>
      </c>
      <c r="F61" t="s">
        <v>79</v>
      </c>
      <c r="G61">
        <v>6.2675000000000001</v>
      </c>
      <c r="H61">
        <v>-75.568600000000004</v>
      </c>
      <c r="I61" t="s">
        <v>110</v>
      </c>
      <c r="J61">
        <v>11</v>
      </c>
      <c r="K61">
        <v>149</v>
      </c>
      <c r="L61">
        <v>254</v>
      </c>
      <c r="M61">
        <v>303</v>
      </c>
      <c r="N61">
        <v>65.900000000000006</v>
      </c>
      <c r="O61">
        <v>32</v>
      </c>
      <c r="P61">
        <v>88</v>
      </c>
      <c r="Q61">
        <v>60.3</v>
      </c>
      <c r="R61">
        <v>49.1</v>
      </c>
    </row>
    <row r="62" spans="1:18" x14ac:dyDescent="0.25">
      <c r="A62" t="s">
        <v>128</v>
      </c>
      <c r="B62" t="s">
        <v>51</v>
      </c>
      <c r="C62" t="s">
        <v>76</v>
      </c>
      <c r="D62" t="s">
        <v>77</v>
      </c>
      <c r="E62" t="s">
        <v>78</v>
      </c>
      <c r="F62" t="s">
        <v>79</v>
      </c>
      <c r="G62">
        <v>6.2675000000000001</v>
      </c>
      <c r="H62">
        <v>-75.568600000000004</v>
      </c>
      <c r="I62" t="s">
        <v>110</v>
      </c>
      <c r="J62">
        <v>11</v>
      </c>
      <c r="K62">
        <v>183</v>
      </c>
      <c r="L62">
        <v>254</v>
      </c>
      <c r="M62">
        <v>337.9</v>
      </c>
      <c r="N62">
        <v>61</v>
      </c>
      <c r="O62">
        <v>60</v>
      </c>
      <c r="P62">
        <v>76</v>
      </c>
      <c r="Q62">
        <v>63.8</v>
      </c>
      <c r="R62">
        <v>96.4</v>
      </c>
    </row>
    <row r="63" spans="1:18" x14ac:dyDescent="0.25">
      <c r="A63" t="s">
        <v>129</v>
      </c>
      <c r="B63" t="s">
        <v>51</v>
      </c>
      <c r="C63" t="s">
        <v>76</v>
      </c>
      <c r="D63" t="s">
        <v>77</v>
      </c>
      <c r="E63" t="s">
        <v>78</v>
      </c>
      <c r="F63" t="s">
        <v>79</v>
      </c>
      <c r="G63">
        <v>6.2675000000000001</v>
      </c>
      <c r="H63">
        <v>-75.568600000000004</v>
      </c>
      <c r="I63" t="s">
        <v>110</v>
      </c>
      <c r="J63">
        <v>11</v>
      </c>
      <c r="K63">
        <v>152</v>
      </c>
      <c r="L63">
        <v>254</v>
      </c>
      <c r="M63">
        <v>284.7</v>
      </c>
      <c r="N63">
        <v>73.2</v>
      </c>
      <c r="O63">
        <v>24</v>
      </c>
      <c r="P63">
        <v>74</v>
      </c>
      <c r="Q63">
        <v>48.3</v>
      </c>
      <c r="R63">
        <v>81.8</v>
      </c>
    </row>
    <row r="64" spans="1:18" x14ac:dyDescent="0.25">
      <c r="A64" t="s">
        <v>130</v>
      </c>
      <c r="B64" t="s">
        <v>51</v>
      </c>
      <c r="C64" t="s">
        <v>76</v>
      </c>
      <c r="D64" t="s">
        <v>77</v>
      </c>
      <c r="E64" t="s">
        <v>78</v>
      </c>
      <c r="F64" t="s">
        <v>79</v>
      </c>
      <c r="G64">
        <v>6.2675000000000001</v>
      </c>
      <c r="H64">
        <v>-75.568600000000004</v>
      </c>
      <c r="I64" t="s">
        <v>110</v>
      </c>
      <c r="J64">
        <v>11</v>
      </c>
      <c r="K64">
        <v>165</v>
      </c>
      <c r="L64">
        <v>254</v>
      </c>
      <c r="M64">
        <v>316.3</v>
      </c>
      <c r="N64">
        <v>68.3</v>
      </c>
      <c r="O64">
        <v>42</v>
      </c>
      <c r="P64">
        <v>78</v>
      </c>
      <c r="Q64">
        <v>60.3</v>
      </c>
      <c r="R64">
        <v>76.400000000000006</v>
      </c>
    </row>
    <row r="65" spans="1:18" x14ac:dyDescent="0.25">
      <c r="A65" t="s">
        <v>131</v>
      </c>
      <c r="B65" t="s">
        <v>51</v>
      </c>
      <c r="C65" t="s">
        <v>76</v>
      </c>
      <c r="D65" t="s">
        <v>77</v>
      </c>
      <c r="E65" t="s">
        <v>78</v>
      </c>
      <c r="F65" t="s">
        <v>79</v>
      </c>
      <c r="G65">
        <v>6.2675000000000001</v>
      </c>
      <c r="H65">
        <v>-75.568600000000004</v>
      </c>
      <c r="I65" t="s">
        <v>110</v>
      </c>
      <c r="J65">
        <v>11</v>
      </c>
      <c r="K65">
        <v>105</v>
      </c>
      <c r="L65">
        <v>254</v>
      </c>
      <c r="M65">
        <v>176.7</v>
      </c>
      <c r="N65">
        <v>29.3</v>
      </c>
      <c r="O65">
        <v>32</v>
      </c>
      <c r="P65">
        <v>36</v>
      </c>
      <c r="Q65">
        <v>31</v>
      </c>
      <c r="R65">
        <v>74.5</v>
      </c>
    </row>
    <row r="66" spans="1:18" x14ac:dyDescent="0.25">
      <c r="A66" t="s">
        <v>132</v>
      </c>
      <c r="B66" t="s">
        <v>51</v>
      </c>
      <c r="C66" t="s">
        <v>76</v>
      </c>
      <c r="D66" t="s">
        <v>77</v>
      </c>
      <c r="E66" t="s">
        <v>78</v>
      </c>
      <c r="F66" t="s">
        <v>79</v>
      </c>
      <c r="G66">
        <v>6.2675000000000001</v>
      </c>
      <c r="H66">
        <v>-75.568600000000004</v>
      </c>
      <c r="I66" t="s">
        <v>110</v>
      </c>
      <c r="J66">
        <v>11</v>
      </c>
      <c r="K66">
        <v>144</v>
      </c>
      <c r="L66">
        <v>254</v>
      </c>
      <c r="M66">
        <v>263.5</v>
      </c>
      <c r="N66">
        <v>58.5</v>
      </c>
      <c r="O66">
        <v>30</v>
      </c>
      <c r="P66">
        <v>58</v>
      </c>
      <c r="Q66">
        <v>55.2</v>
      </c>
      <c r="R66">
        <v>80</v>
      </c>
    </row>
    <row r="67" spans="1:18" x14ac:dyDescent="0.25">
      <c r="A67" t="s">
        <v>133</v>
      </c>
      <c r="B67" t="s">
        <v>51</v>
      </c>
      <c r="C67" t="s">
        <v>76</v>
      </c>
      <c r="D67" t="s">
        <v>77</v>
      </c>
      <c r="E67" t="s">
        <v>78</v>
      </c>
      <c r="F67" t="s">
        <v>79</v>
      </c>
      <c r="G67">
        <v>6.2675000000000001</v>
      </c>
      <c r="H67">
        <v>-75.568600000000004</v>
      </c>
      <c r="I67" t="s">
        <v>110</v>
      </c>
      <c r="J67">
        <v>11</v>
      </c>
      <c r="K67">
        <v>175</v>
      </c>
      <c r="L67">
        <v>254</v>
      </c>
      <c r="M67">
        <v>342.8</v>
      </c>
      <c r="N67">
        <v>80.5</v>
      </c>
      <c r="O67">
        <v>56</v>
      </c>
      <c r="P67">
        <v>72</v>
      </c>
      <c r="Q67">
        <v>63.8</v>
      </c>
      <c r="R67">
        <v>74.5</v>
      </c>
    </row>
    <row r="68" spans="1:18" x14ac:dyDescent="0.25">
      <c r="A68" t="s">
        <v>134</v>
      </c>
      <c r="B68" t="s">
        <v>51</v>
      </c>
      <c r="C68" t="s">
        <v>76</v>
      </c>
      <c r="D68" t="s">
        <v>77</v>
      </c>
      <c r="E68" t="s">
        <v>78</v>
      </c>
      <c r="F68" t="s">
        <v>79</v>
      </c>
      <c r="G68">
        <v>6.2675000000000001</v>
      </c>
      <c r="H68">
        <v>-75.568600000000004</v>
      </c>
      <c r="I68" t="s">
        <v>110</v>
      </c>
      <c r="J68">
        <v>11</v>
      </c>
      <c r="K68">
        <v>169</v>
      </c>
      <c r="L68">
        <v>254</v>
      </c>
      <c r="M68">
        <v>319.39999999999998</v>
      </c>
      <c r="N68">
        <v>73.2</v>
      </c>
      <c r="O68">
        <v>36</v>
      </c>
      <c r="P68">
        <v>76</v>
      </c>
      <c r="Q68">
        <v>63.8</v>
      </c>
      <c r="R68">
        <v>83.6</v>
      </c>
    </row>
    <row r="69" spans="1:18" x14ac:dyDescent="0.25">
      <c r="A69" t="s">
        <v>135</v>
      </c>
      <c r="B69" t="s">
        <v>51</v>
      </c>
      <c r="C69" t="s">
        <v>76</v>
      </c>
      <c r="D69" t="s">
        <v>77</v>
      </c>
      <c r="E69" t="s">
        <v>78</v>
      </c>
      <c r="F69" t="s">
        <v>79</v>
      </c>
      <c r="G69">
        <v>6.2675000000000001</v>
      </c>
      <c r="H69">
        <v>-75.568600000000004</v>
      </c>
      <c r="I69" t="s">
        <v>110</v>
      </c>
      <c r="J69">
        <v>11</v>
      </c>
      <c r="K69">
        <v>161</v>
      </c>
      <c r="L69">
        <v>254</v>
      </c>
      <c r="M69">
        <v>304.10000000000002</v>
      </c>
      <c r="N69">
        <v>63.4</v>
      </c>
      <c r="O69">
        <v>40</v>
      </c>
      <c r="P69">
        <v>80</v>
      </c>
      <c r="Q69">
        <v>53.4</v>
      </c>
      <c r="R69">
        <v>80</v>
      </c>
    </row>
    <row r="70" spans="1:18" x14ac:dyDescent="0.25">
      <c r="A70" t="s">
        <v>136</v>
      </c>
      <c r="B70" t="s">
        <v>51</v>
      </c>
      <c r="C70" t="s">
        <v>76</v>
      </c>
      <c r="D70" t="s">
        <v>77</v>
      </c>
      <c r="E70" t="s">
        <v>78</v>
      </c>
      <c r="F70" t="s">
        <v>79</v>
      </c>
      <c r="G70">
        <v>6.2675000000000001</v>
      </c>
      <c r="H70">
        <v>-75.568600000000004</v>
      </c>
      <c r="I70" t="s">
        <v>137</v>
      </c>
      <c r="J70">
        <v>11</v>
      </c>
      <c r="K70">
        <v>134</v>
      </c>
      <c r="L70">
        <v>254</v>
      </c>
      <c r="M70">
        <v>248.1</v>
      </c>
      <c r="N70">
        <v>53.7</v>
      </c>
      <c r="O70">
        <v>32</v>
      </c>
      <c r="P70">
        <v>70</v>
      </c>
      <c r="Q70">
        <v>34.5</v>
      </c>
      <c r="R70">
        <v>74.5</v>
      </c>
    </row>
    <row r="71" spans="1:18" x14ac:dyDescent="0.25">
      <c r="A71" t="s">
        <v>138</v>
      </c>
      <c r="B71" t="s">
        <v>51</v>
      </c>
      <c r="C71" t="s">
        <v>76</v>
      </c>
      <c r="D71" t="s">
        <v>77</v>
      </c>
      <c r="E71" t="s">
        <v>78</v>
      </c>
      <c r="F71" t="s">
        <v>79</v>
      </c>
      <c r="G71">
        <v>6.2675000000000001</v>
      </c>
      <c r="H71">
        <v>-75.568600000000004</v>
      </c>
      <c r="I71" t="s">
        <v>137</v>
      </c>
      <c r="J71">
        <v>11</v>
      </c>
      <c r="K71">
        <v>153</v>
      </c>
      <c r="L71">
        <v>254</v>
      </c>
      <c r="M71">
        <v>289.39999999999998</v>
      </c>
      <c r="N71">
        <v>75.599999999999994</v>
      </c>
      <c r="O71">
        <v>34</v>
      </c>
      <c r="P71">
        <v>68</v>
      </c>
      <c r="Q71">
        <v>46.6</v>
      </c>
      <c r="R71">
        <v>80</v>
      </c>
    </row>
    <row r="72" spans="1:18" x14ac:dyDescent="0.25">
      <c r="A72" t="s">
        <v>139</v>
      </c>
      <c r="B72" t="s">
        <v>51</v>
      </c>
      <c r="C72" t="s">
        <v>76</v>
      </c>
      <c r="D72" t="s">
        <v>77</v>
      </c>
      <c r="E72" t="s">
        <v>78</v>
      </c>
      <c r="F72" t="s">
        <v>79</v>
      </c>
      <c r="G72">
        <v>6.2675000000000001</v>
      </c>
      <c r="H72">
        <v>-75.568600000000004</v>
      </c>
      <c r="I72" t="s">
        <v>137</v>
      </c>
      <c r="J72">
        <v>11</v>
      </c>
      <c r="K72">
        <v>203</v>
      </c>
      <c r="L72">
        <v>254</v>
      </c>
      <c r="M72">
        <v>386.4</v>
      </c>
      <c r="N72">
        <v>82.9</v>
      </c>
      <c r="O72">
        <v>56</v>
      </c>
      <c r="P72">
        <v>88</v>
      </c>
      <c r="Q72">
        <v>75.900000000000006</v>
      </c>
      <c r="R72">
        <v>96.4</v>
      </c>
    </row>
    <row r="73" spans="1:18" x14ac:dyDescent="0.25">
      <c r="A73" t="s">
        <v>140</v>
      </c>
      <c r="B73" t="s">
        <v>51</v>
      </c>
      <c r="C73" t="s">
        <v>76</v>
      </c>
      <c r="D73" t="s">
        <v>77</v>
      </c>
      <c r="E73" t="s">
        <v>78</v>
      </c>
      <c r="F73" t="s">
        <v>79</v>
      </c>
      <c r="G73">
        <v>6.2675000000000001</v>
      </c>
      <c r="H73">
        <v>-75.568600000000004</v>
      </c>
      <c r="I73" t="s">
        <v>137</v>
      </c>
      <c r="J73">
        <v>11</v>
      </c>
      <c r="K73">
        <v>190</v>
      </c>
      <c r="L73">
        <v>254</v>
      </c>
      <c r="M73">
        <v>356.3</v>
      </c>
      <c r="N73">
        <v>73.2</v>
      </c>
      <c r="O73">
        <v>56</v>
      </c>
      <c r="P73">
        <v>82</v>
      </c>
      <c r="Q73">
        <v>65.5</v>
      </c>
      <c r="R73">
        <v>96.4</v>
      </c>
    </row>
    <row r="74" spans="1:18" x14ac:dyDescent="0.25">
      <c r="A74" t="s">
        <v>141</v>
      </c>
      <c r="B74" t="s">
        <v>51</v>
      </c>
      <c r="C74" t="s">
        <v>76</v>
      </c>
      <c r="D74" t="s">
        <v>77</v>
      </c>
      <c r="E74" t="s">
        <v>78</v>
      </c>
      <c r="F74" t="s">
        <v>79</v>
      </c>
      <c r="G74">
        <v>6.2675000000000001</v>
      </c>
      <c r="H74">
        <v>-75.568600000000004</v>
      </c>
      <c r="I74" t="s">
        <v>137</v>
      </c>
      <c r="J74">
        <v>11</v>
      </c>
      <c r="K74">
        <v>146</v>
      </c>
      <c r="L74">
        <v>254</v>
      </c>
      <c r="M74">
        <v>260.3</v>
      </c>
      <c r="N74">
        <v>48.8</v>
      </c>
      <c r="O74">
        <v>28</v>
      </c>
      <c r="P74">
        <v>60</v>
      </c>
      <c r="Q74">
        <v>60.3</v>
      </c>
      <c r="R74">
        <v>85.5</v>
      </c>
    </row>
    <row r="75" spans="1:18" x14ac:dyDescent="0.25">
      <c r="A75" t="s">
        <v>142</v>
      </c>
      <c r="B75" t="s">
        <v>51</v>
      </c>
      <c r="C75" t="s">
        <v>76</v>
      </c>
      <c r="D75" t="s">
        <v>77</v>
      </c>
      <c r="E75" t="s">
        <v>78</v>
      </c>
      <c r="F75" t="s">
        <v>79</v>
      </c>
      <c r="G75">
        <v>6.2675000000000001</v>
      </c>
      <c r="H75">
        <v>-75.568600000000004</v>
      </c>
      <c r="I75" t="s">
        <v>137</v>
      </c>
      <c r="J75">
        <v>11</v>
      </c>
      <c r="K75">
        <v>224</v>
      </c>
      <c r="L75">
        <v>254</v>
      </c>
      <c r="M75">
        <v>439.7</v>
      </c>
      <c r="N75">
        <v>95.1</v>
      </c>
      <c r="O75">
        <v>78</v>
      </c>
      <c r="P75">
        <v>88</v>
      </c>
      <c r="Q75">
        <v>89.7</v>
      </c>
      <c r="R75">
        <v>90.9</v>
      </c>
    </row>
    <row r="76" spans="1:18" x14ac:dyDescent="0.25">
      <c r="A76" t="s">
        <v>143</v>
      </c>
      <c r="B76" t="s">
        <v>51</v>
      </c>
      <c r="C76" t="s">
        <v>76</v>
      </c>
      <c r="D76" t="s">
        <v>77</v>
      </c>
      <c r="E76" t="s">
        <v>78</v>
      </c>
      <c r="F76" t="s">
        <v>79</v>
      </c>
      <c r="G76">
        <v>6.2675000000000001</v>
      </c>
      <c r="H76">
        <v>-75.568600000000004</v>
      </c>
      <c r="I76" t="s">
        <v>137</v>
      </c>
      <c r="J76">
        <v>11</v>
      </c>
      <c r="K76">
        <v>135</v>
      </c>
      <c r="L76">
        <v>254</v>
      </c>
      <c r="M76">
        <v>268.60000000000002</v>
      </c>
      <c r="N76">
        <v>61</v>
      </c>
      <c r="O76">
        <v>44</v>
      </c>
      <c r="P76">
        <v>70</v>
      </c>
      <c r="Q76">
        <v>39.700000000000003</v>
      </c>
      <c r="R76">
        <v>54.5</v>
      </c>
    </row>
    <row r="77" spans="1:18" x14ac:dyDescent="0.25">
      <c r="A77" t="s">
        <v>144</v>
      </c>
      <c r="B77" t="s">
        <v>51</v>
      </c>
      <c r="C77" t="s">
        <v>76</v>
      </c>
      <c r="D77" t="s">
        <v>77</v>
      </c>
      <c r="E77" t="s">
        <v>78</v>
      </c>
      <c r="F77" t="s">
        <v>79</v>
      </c>
      <c r="G77">
        <v>6.2675000000000001</v>
      </c>
      <c r="H77">
        <v>-75.568600000000004</v>
      </c>
      <c r="I77" t="s">
        <v>137</v>
      </c>
      <c r="J77">
        <v>11</v>
      </c>
      <c r="K77">
        <v>128</v>
      </c>
      <c r="L77">
        <v>254</v>
      </c>
      <c r="M77">
        <v>237.7</v>
      </c>
      <c r="N77">
        <v>48.8</v>
      </c>
      <c r="O77">
        <v>40</v>
      </c>
      <c r="P77">
        <v>50</v>
      </c>
      <c r="Q77">
        <v>44.8</v>
      </c>
      <c r="R77">
        <v>67.3</v>
      </c>
    </row>
    <row r="78" spans="1:18" x14ac:dyDescent="0.25">
      <c r="A78" t="s">
        <v>145</v>
      </c>
      <c r="B78" t="s">
        <v>51</v>
      </c>
      <c r="C78" t="s">
        <v>76</v>
      </c>
      <c r="D78" t="s">
        <v>77</v>
      </c>
      <c r="E78" t="s">
        <v>78</v>
      </c>
      <c r="F78" t="s">
        <v>79</v>
      </c>
      <c r="G78">
        <v>6.2675000000000001</v>
      </c>
      <c r="H78">
        <v>-75.568600000000004</v>
      </c>
      <c r="I78" t="s">
        <v>137</v>
      </c>
      <c r="J78">
        <v>11</v>
      </c>
      <c r="K78">
        <v>173</v>
      </c>
      <c r="L78">
        <v>254</v>
      </c>
      <c r="M78">
        <v>327.10000000000002</v>
      </c>
      <c r="N78">
        <v>78</v>
      </c>
      <c r="O78">
        <v>36</v>
      </c>
      <c r="P78">
        <v>88</v>
      </c>
      <c r="Q78">
        <v>51.7</v>
      </c>
      <c r="R78">
        <v>89.1</v>
      </c>
    </row>
    <row r="79" spans="1:18" x14ac:dyDescent="0.25">
      <c r="A79" t="s">
        <v>146</v>
      </c>
      <c r="B79" t="s">
        <v>51</v>
      </c>
      <c r="C79" t="s">
        <v>76</v>
      </c>
      <c r="D79" t="s">
        <v>77</v>
      </c>
      <c r="E79" t="s">
        <v>78</v>
      </c>
      <c r="F79" t="s">
        <v>79</v>
      </c>
      <c r="G79">
        <v>6.2675000000000001</v>
      </c>
      <c r="H79">
        <v>-75.568600000000004</v>
      </c>
      <c r="I79" t="s">
        <v>137</v>
      </c>
      <c r="J79">
        <v>11</v>
      </c>
      <c r="K79">
        <v>114</v>
      </c>
      <c r="L79">
        <v>254</v>
      </c>
      <c r="M79">
        <v>219.6</v>
      </c>
      <c r="N79">
        <v>65.900000000000006</v>
      </c>
      <c r="O79">
        <v>34</v>
      </c>
      <c r="P79">
        <v>40</v>
      </c>
      <c r="Q79">
        <v>31</v>
      </c>
      <c r="R79">
        <v>58.2</v>
      </c>
    </row>
    <row r="80" spans="1:18" x14ac:dyDescent="0.25">
      <c r="A80" t="s">
        <v>147</v>
      </c>
      <c r="B80" t="s">
        <v>51</v>
      </c>
      <c r="C80" t="s">
        <v>76</v>
      </c>
      <c r="D80" t="s">
        <v>77</v>
      </c>
      <c r="E80" t="s">
        <v>78</v>
      </c>
      <c r="F80" t="s">
        <v>79</v>
      </c>
      <c r="G80">
        <v>6.2675000000000001</v>
      </c>
      <c r="H80">
        <v>-75.568600000000004</v>
      </c>
      <c r="I80" t="s">
        <v>137</v>
      </c>
      <c r="J80">
        <v>11</v>
      </c>
      <c r="K80">
        <v>156</v>
      </c>
      <c r="L80">
        <v>254</v>
      </c>
      <c r="M80">
        <v>290.3</v>
      </c>
      <c r="N80">
        <v>68.3</v>
      </c>
      <c r="O80">
        <v>48</v>
      </c>
      <c r="P80">
        <v>54</v>
      </c>
      <c r="Q80">
        <v>53.4</v>
      </c>
      <c r="R80">
        <v>83.6</v>
      </c>
    </row>
    <row r="81" spans="1:18" x14ac:dyDescent="0.25">
      <c r="A81" t="s">
        <v>148</v>
      </c>
      <c r="B81" t="s">
        <v>51</v>
      </c>
      <c r="C81" t="s">
        <v>76</v>
      </c>
      <c r="D81" t="s">
        <v>77</v>
      </c>
      <c r="E81" t="s">
        <v>78</v>
      </c>
      <c r="F81" t="s">
        <v>79</v>
      </c>
      <c r="G81">
        <v>6.2675000000000001</v>
      </c>
      <c r="H81">
        <v>-75.568600000000004</v>
      </c>
      <c r="I81" t="s">
        <v>137</v>
      </c>
      <c r="J81">
        <v>11</v>
      </c>
      <c r="K81">
        <v>131</v>
      </c>
      <c r="L81">
        <v>254</v>
      </c>
      <c r="M81">
        <v>269.60000000000002</v>
      </c>
      <c r="N81">
        <v>63.4</v>
      </c>
      <c r="O81">
        <v>46</v>
      </c>
      <c r="P81">
        <v>62</v>
      </c>
      <c r="Q81">
        <v>48.3</v>
      </c>
      <c r="R81">
        <v>41.8</v>
      </c>
    </row>
    <row r="82" spans="1:18" x14ac:dyDescent="0.25">
      <c r="A82" t="s">
        <v>149</v>
      </c>
      <c r="B82" t="s">
        <v>51</v>
      </c>
      <c r="C82" t="s">
        <v>76</v>
      </c>
      <c r="D82" t="s">
        <v>77</v>
      </c>
      <c r="E82" t="s">
        <v>78</v>
      </c>
      <c r="F82" t="s">
        <v>79</v>
      </c>
      <c r="G82">
        <v>6.2675000000000001</v>
      </c>
      <c r="H82">
        <v>-75.568600000000004</v>
      </c>
      <c r="I82" t="s">
        <v>137</v>
      </c>
      <c r="J82">
        <v>11</v>
      </c>
      <c r="K82">
        <v>183</v>
      </c>
      <c r="L82">
        <v>254</v>
      </c>
      <c r="M82">
        <v>337.9</v>
      </c>
      <c r="N82">
        <v>56.1</v>
      </c>
      <c r="O82">
        <v>68</v>
      </c>
      <c r="P82">
        <v>70</v>
      </c>
      <c r="Q82">
        <v>67.2</v>
      </c>
      <c r="R82">
        <v>94.5</v>
      </c>
    </row>
    <row r="83" spans="1:18" x14ac:dyDescent="0.25">
      <c r="A83" t="s">
        <v>150</v>
      </c>
      <c r="B83" t="s">
        <v>51</v>
      </c>
      <c r="C83" t="s">
        <v>76</v>
      </c>
      <c r="D83" t="s">
        <v>77</v>
      </c>
      <c r="E83" t="s">
        <v>78</v>
      </c>
      <c r="F83" t="s">
        <v>79</v>
      </c>
      <c r="G83">
        <v>6.2675000000000001</v>
      </c>
      <c r="H83">
        <v>-75.568600000000004</v>
      </c>
      <c r="I83" t="s">
        <v>137</v>
      </c>
      <c r="J83">
        <v>11</v>
      </c>
      <c r="K83">
        <v>132</v>
      </c>
      <c r="L83">
        <v>254</v>
      </c>
      <c r="M83">
        <v>246.1</v>
      </c>
      <c r="N83">
        <v>63.4</v>
      </c>
      <c r="O83">
        <v>32</v>
      </c>
      <c r="P83">
        <v>54</v>
      </c>
      <c r="Q83">
        <v>39.700000000000003</v>
      </c>
      <c r="R83">
        <v>72.7</v>
      </c>
    </row>
    <row r="84" spans="1:18" x14ac:dyDescent="0.25">
      <c r="A84" t="s">
        <v>151</v>
      </c>
      <c r="B84" t="s">
        <v>51</v>
      </c>
      <c r="C84" t="s">
        <v>76</v>
      </c>
      <c r="D84" t="s">
        <v>77</v>
      </c>
      <c r="E84" t="s">
        <v>78</v>
      </c>
      <c r="F84" t="s">
        <v>79</v>
      </c>
      <c r="G84">
        <v>6.2675000000000001</v>
      </c>
      <c r="H84">
        <v>-75.568600000000004</v>
      </c>
      <c r="I84" t="s">
        <v>137</v>
      </c>
      <c r="J84">
        <v>11</v>
      </c>
      <c r="K84">
        <v>145</v>
      </c>
      <c r="L84">
        <v>254</v>
      </c>
      <c r="M84">
        <v>265.89999999999998</v>
      </c>
      <c r="N84">
        <v>56.1</v>
      </c>
      <c r="O84">
        <v>40</v>
      </c>
      <c r="P84">
        <v>72</v>
      </c>
      <c r="Q84">
        <v>34.5</v>
      </c>
      <c r="R84">
        <v>83.6</v>
      </c>
    </row>
    <row r="85" spans="1:18" x14ac:dyDescent="0.25">
      <c r="A85" t="s">
        <v>152</v>
      </c>
      <c r="B85" t="s">
        <v>51</v>
      </c>
      <c r="C85" t="s">
        <v>76</v>
      </c>
      <c r="D85" t="s">
        <v>77</v>
      </c>
      <c r="E85" t="s">
        <v>78</v>
      </c>
      <c r="F85" t="s">
        <v>79</v>
      </c>
      <c r="G85">
        <v>6.2675000000000001</v>
      </c>
      <c r="H85">
        <v>-75.568600000000004</v>
      </c>
      <c r="I85" t="s">
        <v>137</v>
      </c>
      <c r="J85">
        <v>11</v>
      </c>
      <c r="K85">
        <v>145</v>
      </c>
      <c r="L85">
        <v>254</v>
      </c>
      <c r="M85">
        <v>287.60000000000002</v>
      </c>
      <c r="N85">
        <v>65.900000000000006</v>
      </c>
      <c r="O85">
        <v>38</v>
      </c>
      <c r="P85">
        <v>68</v>
      </c>
      <c r="Q85">
        <v>58.6</v>
      </c>
      <c r="R85">
        <v>56.4</v>
      </c>
    </row>
    <row r="86" spans="1:18" x14ac:dyDescent="0.25">
      <c r="A86" t="s">
        <v>153</v>
      </c>
      <c r="B86" t="s">
        <v>51</v>
      </c>
      <c r="C86" t="s">
        <v>76</v>
      </c>
      <c r="D86" t="s">
        <v>77</v>
      </c>
      <c r="E86" t="s">
        <v>78</v>
      </c>
      <c r="F86" t="s">
        <v>79</v>
      </c>
      <c r="G86">
        <v>6.2675000000000001</v>
      </c>
      <c r="H86">
        <v>-75.568600000000004</v>
      </c>
      <c r="I86" t="s">
        <v>137</v>
      </c>
      <c r="J86">
        <v>11</v>
      </c>
      <c r="K86">
        <v>152</v>
      </c>
      <c r="L86">
        <v>254</v>
      </c>
      <c r="M86">
        <v>282.2</v>
      </c>
      <c r="N86">
        <v>61</v>
      </c>
      <c r="O86">
        <v>38</v>
      </c>
      <c r="P86">
        <v>62</v>
      </c>
      <c r="Q86">
        <v>56.9</v>
      </c>
      <c r="R86">
        <v>80</v>
      </c>
    </row>
    <row r="87" spans="1:18" x14ac:dyDescent="0.25">
      <c r="A87" t="s">
        <v>154</v>
      </c>
      <c r="B87" t="s">
        <v>51</v>
      </c>
      <c r="C87" t="s">
        <v>76</v>
      </c>
      <c r="D87" t="s">
        <v>77</v>
      </c>
      <c r="E87" t="s">
        <v>78</v>
      </c>
      <c r="F87" t="s">
        <v>79</v>
      </c>
      <c r="G87">
        <v>6.2675000000000001</v>
      </c>
      <c r="H87">
        <v>-75.568600000000004</v>
      </c>
      <c r="I87" t="s">
        <v>137</v>
      </c>
      <c r="J87">
        <v>11</v>
      </c>
      <c r="K87">
        <v>115</v>
      </c>
      <c r="L87">
        <v>254</v>
      </c>
      <c r="M87">
        <v>218</v>
      </c>
      <c r="N87">
        <v>48.8</v>
      </c>
      <c r="O87">
        <v>24</v>
      </c>
      <c r="P87">
        <v>48</v>
      </c>
      <c r="Q87">
        <v>50</v>
      </c>
      <c r="R87">
        <v>54.5</v>
      </c>
    </row>
    <row r="88" spans="1:18" x14ac:dyDescent="0.25">
      <c r="A88" t="s">
        <v>155</v>
      </c>
      <c r="B88" t="s">
        <v>51</v>
      </c>
      <c r="C88" t="s">
        <v>76</v>
      </c>
      <c r="D88" t="s">
        <v>77</v>
      </c>
      <c r="E88" t="s">
        <v>78</v>
      </c>
      <c r="F88" t="s">
        <v>79</v>
      </c>
      <c r="G88">
        <v>6.2675000000000001</v>
      </c>
      <c r="H88">
        <v>-75.568600000000004</v>
      </c>
      <c r="I88" t="s">
        <v>137</v>
      </c>
      <c r="J88">
        <v>11</v>
      </c>
      <c r="K88">
        <v>160</v>
      </c>
      <c r="L88">
        <v>254</v>
      </c>
      <c r="M88">
        <v>313</v>
      </c>
      <c r="N88">
        <v>75.599999999999994</v>
      </c>
      <c r="O88">
        <v>42</v>
      </c>
      <c r="P88">
        <v>72</v>
      </c>
      <c r="Q88">
        <v>58.6</v>
      </c>
      <c r="R88">
        <v>69.099999999999994</v>
      </c>
    </row>
    <row r="89" spans="1:18" x14ac:dyDescent="0.25">
      <c r="A89" t="s">
        <v>156</v>
      </c>
      <c r="B89" t="s">
        <v>51</v>
      </c>
      <c r="C89" t="s">
        <v>76</v>
      </c>
      <c r="D89" t="s">
        <v>77</v>
      </c>
      <c r="E89" t="s">
        <v>78</v>
      </c>
      <c r="F89" t="s">
        <v>79</v>
      </c>
      <c r="G89">
        <v>6.2675000000000001</v>
      </c>
      <c r="H89">
        <v>-75.568600000000004</v>
      </c>
      <c r="I89" t="s">
        <v>137</v>
      </c>
      <c r="J89">
        <v>11</v>
      </c>
      <c r="K89">
        <v>152</v>
      </c>
      <c r="L89">
        <v>254</v>
      </c>
      <c r="M89">
        <v>287.2</v>
      </c>
      <c r="N89">
        <v>68.3</v>
      </c>
      <c r="O89">
        <v>38</v>
      </c>
      <c r="P89">
        <v>70</v>
      </c>
      <c r="Q89">
        <v>46.6</v>
      </c>
      <c r="R89">
        <v>78.2</v>
      </c>
    </row>
    <row r="90" spans="1:18" x14ac:dyDescent="0.25">
      <c r="A90" t="s">
        <v>157</v>
      </c>
      <c r="B90" t="s">
        <v>51</v>
      </c>
      <c r="C90" t="s">
        <v>76</v>
      </c>
      <c r="D90" t="s">
        <v>77</v>
      </c>
      <c r="E90" t="s">
        <v>78</v>
      </c>
      <c r="F90" t="s">
        <v>79</v>
      </c>
      <c r="G90">
        <v>6.2675000000000001</v>
      </c>
      <c r="H90">
        <v>-75.568600000000004</v>
      </c>
      <c r="I90" t="s">
        <v>137</v>
      </c>
      <c r="J90">
        <v>11</v>
      </c>
      <c r="K90">
        <v>99</v>
      </c>
      <c r="L90">
        <v>254</v>
      </c>
      <c r="M90">
        <v>206.6</v>
      </c>
      <c r="N90">
        <v>58.5</v>
      </c>
      <c r="O90">
        <v>20</v>
      </c>
      <c r="P90">
        <v>54</v>
      </c>
      <c r="Q90">
        <v>36.200000000000003</v>
      </c>
      <c r="R90">
        <v>30.9</v>
      </c>
    </row>
    <row r="91" spans="1:18" x14ac:dyDescent="0.25">
      <c r="A91" t="s">
        <v>158</v>
      </c>
      <c r="B91" t="s">
        <v>51</v>
      </c>
      <c r="C91" t="s">
        <v>76</v>
      </c>
      <c r="D91" t="s">
        <v>77</v>
      </c>
      <c r="E91" t="s">
        <v>78</v>
      </c>
      <c r="F91" t="s">
        <v>79</v>
      </c>
      <c r="G91">
        <v>6.2675000000000001</v>
      </c>
      <c r="H91">
        <v>-75.568600000000004</v>
      </c>
      <c r="I91" t="s">
        <v>137</v>
      </c>
      <c r="J91">
        <v>11</v>
      </c>
      <c r="K91">
        <v>137</v>
      </c>
      <c r="L91">
        <v>254</v>
      </c>
      <c r="M91">
        <v>239.9</v>
      </c>
      <c r="N91">
        <v>48.8</v>
      </c>
      <c r="O91">
        <v>30</v>
      </c>
      <c r="P91">
        <v>50</v>
      </c>
      <c r="Q91">
        <v>50</v>
      </c>
      <c r="R91">
        <v>87.3</v>
      </c>
    </row>
    <row r="92" spans="1:18" x14ac:dyDescent="0.25">
      <c r="A92" t="s">
        <v>159</v>
      </c>
      <c r="B92" t="s">
        <v>51</v>
      </c>
      <c r="C92" t="s">
        <v>76</v>
      </c>
      <c r="D92" t="s">
        <v>77</v>
      </c>
      <c r="E92" t="s">
        <v>78</v>
      </c>
      <c r="F92" t="s">
        <v>79</v>
      </c>
      <c r="G92">
        <v>6.2675000000000001</v>
      </c>
      <c r="H92">
        <v>-75.568600000000004</v>
      </c>
      <c r="I92" t="s">
        <v>137</v>
      </c>
      <c r="J92">
        <v>11</v>
      </c>
      <c r="K92">
        <v>153</v>
      </c>
      <c r="L92">
        <v>254</v>
      </c>
      <c r="M92">
        <v>289.3</v>
      </c>
      <c r="N92">
        <v>61</v>
      </c>
      <c r="O92">
        <v>34</v>
      </c>
      <c r="P92">
        <v>66</v>
      </c>
      <c r="Q92">
        <v>65.5</v>
      </c>
      <c r="R92">
        <v>72.7</v>
      </c>
    </row>
    <row r="93" spans="1:18" x14ac:dyDescent="0.25">
      <c r="A93" t="s">
        <v>160</v>
      </c>
      <c r="B93" t="s">
        <v>51</v>
      </c>
      <c r="C93" t="s">
        <v>76</v>
      </c>
      <c r="D93" t="s">
        <v>77</v>
      </c>
      <c r="E93" t="s">
        <v>78</v>
      </c>
      <c r="F93" t="s">
        <v>79</v>
      </c>
      <c r="G93">
        <v>6.2675000000000001</v>
      </c>
      <c r="H93">
        <v>-75.568600000000004</v>
      </c>
      <c r="I93" t="s">
        <v>137</v>
      </c>
      <c r="J93">
        <v>11</v>
      </c>
      <c r="K93">
        <v>221</v>
      </c>
      <c r="L93">
        <v>254</v>
      </c>
      <c r="M93">
        <v>429.4</v>
      </c>
      <c r="N93">
        <v>80.5</v>
      </c>
      <c r="O93">
        <v>82</v>
      </c>
      <c r="P93">
        <v>96</v>
      </c>
      <c r="Q93">
        <v>82.8</v>
      </c>
      <c r="R93">
        <v>92.7</v>
      </c>
    </row>
    <row r="94" spans="1:18" x14ac:dyDescent="0.25">
      <c r="A94" t="s">
        <v>161</v>
      </c>
      <c r="B94" t="s">
        <v>51</v>
      </c>
      <c r="C94" t="s">
        <v>76</v>
      </c>
      <c r="D94" t="s">
        <v>77</v>
      </c>
      <c r="E94" t="s">
        <v>78</v>
      </c>
      <c r="F94" t="s">
        <v>79</v>
      </c>
      <c r="G94">
        <v>6.2675000000000001</v>
      </c>
      <c r="H94">
        <v>-75.568600000000004</v>
      </c>
      <c r="I94" t="s">
        <v>137</v>
      </c>
      <c r="J94">
        <v>11</v>
      </c>
      <c r="K94">
        <v>192</v>
      </c>
      <c r="L94">
        <v>254</v>
      </c>
      <c r="M94">
        <v>360.5</v>
      </c>
      <c r="N94">
        <v>75.599999999999994</v>
      </c>
      <c r="O94">
        <v>68</v>
      </c>
      <c r="P94">
        <v>74</v>
      </c>
      <c r="Q94">
        <v>62.1</v>
      </c>
      <c r="R94">
        <v>98.2</v>
      </c>
    </row>
    <row r="95" spans="1:18" x14ac:dyDescent="0.25">
      <c r="A95" t="s">
        <v>162</v>
      </c>
      <c r="B95" t="s">
        <v>51</v>
      </c>
      <c r="C95" t="s">
        <v>76</v>
      </c>
      <c r="D95" t="s">
        <v>77</v>
      </c>
      <c r="E95" t="s">
        <v>78</v>
      </c>
      <c r="F95" t="s">
        <v>79</v>
      </c>
      <c r="G95">
        <v>6.2675000000000001</v>
      </c>
      <c r="H95">
        <v>-75.568600000000004</v>
      </c>
      <c r="I95" t="s">
        <v>137</v>
      </c>
      <c r="J95">
        <v>11</v>
      </c>
      <c r="K95">
        <v>202</v>
      </c>
      <c r="L95">
        <v>254</v>
      </c>
      <c r="M95">
        <v>391.2</v>
      </c>
      <c r="N95">
        <v>82.9</v>
      </c>
      <c r="O95">
        <v>70</v>
      </c>
      <c r="P95">
        <v>84</v>
      </c>
      <c r="Q95">
        <v>72.400000000000006</v>
      </c>
      <c r="R95">
        <v>89.1</v>
      </c>
    </row>
    <row r="96" spans="1:18" x14ac:dyDescent="0.25">
      <c r="A96" t="s">
        <v>163</v>
      </c>
      <c r="B96" t="s">
        <v>51</v>
      </c>
      <c r="C96" t="s">
        <v>76</v>
      </c>
      <c r="D96" t="s">
        <v>77</v>
      </c>
      <c r="E96" t="s">
        <v>78</v>
      </c>
      <c r="F96" t="s">
        <v>79</v>
      </c>
      <c r="G96">
        <v>6.2675000000000001</v>
      </c>
      <c r="H96">
        <v>-75.568600000000004</v>
      </c>
      <c r="I96" t="s">
        <v>137</v>
      </c>
      <c r="J96">
        <v>11</v>
      </c>
      <c r="K96">
        <v>150</v>
      </c>
      <c r="L96">
        <v>254</v>
      </c>
      <c r="M96">
        <v>289</v>
      </c>
      <c r="N96">
        <v>68.3</v>
      </c>
      <c r="O96">
        <v>38</v>
      </c>
      <c r="P96">
        <v>82</v>
      </c>
      <c r="Q96">
        <v>37.9</v>
      </c>
      <c r="R96">
        <v>72.7</v>
      </c>
    </row>
    <row r="97" spans="1:18" x14ac:dyDescent="0.25">
      <c r="A97" t="s">
        <v>164</v>
      </c>
      <c r="B97" t="s">
        <v>51</v>
      </c>
      <c r="C97" t="s">
        <v>76</v>
      </c>
      <c r="D97" t="s">
        <v>77</v>
      </c>
      <c r="E97" t="s">
        <v>78</v>
      </c>
      <c r="F97" t="s">
        <v>79</v>
      </c>
      <c r="G97">
        <v>6.2675000000000001</v>
      </c>
      <c r="H97">
        <v>-75.568600000000004</v>
      </c>
      <c r="I97" t="s">
        <v>137</v>
      </c>
      <c r="J97">
        <v>11</v>
      </c>
      <c r="K97">
        <v>160</v>
      </c>
      <c r="L97">
        <v>254</v>
      </c>
      <c r="M97">
        <v>317.3</v>
      </c>
      <c r="N97">
        <v>73.2</v>
      </c>
      <c r="O97">
        <v>38</v>
      </c>
      <c r="P97">
        <v>84</v>
      </c>
      <c r="Q97">
        <v>58.6</v>
      </c>
      <c r="R97">
        <v>63.6</v>
      </c>
    </row>
    <row r="98" spans="1:18" x14ac:dyDescent="0.25">
      <c r="A98" t="s">
        <v>165</v>
      </c>
      <c r="B98" t="s">
        <v>51</v>
      </c>
      <c r="C98" t="s">
        <v>76</v>
      </c>
      <c r="D98" t="s">
        <v>77</v>
      </c>
      <c r="E98" t="s">
        <v>78</v>
      </c>
      <c r="F98" t="s">
        <v>79</v>
      </c>
      <c r="G98">
        <v>6.2675000000000001</v>
      </c>
      <c r="H98">
        <v>-75.568600000000004</v>
      </c>
      <c r="I98" t="s">
        <v>137</v>
      </c>
      <c r="J98">
        <v>11</v>
      </c>
      <c r="K98">
        <v>143</v>
      </c>
      <c r="L98">
        <v>254</v>
      </c>
      <c r="M98">
        <v>254.9</v>
      </c>
      <c r="N98">
        <v>56.1</v>
      </c>
      <c r="O98">
        <v>40</v>
      </c>
      <c r="P98">
        <v>44</v>
      </c>
      <c r="Q98">
        <v>51.7</v>
      </c>
      <c r="R98">
        <v>87.3</v>
      </c>
    </row>
    <row r="99" spans="1:18" x14ac:dyDescent="0.25">
      <c r="A99" t="s">
        <v>166</v>
      </c>
      <c r="B99" t="s">
        <v>51</v>
      </c>
      <c r="C99" t="s">
        <v>76</v>
      </c>
      <c r="D99" t="s">
        <v>77</v>
      </c>
      <c r="E99" t="s">
        <v>78</v>
      </c>
      <c r="F99" t="s">
        <v>79</v>
      </c>
      <c r="G99">
        <v>6.2675000000000001</v>
      </c>
      <c r="H99">
        <v>-75.568600000000004</v>
      </c>
      <c r="I99" t="s">
        <v>137</v>
      </c>
      <c r="J99">
        <v>11</v>
      </c>
      <c r="K99">
        <v>167</v>
      </c>
      <c r="L99">
        <v>254</v>
      </c>
      <c r="M99">
        <v>308.39999999999998</v>
      </c>
      <c r="N99">
        <v>61</v>
      </c>
      <c r="O99">
        <v>54</v>
      </c>
      <c r="P99">
        <v>56</v>
      </c>
      <c r="Q99">
        <v>67.2</v>
      </c>
      <c r="R99">
        <v>87.3</v>
      </c>
    </row>
    <row r="100" spans="1:18" x14ac:dyDescent="0.25">
      <c r="A100" t="s">
        <v>167</v>
      </c>
      <c r="B100" t="s">
        <v>51</v>
      </c>
      <c r="C100" t="s">
        <v>76</v>
      </c>
      <c r="D100" t="s">
        <v>77</v>
      </c>
      <c r="E100" t="s">
        <v>78</v>
      </c>
      <c r="F100" t="s">
        <v>79</v>
      </c>
      <c r="G100">
        <v>6.2675000000000001</v>
      </c>
      <c r="H100">
        <v>-75.568600000000004</v>
      </c>
      <c r="I100" t="s">
        <v>137</v>
      </c>
      <c r="J100">
        <v>11</v>
      </c>
      <c r="K100">
        <v>148</v>
      </c>
      <c r="L100">
        <v>254</v>
      </c>
      <c r="M100">
        <v>268.3</v>
      </c>
      <c r="N100">
        <v>51.2</v>
      </c>
      <c r="O100">
        <v>48</v>
      </c>
      <c r="P100">
        <v>52</v>
      </c>
      <c r="Q100">
        <v>53.4</v>
      </c>
      <c r="R100">
        <v>83.6</v>
      </c>
    </row>
    <row r="101" spans="1:18" x14ac:dyDescent="0.25">
      <c r="A101" t="s">
        <v>168</v>
      </c>
      <c r="B101" t="s">
        <v>51</v>
      </c>
      <c r="C101" t="s">
        <v>76</v>
      </c>
      <c r="D101" t="s">
        <v>77</v>
      </c>
      <c r="E101" t="s">
        <v>78</v>
      </c>
      <c r="F101" t="s">
        <v>79</v>
      </c>
      <c r="G101">
        <v>6.2675000000000001</v>
      </c>
      <c r="H101">
        <v>-75.568600000000004</v>
      </c>
      <c r="I101" t="s">
        <v>137</v>
      </c>
      <c r="J101">
        <v>11</v>
      </c>
      <c r="K101">
        <v>126</v>
      </c>
      <c r="L101">
        <v>254</v>
      </c>
      <c r="M101">
        <v>224.7</v>
      </c>
      <c r="N101">
        <v>43.9</v>
      </c>
      <c r="O101">
        <v>36</v>
      </c>
      <c r="P101">
        <v>40</v>
      </c>
      <c r="Q101">
        <v>50</v>
      </c>
      <c r="R101">
        <v>74.5</v>
      </c>
    </row>
    <row r="102" spans="1:18" x14ac:dyDescent="0.25">
      <c r="A102" t="s">
        <v>169</v>
      </c>
      <c r="B102" t="s">
        <v>51</v>
      </c>
      <c r="C102" t="s">
        <v>76</v>
      </c>
      <c r="D102" t="s">
        <v>77</v>
      </c>
      <c r="E102" t="s">
        <v>78</v>
      </c>
      <c r="F102" t="s">
        <v>79</v>
      </c>
      <c r="G102">
        <v>6.2675000000000001</v>
      </c>
      <c r="H102">
        <v>-75.568600000000004</v>
      </c>
      <c r="I102" t="s">
        <v>170</v>
      </c>
      <c r="J102">
        <v>11</v>
      </c>
      <c r="K102">
        <v>152</v>
      </c>
      <c r="L102">
        <v>254</v>
      </c>
      <c r="M102">
        <v>277.7</v>
      </c>
      <c r="N102">
        <v>43.9</v>
      </c>
      <c r="O102">
        <v>34</v>
      </c>
      <c r="P102">
        <v>74</v>
      </c>
      <c r="Q102">
        <v>62.1</v>
      </c>
      <c r="R102">
        <v>80</v>
      </c>
    </row>
    <row r="103" spans="1:18" x14ac:dyDescent="0.25">
      <c r="A103" t="s">
        <v>171</v>
      </c>
      <c r="B103" t="s">
        <v>51</v>
      </c>
      <c r="C103" t="s">
        <v>76</v>
      </c>
      <c r="D103" t="s">
        <v>77</v>
      </c>
      <c r="E103" t="s">
        <v>78</v>
      </c>
      <c r="F103" t="s">
        <v>79</v>
      </c>
      <c r="G103">
        <v>6.2675000000000001</v>
      </c>
      <c r="H103">
        <v>-75.568600000000004</v>
      </c>
      <c r="I103" t="s">
        <v>170</v>
      </c>
      <c r="J103">
        <v>11</v>
      </c>
      <c r="K103">
        <v>170</v>
      </c>
      <c r="L103">
        <v>254</v>
      </c>
      <c r="M103">
        <v>327.7</v>
      </c>
      <c r="N103">
        <v>70.7</v>
      </c>
      <c r="O103">
        <v>44</v>
      </c>
      <c r="P103">
        <v>80</v>
      </c>
      <c r="Q103">
        <v>63.8</v>
      </c>
      <c r="R103">
        <v>76.400000000000006</v>
      </c>
    </row>
    <row r="104" spans="1:18" x14ac:dyDescent="0.25">
      <c r="A104" t="s">
        <v>172</v>
      </c>
      <c r="B104" t="s">
        <v>51</v>
      </c>
      <c r="C104" t="s">
        <v>76</v>
      </c>
      <c r="D104" t="s">
        <v>77</v>
      </c>
      <c r="E104" t="s">
        <v>78</v>
      </c>
      <c r="F104" t="s">
        <v>79</v>
      </c>
      <c r="G104">
        <v>6.2675000000000001</v>
      </c>
      <c r="H104">
        <v>-75.568600000000004</v>
      </c>
      <c r="I104" t="s">
        <v>170</v>
      </c>
      <c r="J104">
        <v>11</v>
      </c>
      <c r="K104">
        <v>132</v>
      </c>
      <c r="L104">
        <v>254</v>
      </c>
      <c r="M104">
        <v>262.2</v>
      </c>
      <c r="N104">
        <v>75.599999999999994</v>
      </c>
      <c r="O104">
        <v>30</v>
      </c>
      <c r="P104">
        <v>50</v>
      </c>
      <c r="Q104">
        <v>53.4</v>
      </c>
      <c r="R104">
        <v>54.5</v>
      </c>
    </row>
    <row r="105" spans="1:18" x14ac:dyDescent="0.25">
      <c r="A105" t="s">
        <v>173</v>
      </c>
      <c r="B105" t="s">
        <v>51</v>
      </c>
      <c r="C105" t="s">
        <v>76</v>
      </c>
      <c r="D105" t="s">
        <v>77</v>
      </c>
      <c r="E105" t="s">
        <v>78</v>
      </c>
      <c r="F105" t="s">
        <v>79</v>
      </c>
      <c r="G105">
        <v>6.2675000000000001</v>
      </c>
      <c r="H105">
        <v>-75.568600000000004</v>
      </c>
      <c r="I105" t="s">
        <v>170</v>
      </c>
      <c r="J105">
        <v>11</v>
      </c>
      <c r="K105">
        <v>149</v>
      </c>
      <c r="L105">
        <v>254</v>
      </c>
      <c r="M105">
        <v>288.8</v>
      </c>
      <c r="N105">
        <v>65.900000000000006</v>
      </c>
      <c r="O105">
        <v>40</v>
      </c>
      <c r="P105">
        <v>72</v>
      </c>
      <c r="Q105">
        <v>50</v>
      </c>
      <c r="R105">
        <v>67.3</v>
      </c>
    </row>
    <row r="106" spans="1:18" x14ac:dyDescent="0.25">
      <c r="A106" t="s">
        <v>174</v>
      </c>
      <c r="B106" t="s">
        <v>51</v>
      </c>
      <c r="C106" t="s">
        <v>76</v>
      </c>
      <c r="D106" t="s">
        <v>77</v>
      </c>
      <c r="E106" t="s">
        <v>78</v>
      </c>
      <c r="F106" t="s">
        <v>79</v>
      </c>
      <c r="G106">
        <v>6.2675000000000001</v>
      </c>
      <c r="H106">
        <v>-75.568600000000004</v>
      </c>
      <c r="I106" t="s">
        <v>170</v>
      </c>
      <c r="J106">
        <v>11</v>
      </c>
      <c r="K106">
        <v>164</v>
      </c>
      <c r="L106">
        <v>254</v>
      </c>
      <c r="M106">
        <v>314</v>
      </c>
      <c r="N106">
        <v>73.2</v>
      </c>
      <c r="O106">
        <v>42</v>
      </c>
      <c r="P106">
        <v>74</v>
      </c>
      <c r="Q106">
        <v>56.9</v>
      </c>
      <c r="R106">
        <v>78.2</v>
      </c>
    </row>
    <row r="107" spans="1:18" x14ac:dyDescent="0.25">
      <c r="A107" t="s">
        <v>175</v>
      </c>
      <c r="B107" t="s">
        <v>51</v>
      </c>
      <c r="C107" t="s">
        <v>76</v>
      </c>
      <c r="D107" t="s">
        <v>77</v>
      </c>
      <c r="E107" t="s">
        <v>78</v>
      </c>
      <c r="F107" t="s">
        <v>79</v>
      </c>
      <c r="G107">
        <v>6.2675000000000001</v>
      </c>
      <c r="H107">
        <v>-75.568600000000004</v>
      </c>
      <c r="I107" t="s">
        <v>170</v>
      </c>
      <c r="J107">
        <v>11</v>
      </c>
      <c r="K107">
        <v>130</v>
      </c>
      <c r="L107">
        <v>254</v>
      </c>
      <c r="M107">
        <v>256.60000000000002</v>
      </c>
      <c r="N107">
        <v>58.5</v>
      </c>
      <c r="O107">
        <v>40</v>
      </c>
      <c r="P107">
        <v>50</v>
      </c>
      <c r="Q107">
        <v>56.9</v>
      </c>
      <c r="R107">
        <v>50.9</v>
      </c>
    </row>
    <row r="108" spans="1:18" x14ac:dyDescent="0.25">
      <c r="A108" t="s">
        <v>176</v>
      </c>
      <c r="B108" t="s">
        <v>51</v>
      </c>
      <c r="C108" t="s">
        <v>76</v>
      </c>
      <c r="D108" t="s">
        <v>77</v>
      </c>
      <c r="E108" t="s">
        <v>78</v>
      </c>
      <c r="F108" t="s">
        <v>79</v>
      </c>
      <c r="G108">
        <v>6.2675000000000001</v>
      </c>
      <c r="H108">
        <v>-75.568600000000004</v>
      </c>
      <c r="I108" t="s">
        <v>170</v>
      </c>
      <c r="J108">
        <v>11</v>
      </c>
      <c r="K108">
        <v>55</v>
      </c>
      <c r="L108">
        <v>120</v>
      </c>
      <c r="M108">
        <v>217.8</v>
      </c>
      <c r="N108">
        <v>58.5</v>
      </c>
      <c r="O108">
        <v>44</v>
      </c>
      <c r="P108">
        <v>20</v>
      </c>
      <c r="Q108">
        <v>51.7</v>
      </c>
    </row>
    <row r="109" spans="1:18" x14ac:dyDescent="0.25">
      <c r="A109" t="s">
        <v>177</v>
      </c>
      <c r="B109" t="s">
        <v>51</v>
      </c>
      <c r="C109" t="s">
        <v>76</v>
      </c>
      <c r="D109" t="s">
        <v>77</v>
      </c>
      <c r="E109" t="s">
        <v>78</v>
      </c>
      <c r="F109" t="s">
        <v>79</v>
      </c>
      <c r="G109">
        <v>6.2675000000000001</v>
      </c>
      <c r="H109">
        <v>-75.568600000000004</v>
      </c>
      <c r="I109" t="s">
        <v>170</v>
      </c>
      <c r="J109">
        <v>11</v>
      </c>
      <c r="K109">
        <v>202</v>
      </c>
      <c r="L109">
        <v>254</v>
      </c>
      <c r="M109">
        <v>394.6</v>
      </c>
      <c r="N109">
        <v>85.4</v>
      </c>
      <c r="O109">
        <v>86</v>
      </c>
      <c r="P109">
        <v>68</v>
      </c>
      <c r="Q109">
        <v>74.099999999999994</v>
      </c>
      <c r="R109">
        <v>85.5</v>
      </c>
    </row>
    <row r="110" spans="1:18" x14ac:dyDescent="0.25">
      <c r="A110" t="s">
        <v>178</v>
      </c>
      <c r="B110" t="s">
        <v>51</v>
      </c>
      <c r="C110" t="s">
        <v>76</v>
      </c>
      <c r="D110" t="s">
        <v>77</v>
      </c>
      <c r="E110" t="s">
        <v>78</v>
      </c>
      <c r="F110" t="s">
        <v>79</v>
      </c>
      <c r="G110">
        <v>6.2675000000000001</v>
      </c>
      <c r="H110">
        <v>-75.568600000000004</v>
      </c>
      <c r="I110" t="s">
        <v>170</v>
      </c>
      <c r="J110">
        <v>11</v>
      </c>
      <c r="K110">
        <v>182</v>
      </c>
      <c r="L110">
        <v>254</v>
      </c>
      <c r="M110">
        <v>341.2</v>
      </c>
      <c r="N110">
        <v>70.7</v>
      </c>
      <c r="O110">
        <v>46</v>
      </c>
      <c r="P110">
        <v>86</v>
      </c>
      <c r="Q110">
        <v>62.1</v>
      </c>
      <c r="R110">
        <v>92.7</v>
      </c>
    </row>
    <row r="111" spans="1:18" x14ac:dyDescent="0.25">
      <c r="A111" t="s">
        <v>179</v>
      </c>
      <c r="B111" t="s">
        <v>51</v>
      </c>
      <c r="C111" t="s">
        <v>76</v>
      </c>
      <c r="D111" t="s">
        <v>77</v>
      </c>
      <c r="E111" t="s">
        <v>78</v>
      </c>
      <c r="F111" t="s">
        <v>79</v>
      </c>
      <c r="G111">
        <v>6.2675000000000001</v>
      </c>
      <c r="H111">
        <v>-75.568600000000004</v>
      </c>
      <c r="I111" t="s">
        <v>170</v>
      </c>
      <c r="J111">
        <v>11</v>
      </c>
      <c r="K111">
        <v>170</v>
      </c>
      <c r="L111">
        <v>254</v>
      </c>
      <c r="M111">
        <v>313.39999999999998</v>
      </c>
      <c r="N111">
        <v>61</v>
      </c>
      <c r="O111">
        <v>44</v>
      </c>
      <c r="P111">
        <v>76</v>
      </c>
      <c r="Q111">
        <v>60.3</v>
      </c>
      <c r="R111">
        <v>90.9</v>
      </c>
    </row>
    <row r="112" spans="1:18" x14ac:dyDescent="0.25">
      <c r="A112" t="s">
        <v>180</v>
      </c>
      <c r="B112" t="s">
        <v>51</v>
      </c>
      <c r="C112" t="s">
        <v>76</v>
      </c>
      <c r="D112" t="s">
        <v>77</v>
      </c>
      <c r="E112" t="s">
        <v>78</v>
      </c>
      <c r="F112" t="s">
        <v>79</v>
      </c>
      <c r="G112">
        <v>6.2675000000000001</v>
      </c>
      <c r="H112">
        <v>-75.568600000000004</v>
      </c>
      <c r="I112" t="s">
        <v>170</v>
      </c>
      <c r="J112">
        <v>11</v>
      </c>
      <c r="K112">
        <v>174</v>
      </c>
      <c r="L112">
        <v>254</v>
      </c>
      <c r="M112">
        <v>332.8</v>
      </c>
      <c r="N112">
        <v>80.5</v>
      </c>
      <c r="O112">
        <v>52</v>
      </c>
      <c r="P112">
        <v>66</v>
      </c>
      <c r="Q112">
        <v>62.1</v>
      </c>
      <c r="R112">
        <v>83.6</v>
      </c>
    </row>
    <row r="113" spans="1:18" x14ac:dyDescent="0.25">
      <c r="A113" t="s">
        <v>181</v>
      </c>
      <c r="B113" t="s">
        <v>51</v>
      </c>
      <c r="C113" t="s">
        <v>76</v>
      </c>
      <c r="D113" t="s">
        <v>77</v>
      </c>
      <c r="E113" t="s">
        <v>78</v>
      </c>
      <c r="F113" t="s">
        <v>79</v>
      </c>
      <c r="G113">
        <v>6.2675000000000001</v>
      </c>
      <c r="H113">
        <v>-75.568600000000004</v>
      </c>
      <c r="I113" t="s">
        <v>170</v>
      </c>
      <c r="J113">
        <v>11</v>
      </c>
      <c r="K113">
        <v>162</v>
      </c>
      <c r="L113">
        <v>254</v>
      </c>
      <c r="M113">
        <v>307.5</v>
      </c>
      <c r="N113">
        <v>65.900000000000006</v>
      </c>
      <c r="O113">
        <v>44</v>
      </c>
      <c r="P113">
        <v>72</v>
      </c>
      <c r="Q113">
        <v>58.6</v>
      </c>
      <c r="R113">
        <v>78.2</v>
      </c>
    </row>
    <row r="114" spans="1:18" x14ac:dyDescent="0.25">
      <c r="A114" t="s">
        <v>182</v>
      </c>
      <c r="B114" t="s">
        <v>51</v>
      </c>
      <c r="C114" t="s">
        <v>76</v>
      </c>
      <c r="D114" t="s">
        <v>77</v>
      </c>
      <c r="E114" t="s">
        <v>78</v>
      </c>
      <c r="F114" t="s">
        <v>79</v>
      </c>
      <c r="G114">
        <v>6.2675000000000001</v>
      </c>
      <c r="H114">
        <v>-75.568600000000004</v>
      </c>
      <c r="I114" t="s">
        <v>170</v>
      </c>
      <c r="J114">
        <v>11</v>
      </c>
      <c r="K114">
        <v>173</v>
      </c>
      <c r="L114">
        <v>254</v>
      </c>
      <c r="M114">
        <v>328.1</v>
      </c>
      <c r="N114">
        <v>65.900000000000006</v>
      </c>
      <c r="O114">
        <v>44</v>
      </c>
      <c r="P114">
        <v>88</v>
      </c>
      <c r="Q114">
        <v>58.6</v>
      </c>
      <c r="R114">
        <v>83.6</v>
      </c>
    </row>
    <row r="115" spans="1:18" x14ac:dyDescent="0.25">
      <c r="A115" t="s">
        <v>183</v>
      </c>
      <c r="B115" t="s">
        <v>51</v>
      </c>
      <c r="C115" t="s">
        <v>76</v>
      </c>
      <c r="D115" t="s">
        <v>77</v>
      </c>
      <c r="E115" t="s">
        <v>78</v>
      </c>
      <c r="F115" t="s">
        <v>79</v>
      </c>
      <c r="G115">
        <v>6.2675000000000001</v>
      </c>
      <c r="H115">
        <v>-75.568600000000004</v>
      </c>
      <c r="I115" t="s">
        <v>170</v>
      </c>
      <c r="J115">
        <v>11</v>
      </c>
      <c r="K115">
        <v>73</v>
      </c>
      <c r="L115">
        <v>254</v>
      </c>
      <c r="M115">
        <v>140</v>
      </c>
      <c r="N115">
        <v>31.7</v>
      </c>
      <c r="O115">
        <v>20</v>
      </c>
      <c r="P115">
        <v>26</v>
      </c>
      <c r="Q115">
        <v>32.799999999999997</v>
      </c>
      <c r="R115">
        <v>32.700000000000003</v>
      </c>
    </row>
    <row r="116" spans="1:18" x14ac:dyDescent="0.25">
      <c r="A116" t="s">
        <v>184</v>
      </c>
      <c r="B116" t="s">
        <v>51</v>
      </c>
      <c r="C116" t="s">
        <v>76</v>
      </c>
      <c r="D116" t="s">
        <v>77</v>
      </c>
      <c r="E116" t="s">
        <v>78</v>
      </c>
      <c r="F116" t="s">
        <v>79</v>
      </c>
      <c r="G116">
        <v>6.2675000000000001</v>
      </c>
      <c r="H116">
        <v>-75.568600000000004</v>
      </c>
      <c r="I116" t="s">
        <v>170</v>
      </c>
      <c r="J116">
        <v>11</v>
      </c>
      <c r="K116">
        <v>133</v>
      </c>
      <c r="L116">
        <v>254</v>
      </c>
      <c r="M116">
        <v>260.3</v>
      </c>
      <c r="N116">
        <v>53.7</v>
      </c>
      <c r="O116">
        <v>26</v>
      </c>
      <c r="P116">
        <v>68</v>
      </c>
      <c r="Q116">
        <v>60.3</v>
      </c>
      <c r="R116">
        <v>52.7</v>
      </c>
    </row>
    <row r="117" spans="1:18" x14ac:dyDescent="0.25">
      <c r="A117" t="s">
        <v>185</v>
      </c>
      <c r="B117" t="s">
        <v>51</v>
      </c>
      <c r="C117" t="s">
        <v>76</v>
      </c>
      <c r="D117" t="s">
        <v>77</v>
      </c>
      <c r="E117" t="s">
        <v>78</v>
      </c>
      <c r="F117" t="s">
        <v>79</v>
      </c>
      <c r="G117">
        <v>6.2675000000000001</v>
      </c>
      <c r="H117">
        <v>-75.568600000000004</v>
      </c>
      <c r="I117" t="s">
        <v>170</v>
      </c>
      <c r="J117">
        <v>11</v>
      </c>
      <c r="K117">
        <v>137</v>
      </c>
      <c r="L117">
        <v>254</v>
      </c>
      <c r="M117">
        <v>267.5</v>
      </c>
      <c r="N117">
        <v>61</v>
      </c>
      <c r="O117">
        <v>46</v>
      </c>
      <c r="P117">
        <v>60</v>
      </c>
      <c r="Q117">
        <v>44.8</v>
      </c>
      <c r="R117">
        <v>60</v>
      </c>
    </row>
    <row r="118" spans="1:18" x14ac:dyDescent="0.25">
      <c r="A118" t="s">
        <v>186</v>
      </c>
      <c r="B118" t="s">
        <v>51</v>
      </c>
      <c r="C118" t="s">
        <v>76</v>
      </c>
      <c r="D118" t="s">
        <v>77</v>
      </c>
      <c r="E118" t="s">
        <v>78</v>
      </c>
      <c r="F118" t="s">
        <v>79</v>
      </c>
      <c r="G118">
        <v>6.2675000000000001</v>
      </c>
      <c r="H118">
        <v>-75.568600000000004</v>
      </c>
      <c r="I118" t="s">
        <v>170</v>
      </c>
      <c r="J118">
        <v>11</v>
      </c>
      <c r="K118">
        <v>124</v>
      </c>
      <c r="L118">
        <v>254</v>
      </c>
      <c r="M118">
        <v>242</v>
      </c>
      <c r="N118">
        <v>36.6</v>
      </c>
      <c r="O118">
        <v>50</v>
      </c>
      <c r="P118">
        <v>62</v>
      </c>
      <c r="Q118">
        <v>44.8</v>
      </c>
      <c r="R118">
        <v>49.1</v>
      </c>
    </row>
    <row r="119" spans="1:18" x14ac:dyDescent="0.25">
      <c r="A119" t="s">
        <v>187</v>
      </c>
      <c r="B119" t="s">
        <v>51</v>
      </c>
      <c r="C119" t="s">
        <v>76</v>
      </c>
      <c r="D119" t="s">
        <v>77</v>
      </c>
      <c r="E119" t="s">
        <v>78</v>
      </c>
      <c r="F119" t="s">
        <v>79</v>
      </c>
      <c r="G119">
        <v>6.2675000000000001</v>
      </c>
      <c r="H119">
        <v>-75.568600000000004</v>
      </c>
      <c r="I119" t="s">
        <v>170</v>
      </c>
      <c r="J119">
        <v>11</v>
      </c>
      <c r="K119">
        <v>187</v>
      </c>
      <c r="L119">
        <v>254</v>
      </c>
      <c r="M119">
        <v>353.7</v>
      </c>
      <c r="N119">
        <v>82.9</v>
      </c>
      <c r="O119">
        <v>50</v>
      </c>
      <c r="P119">
        <v>80</v>
      </c>
      <c r="Q119">
        <v>62.1</v>
      </c>
      <c r="R119">
        <v>94.5</v>
      </c>
    </row>
    <row r="120" spans="1:18" x14ac:dyDescent="0.25">
      <c r="A120" t="s">
        <v>188</v>
      </c>
      <c r="B120" t="s">
        <v>51</v>
      </c>
      <c r="C120" t="s">
        <v>76</v>
      </c>
      <c r="D120" t="s">
        <v>77</v>
      </c>
      <c r="E120" t="s">
        <v>78</v>
      </c>
      <c r="F120" t="s">
        <v>79</v>
      </c>
      <c r="G120">
        <v>6.2675000000000001</v>
      </c>
      <c r="H120">
        <v>-75.568600000000004</v>
      </c>
      <c r="I120" t="s">
        <v>170</v>
      </c>
      <c r="J120">
        <v>11</v>
      </c>
      <c r="K120">
        <v>153</v>
      </c>
      <c r="L120">
        <v>254</v>
      </c>
      <c r="M120">
        <v>282.2</v>
      </c>
      <c r="N120">
        <v>61</v>
      </c>
      <c r="O120">
        <v>36</v>
      </c>
      <c r="P120">
        <v>60</v>
      </c>
      <c r="Q120">
        <v>60.3</v>
      </c>
      <c r="R120">
        <v>81.8</v>
      </c>
    </row>
    <row r="121" spans="1:18" x14ac:dyDescent="0.25">
      <c r="A121" t="s">
        <v>189</v>
      </c>
      <c r="B121" t="s">
        <v>51</v>
      </c>
      <c r="C121" t="s">
        <v>76</v>
      </c>
      <c r="D121" t="s">
        <v>77</v>
      </c>
      <c r="E121" t="s">
        <v>78</v>
      </c>
      <c r="F121" t="s">
        <v>79</v>
      </c>
      <c r="G121">
        <v>6.2675000000000001</v>
      </c>
      <c r="H121">
        <v>-75.568600000000004</v>
      </c>
      <c r="I121" t="s">
        <v>170</v>
      </c>
      <c r="J121">
        <v>11</v>
      </c>
      <c r="K121">
        <v>159</v>
      </c>
      <c r="L121">
        <v>254</v>
      </c>
      <c r="M121">
        <v>300.8</v>
      </c>
      <c r="N121">
        <v>68.3</v>
      </c>
      <c r="O121">
        <v>30</v>
      </c>
      <c r="P121">
        <v>68</v>
      </c>
      <c r="Q121">
        <v>69</v>
      </c>
      <c r="R121">
        <v>76.400000000000006</v>
      </c>
    </row>
    <row r="122" spans="1:18" x14ac:dyDescent="0.25">
      <c r="A122" t="s">
        <v>190</v>
      </c>
      <c r="B122" t="s">
        <v>51</v>
      </c>
      <c r="C122" t="s">
        <v>76</v>
      </c>
      <c r="D122" t="s">
        <v>77</v>
      </c>
      <c r="E122" t="s">
        <v>78</v>
      </c>
      <c r="F122" t="s">
        <v>79</v>
      </c>
      <c r="G122">
        <v>6.2675000000000001</v>
      </c>
      <c r="H122">
        <v>-75.568600000000004</v>
      </c>
      <c r="I122" t="s">
        <v>170</v>
      </c>
      <c r="J122">
        <v>11</v>
      </c>
      <c r="K122">
        <v>65</v>
      </c>
      <c r="L122">
        <v>120</v>
      </c>
      <c r="M122">
        <v>267</v>
      </c>
      <c r="N122">
        <v>56.1</v>
      </c>
      <c r="O122">
        <v>40</v>
      </c>
      <c r="P122">
        <v>52</v>
      </c>
      <c r="Q122">
        <v>65.5</v>
      </c>
    </row>
    <row r="123" spans="1:18" x14ac:dyDescent="0.25">
      <c r="A123" t="s">
        <v>191</v>
      </c>
      <c r="B123" t="s">
        <v>51</v>
      </c>
      <c r="C123" t="s">
        <v>76</v>
      </c>
      <c r="D123" t="s">
        <v>77</v>
      </c>
      <c r="E123" t="s">
        <v>78</v>
      </c>
      <c r="F123" t="s">
        <v>79</v>
      </c>
      <c r="G123">
        <v>6.2675000000000001</v>
      </c>
      <c r="H123">
        <v>-75.568600000000004</v>
      </c>
      <c r="I123" t="s">
        <v>170</v>
      </c>
      <c r="J123">
        <v>11</v>
      </c>
      <c r="K123">
        <v>134</v>
      </c>
      <c r="L123">
        <v>254</v>
      </c>
      <c r="M123">
        <v>249.4</v>
      </c>
      <c r="N123">
        <v>58.5</v>
      </c>
      <c r="O123">
        <v>26</v>
      </c>
      <c r="P123">
        <v>50</v>
      </c>
      <c r="Q123">
        <v>58.6</v>
      </c>
      <c r="R123">
        <v>69.099999999999994</v>
      </c>
    </row>
    <row r="124" spans="1:18" x14ac:dyDescent="0.25">
      <c r="A124" t="s">
        <v>192</v>
      </c>
      <c r="B124" t="s">
        <v>51</v>
      </c>
      <c r="C124" t="s">
        <v>76</v>
      </c>
      <c r="D124" t="s">
        <v>77</v>
      </c>
      <c r="E124" t="s">
        <v>78</v>
      </c>
      <c r="F124" t="s">
        <v>79</v>
      </c>
      <c r="G124">
        <v>6.2675000000000001</v>
      </c>
      <c r="H124">
        <v>-75.568600000000004</v>
      </c>
      <c r="I124" t="s">
        <v>170</v>
      </c>
      <c r="J124">
        <v>11</v>
      </c>
      <c r="K124">
        <v>98</v>
      </c>
      <c r="L124">
        <v>254</v>
      </c>
      <c r="M124">
        <v>190.8</v>
      </c>
      <c r="N124">
        <v>41.5</v>
      </c>
      <c r="O124">
        <v>34</v>
      </c>
      <c r="P124">
        <v>38</v>
      </c>
      <c r="Q124">
        <v>37.9</v>
      </c>
      <c r="R124">
        <v>41.8</v>
      </c>
    </row>
    <row r="125" spans="1:18" x14ac:dyDescent="0.25">
      <c r="A125" t="s">
        <v>193</v>
      </c>
      <c r="B125" t="s">
        <v>51</v>
      </c>
      <c r="C125" t="s">
        <v>76</v>
      </c>
      <c r="D125" t="s">
        <v>77</v>
      </c>
      <c r="E125" t="s">
        <v>78</v>
      </c>
      <c r="F125" t="s">
        <v>79</v>
      </c>
      <c r="G125">
        <v>6.2675000000000001</v>
      </c>
      <c r="H125">
        <v>-75.568600000000004</v>
      </c>
      <c r="I125" t="s">
        <v>170</v>
      </c>
      <c r="J125">
        <v>11</v>
      </c>
      <c r="K125">
        <v>134</v>
      </c>
      <c r="L125">
        <v>254</v>
      </c>
      <c r="M125">
        <v>270.5</v>
      </c>
      <c r="N125">
        <v>61</v>
      </c>
      <c r="O125">
        <v>32</v>
      </c>
      <c r="P125">
        <v>66</v>
      </c>
      <c r="Q125">
        <v>60.3</v>
      </c>
      <c r="R125">
        <v>45.5</v>
      </c>
    </row>
    <row r="126" spans="1:18" x14ac:dyDescent="0.25">
      <c r="A126" t="s">
        <v>194</v>
      </c>
      <c r="B126" t="s">
        <v>51</v>
      </c>
      <c r="C126" t="s">
        <v>76</v>
      </c>
      <c r="D126" t="s">
        <v>77</v>
      </c>
      <c r="E126" t="s">
        <v>78</v>
      </c>
      <c r="F126" t="s">
        <v>79</v>
      </c>
      <c r="G126">
        <v>6.2675000000000001</v>
      </c>
      <c r="H126">
        <v>-75.568600000000004</v>
      </c>
      <c r="I126" t="s">
        <v>170</v>
      </c>
      <c r="J126">
        <v>11</v>
      </c>
      <c r="K126">
        <v>113</v>
      </c>
      <c r="L126">
        <v>254</v>
      </c>
      <c r="M126">
        <v>226.9</v>
      </c>
      <c r="N126">
        <v>70.7</v>
      </c>
      <c r="O126">
        <v>44</v>
      </c>
      <c r="P126">
        <v>38</v>
      </c>
      <c r="Q126">
        <v>27.6</v>
      </c>
      <c r="R126">
        <v>49.1</v>
      </c>
    </row>
    <row r="127" spans="1:18" x14ac:dyDescent="0.25">
      <c r="A127" t="s">
        <v>195</v>
      </c>
      <c r="B127" t="s">
        <v>51</v>
      </c>
      <c r="C127" t="s">
        <v>76</v>
      </c>
      <c r="D127" t="s">
        <v>77</v>
      </c>
      <c r="E127" t="s">
        <v>78</v>
      </c>
      <c r="F127" t="s">
        <v>79</v>
      </c>
      <c r="G127">
        <v>6.2675000000000001</v>
      </c>
      <c r="H127">
        <v>-75.568600000000004</v>
      </c>
      <c r="I127" t="s">
        <v>170</v>
      </c>
      <c r="J127">
        <v>11</v>
      </c>
      <c r="K127">
        <v>199</v>
      </c>
      <c r="L127">
        <v>254</v>
      </c>
      <c r="M127">
        <v>381.7</v>
      </c>
      <c r="N127">
        <v>82.9</v>
      </c>
      <c r="O127">
        <v>60</v>
      </c>
      <c r="P127">
        <v>88</v>
      </c>
      <c r="Q127">
        <v>69</v>
      </c>
      <c r="R127">
        <v>92.7</v>
      </c>
    </row>
    <row r="128" spans="1:18" x14ac:dyDescent="0.25">
      <c r="A128" t="s">
        <v>196</v>
      </c>
      <c r="B128" t="s">
        <v>51</v>
      </c>
      <c r="C128" t="s">
        <v>76</v>
      </c>
      <c r="D128" t="s">
        <v>77</v>
      </c>
      <c r="E128" t="s">
        <v>78</v>
      </c>
      <c r="F128" t="s">
        <v>79</v>
      </c>
      <c r="G128">
        <v>6.2675000000000001</v>
      </c>
      <c r="H128">
        <v>-75.568600000000004</v>
      </c>
      <c r="I128" t="s">
        <v>170</v>
      </c>
      <c r="J128">
        <v>11</v>
      </c>
      <c r="K128">
        <v>184</v>
      </c>
      <c r="L128">
        <v>254</v>
      </c>
      <c r="M128">
        <v>348.1</v>
      </c>
      <c r="N128">
        <v>70.7</v>
      </c>
      <c r="O128">
        <v>50</v>
      </c>
      <c r="P128">
        <v>84</v>
      </c>
      <c r="Q128">
        <v>67.2</v>
      </c>
      <c r="R128">
        <v>89.1</v>
      </c>
    </row>
    <row r="129" spans="1:18" x14ac:dyDescent="0.25">
      <c r="A129" t="s">
        <v>197</v>
      </c>
      <c r="B129" t="s">
        <v>51</v>
      </c>
      <c r="C129" t="s">
        <v>76</v>
      </c>
      <c r="D129" t="s">
        <v>77</v>
      </c>
      <c r="E129" t="s">
        <v>78</v>
      </c>
      <c r="F129" t="s">
        <v>79</v>
      </c>
      <c r="G129">
        <v>6.2675000000000001</v>
      </c>
      <c r="H129">
        <v>-75.568600000000004</v>
      </c>
      <c r="I129" t="s">
        <v>170</v>
      </c>
      <c r="J129">
        <v>11</v>
      </c>
      <c r="K129">
        <v>180</v>
      </c>
      <c r="L129">
        <v>254</v>
      </c>
      <c r="M129">
        <v>338.7</v>
      </c>
      <c r="N129">
        <v>73.2</v>
      </c>
      <c r="O129">
        <v>54</v>
      </c>
      <c r="P129">
        <v>74</v>
      </c>
      <c r="Q129">
        <v>62.1</v>
      </c>
      <c r="R129">
        <v>90.9</v>
      </c>
    </row>
    <row r="130" spans="1:18" x14ac:dyDescent="0.25">
      <c r="A130" t="s">
        <v>198</v>
      </c>
      <c r="B130" t="s">
        <v>51</v>
      </c>
      <c r="C130" t="s">
        <v>76</v>
      </c>
      <c r="D130" t="s">
        <v>77</v>
      </c>
      <c r="E130" t="s">
        <v>78</v>
      </c>
      <c r="F130" t="s">
        <v>79</v>
      </c>
      <c r="G130">
        <v>6.2675000000000001</v>
      </c>
      <c r="H130">
        <v>-75.568600000000004</v>
      </c>
      <c r="I130" t="s">
        <v>170</v>
      </c>
      <c r="J130">
        <v>11</v>
      </c>
      <c r="K130">
        <v>160</v>
      </c>
      <c r="L130">
        <v>254</v>
      </c>
      <c r="M130">
        <v>309.7</v>
      </c>
      <c r="N130">
        <v>70.7</v>
      </c>
      <c r="O130">
        <v>56</v>
      </c>
      <c r="P130">
        <v>72</v>
      </c>
      <c r="Q130">
        <v>44.8</v>
      </c>
      <c r="R130">
        <v>74.5</v>
      </c>
    </row>
    <row r="131" spans="1:18" x14ac:dyDescent="0.25">
      <c r="A131" t="s">
        <v>199</v>
      </c>
      <c r="B131" t="s">
        <v>51</v>
      </c>
      <c r="C131" t="s">
        <v>76</v>
      </c>
      <c r="D131" t="s">
        <v>77</v>
      </c>
      <c r="E131" t="s">
        <v>78</v>
      </c>
      <c r="F131" t="s">
        <v>79</v>
      </c>
      <c r="G131">
        <v>6.2675000000000001</v>
      </c>
      <c r="H131">
        <v>-75.568600000000004</v>
      </c>
      <c r="I131" t="s">
        <v>170</v>
      </c>
      <c r="J131">
        <v>11</v>
      </c>
      <c r="K131">
        <v>166</v>
      </c>
      <c r="L131">
        <v>254</v>
      </c>
      <c r="M131">
        <v>310.8</v>
      </c>
      <c r="N131">
        <v>63.4</v>
      </c>
      <c r="O131">
        <v>38</v>
      </c>
      <c r="P131">
        <v>78</v>
      </c>
      <c r="Q131">
        <v>62.1</v>
      </c>
      <c r="R131">
        <v>83.6</v>
      </c>
    </row>
    <row r="132" spans="1:18" x14ac:dyDescent="0.25">
      <c r="A132" t="s">
        <v>200</v>
      </c>
      <c r="B132" t="s">
        <v>51</v>
      </c>
      <c r="C132" t="s">
        <v>76</v>
      </c>
      <c r="D132" t="s">
        <v>77</v>
      </c>
      <c r="E132" t="s">
        <v>78</v>
      </c>
      <c r="F132" t="s">
        <v>79</v>
      </c>
      <c r="G132">
        <v>6.2675000000000001</v>
      </c>
      <c r="H132">
        <v>-75.568600000000004</v>
      </c>
      <c r="I132" t="s">
        <v>170</v>
      </c>
      <c r="J132">
        <v>11</v>
      </c>
      <c r="K132">
        <v>144</v>
      </c>
      <c r="L132">
        <v>254</v>
      </c>
      <c r="M132">
        <v>287.5</v>
      </c>
      <c r="N132">
        <v>65.900000000000006</v>
      </c>
      <c r="O132">
        <v>30</v>
      </c>
      <c r="P132">
        <v>80</v>
      </c>
      <c r="Q132">
        <v>55.2</v>
      </c>
      <c r="R132">
        <v>54.5</v>
      </c>
    </row>
    <row r="133" spans="1:18" x14ac:dyDescent="0.25">
      <c r="A133" t="s">
        <v>201</v>
      </c>
      <c r="B133" t="s">
        <v>51</v>
      </c>
      <c r="C133" t="s">
        <v>76</v>
      </c>
      <c r="D133" t="s">
        <v>77</v>
      </c>
      <c r="E133" t="s">
        <v>78</v>
      </c>
      <c r="F133" t="s">
        <v>79</v>
      </c>
      <c r="G133">
        <v>6.2675000000000001</v>
      </c>
      <c r="H133">
        <v>-75.568600000000004</v>
      </c>
      <c r="I133" t="s">
        <v>170</v>
      </c>
      <c r="J133">
        <v>11</v>
      </c>
      <c r="K133">
        <v>113</v>
      </c>
      <c r="L133">
        <v>254</v>
      </c>
      <c r="M133">
        <v>209.8</v>
      </c>
      <c r="N133">
        <v>43.9</v>
      </c>
      <c r="O133">
        <v>32</v>
      </c>
      <c r="P133">
        <v>40</v>
      </c>
      <c r="Q133">
        <v>46.6</v>
      </c>
      <c r="R133">
        <v>58.2</v>
      </c>
    </row>
    <row r="134" spans="1:18" x14ac:dyDescent="0.25">
      <c r="A134" t="s">
        <v>202</v>
      </c>
      <c r="B134" t="s">
        <v>51</v>
      </c>
      <c r="C134" t="s">
        <v>76</v>
      </c>
      <c r="D134" t="s">
        <v>77</v>
      </c>
      <c r="E134" t="s">
        <v>78</v>
      </c>
      <c r="F134" t="s">
        <v>79</v>
      </c>
      <c r="G134">
        <v>6.2675000000000001</v>
      </c>
      <c r="H134">
        <v>-75.568600000000004</v>
      </c>
      <c r="I134" t="s">
        <v>170</v>
      </c>
      <c r="J134">
        <v>11</v>
      </c>
      <c r="K134">
        <v>164</v>
      </c>
      <c r="L134">
        <v>254</v>
      </c>
      <c r="M134">
        <v>312.10000000000002</v>
      </c>
      <c r="N134">
        <v>56.1</v>
      </c>
      <c r="O134">
        <v>46</v>
      </c>
      <c r="P134">
        <v>78</v>
      </c>
      <c r="Q134">
        <v>65.5</v>
      </c>
      <c r="R134">
        <v>74.5</v>
      </c>
    </row>
    <row r="135" spans="1:18" x14ac:dyDescent="0.25">
      <c r="A135" t="s">
        <v>203</v>
      </c>
      <c r="B135" t="s">
        <v>51</v>
      </c>
      <c r="C135" t="s">
        <v>76</v>
      </c>
      <c r="D135" t="s">
        <v>77</v>
      </c>
      <c r="E135" t="s">
        <v>78</v>
      </c>
      <c r="F135" t="s">
        <v>79</v>
      </c>
      <c r="G135">
        <v>6.2675000000000001</v>
      </c>
      <c r="H135">
        <v>-75.568600000000004</v>
      </c>
      <c r="I135" t="s">
        <v>170</v>
      </c>
      <c r="J135">
        <v>11</v>
      </c>
      <c r="K135">
        <v>152</v>
      </c>
      <c r="L135">
        <v>254</v>
      </c>
      <c r="M135">
        <v>308.2</v>
      </c>
      <c r="N135">
        <v>78</v>
      </c>
      <c r="O135">
        <v>40</v>
      </c>
      <c r="P135">
        <v>74</v>
      </c>
      <c r="Q135">
        <v>56.9</v>
      </c>
      <c r="R135">
        <v>54.5</v>
      </c>
    </row>
    <row r="136" spans="1:18" x14ac:dyDescent="0.25">
      <c r="A136" t="s">
        <v>204</v>
      </c>
      <c r="B136" t="s">
        <v>51</v>
      </c>
      <c r="C136" t="s">
        <v>76</v>
      </c>
      <c r="D136" t="s">
        <v>77</v>
      </c>
      <c r="E136" t="s">
        <v>78</v>
      </c>
      <c r="F136" t="s">
        <v>79</v>
      </c>
      <c r="G136">
        <v>6.2675000000000001</v>
      </c>
      <c r="H136">
        <v>-75.568600000000004</v>
      </c>
      <c r="I136" t="s">
        <v>170</v>
      </c>
      <c r="J136">
        <v>11</v>
      </c>
      <c r="K136">
        <v>188</v>
      </c>
      <c r="L136">
        <v>254</v>
      </c>
      <c r="M136">
        <v>347.2</v>
      </c>
      <c r="N136">
        <v>68.3</v>
      </c>
      <c r="O136">
        <v>44</v>
      </c>
      <c r="P136">
        <v>88</v>
      </c>
      <c r="Q136">
        <v>67.2</v>
      </c>
      <c r="R136">
        <v>100</v>
      </c>
    </row>
    <row r="137" spans="1:18" x14ac:dyDescent="0.25">
      <c r="A137" t="s">
        <v>205</v>
      </c>
      <c r="B137" t="s">
        <v>51</v>
      </c>
      <c r="C137" t="s">
        <v>76</v>
      </c>
      <c r="D137" t="s">
        <v>77</v>
      </c>
      <c r="E137" t="s">
        <v>78</v>
      </c>
      <c r="F137" t="s">
        <v>79</v>
      </c>
      <c r="G137">
        <v>6.2675000000000001</v>
      </c>
      <c r="H137">
        <v>-75.568600000000004</v>
      </c>
      <c r="I137" t="s">
        <v>170</v>
      </c>
      <c r="J137">
        <v>11</v>
      </c>
      <c r="K137">
        <v>171</v>
      </c>
      <c r="L137">
        <v>254</v>
      </c>
      <c r="M137">
        <v>337.2</v>
      </c>
      <c r="N137">
        <v>85.4</v>
      </c>
      <c r="O137">
        <v>38</v>
      </c>
      <c r="P137">
        <v>78</v>
      </c>
      <c r="Q137">
        <v>67.2</v>
      </c>
      <c r="R137">
        <v>70.900000000000006</v>
      </c>
    </row>
    <row r="138" spans="1:18" x14ac:dyDescent="0.25">
      <c r="A138" t="s">
        <v>206</v>
      </c>
      <c r="B138" t="s">
        <v>51</v>
      </c>
      <c r="C138" t="s">
        <v>76</v>
      </c>
      <c r="D138" t="s">
        <v>77</v>
      </c>
      <c r="E138" t="s">
        <v>78</v>
      </c>
      <c r="F138" t="s">
        <v>79</v>
      </c>
      <c r="G138">
        <v>6.2675000000000001</v>
      </c>
      <c r="H138">
        <v>-75.568600000000004</v>
      </c>
      <c r="I138" t="s">
        <v>170</v>
      </c>
      <c r="J138">
        <v>11</v>
      </c>
      <c r="K138">
        <v>165</v>
      </c>
      <c r="L138">
        <v>254</v>
      </c>
      <c r="M138">
        <v>348.3</v>
      </c>
      <c r="N138">
        <v>65.900000000000006</v>
      </c>
      <c r="O138">
        <v>76</v>
      </c>
      <c r="P138">
        <v>80</v>
      </c>
      <c r="Q138">
        <v>67.2</v>
      </c>
      <c r="R138">
        <v>38.200000000000003</v>
      </c>
    </row>
    <row r="139" spans="1:18" x14ac:dyDescent="0.25">
      <c r="A139" t="s">
        <v>207</v>
      </c>
      <c r="B139" t="s">
        <v>51</v>
      </c>
      <c r="C139" t="s">
        <v>76</v>
      </c>
      <c r="D139" t="s">
        <v>77</v>
      </c>
      <c r="E139" t="s">
        <v>78</v>
      </c>
      <c r="F139" t="s">
        <v>79</v>
      </c>
      <c r="G139">
        <v>6.2675000000000001</v>
      </c>
      <c r="H139">
        <v>-75.568600000000004</v>
      </c>
      <c r="I139" t="s">
        <v>170</v>
      </c>
      <c r="J139">
        <v>11</v>
      </c>
      <c r="K139">
        <v>159</v>
      </c>
      <c r="L139">
        <v>254</v>
      </c>
      <c r="M139">
        <v>307.60000000000002</v>
      </c>
      <c r="N139">
        <v>85.4</v>
      </c>
      <c r="O139">
        <v>36</v>
      </c>
      <c r="P139">
        <v>60</v>
      </c>
      <c r="Q139">
        <v>60.3</v>
      </c>
      <c r="R139">
        <v>74.5</v>
      </c>
    </row>
    <row r="140" spans="1:18" x14ac:dyDescent="0.25">
      <c r="A140" t="s">
        <v>208</v>
      </c>
      <c r="B140" t="s">
        <v>51</v>
      </c>
      <c r="C140" t="s">
        <v>76</v>
      </c>
      <c r="D140" t="s">
        <v>77</v>
      </c>
      <c r="E140" t="s">
        <v>78</v>
      </c>
      <c r="F140" t="s">
        <v>79</v>
      </c>
      <c r="G140">
        <v>6.2675000000000001</v>
      </c>
      <c r="H140">
        <v>-75.568600000000004</v>
      </c>
      <c r="I140" t="s">
        <v>170</v>
      </c>
      <c r="J140">
        <v>11</v>
      </c>
      <c r="K140">
        <v>167</v>
      </c>
      <c r="L140">
        <v>254</v>
      </c>
      <c r="M140">
        <v>320.8</v>
      </c>
      <c r="N140">
        <v>46.3</v>
      </c>
      <c r="O140">
        <v>58</v>
      </c>
      <c r="P140">
        <v>88</v>
      </c>
      <c r="Q140">
        <v>62.1</v>
      </c>
      <c r="R140">
        <v>70.900000000000006</v>
      </c>
    </row>
    <row r="141" spans="1:18" x14ac:dyDescent="0.25">
      <c r="A141" t="s">
        <v>209</v>
      </c>
      <c r="B141" t="s">
        <v>51</v>
      </c>
      <c r="C141" t="s">
        <v>76</v>
      </c>
      <c r="D141" t="s">
        <v>77</v>
      </c>
      <c r="E141" t="s">
        <v>78</v>
      </c>
      <c r="F141" t="s">
        <v>79</v>
      </c>
      <c r="G141">
        <v>6.2675000000000001</v>
      </c>
      <c r="H141">
        <v>-75.568600000000004</v>
      </c>
      <c r="I141" t="s">
        <v>170</v>
      </c>
      <c r="J141">
        <v>11</v>
      </c>
      <c r="K141">
        <v>113</v>
      </c>
      <c r="L141">
        <v>254</v>
      </c>
      <c r="M141">
        <v>208.5</v>
      </c>
      <c r="N141">
        <v>43.9</v>
      </c>
      <c r="O141">
        <v>32</v>
      </c>
      <c r="P141">
        <v>40</v>
      </c>
      <c r="Q141">
        <v>44.8</v>
      </c>
      <c r="R141">
        <v>60</v>
      </c>
    </row>
    <row r="142" spans="1:18" x14ac:dyDescent="0.25">
      <c r="A142" t="s">
        <v>210</v>
      </c>
      <c r="B142" t="s">
        <v>51</v>
      </c>
      <c r="C142" t="s">
        <v>76</v>
      </c>
      <c r="D142" t="s">
        <v>77</v>
      </c>
      <c r="E142" t="s">
        <v>78</v>
      </c>
      <c r="F142" t="s">
        <v>79</v>
      </c>
      <c r="G142">
        <v>6.2675000000000001</v>
      </c>
      <c r="H142">
        <v>-75.568600000000004</v>
      </c>
      <c r="I142" t="s">
        <v>170</v>
      </c>
      <c r="J142">
        <v>11</v>
      </c>
      <c r="K142">
        <v>130</v>
      </c>
      <c r="L142">
        <v>254</v>
      </c>
      <c r="M142">
        <v>253.9</v>
      </c>
      <c r="N142">
        <v>56.1</v>
      </c>
      <c r="O142">
        <v>36</v>
      </c>
      <c r="P142">
        <v>58</v>
      </c>
      <c r="Q142">
        <v>51.7</v>
      </c>
      <c r="R142">
        <v>54.5</v>
      </c>
    </row>
    <row r="143" spans="1:18" x14ac:dyDescent="0.25">
      <c r="A143" t="s">
        <v>211</v>
      </c>
      <c r="B143" t="s">
        <v>51</v>
      </c>
      <c r="C143" t="s">
        <v>76</v>
      </c>
      <c r="D143" t="s">
        <v>77</v>
      </c>
      <c r="E143" t="s">
        <v>78</v>
      </c>
      <c r="F143" t="s">
        <v>79</v>
      </c>
      <c r="G143">
        <v>6.2675000000000001</v>
      </c>
      <c r="H143">
        <v>-75.568600000000004</v>
      </c>
      <c r="I143" t="s">
        <v>170</v>
      </c>
      <c r="J143">
        <v>11</v>
      </c>
      <c r="K143">
        <v>147</v>
      </c>
      <c r="L143">
        <v>254</v>
      </c>
      <c r="M143">
        <v>274.3</v>
      </c>
      <c r="N143">
        <v>63.4</v>
      </c>
      <c r="O143">
        <v>36</v>
      </c>
      <c r="P143">
        <v>56</v>
      </c>
      <c r="Q143">
        <v>56.9</v>
      </c>
      <c r="R143">
        <v>76.400000000000006</v>
      </c>
    </row>
    <row r="144" spans="1:18" x14ac:dyDescent="0.25">
      <c r="A144" t="s">
        <v>212</v>
      </c>
      <c r="B144" t="s">
        <v>51</v>
      </c>
      <c r="C144" t="s">
        <v>76</v>
      </c>
      <c r="D144" t="s">
        <v>77</v>
      </c>
      <c r="E144" t="s">
        <v>78</v>
      </c>
      <c r="F144" t="s">
        <v>79</v>
      </c>
      <c r="G144">
        <v>6.2675000000000001</v>
      </c>
      <c r="H144">
        <v>-75.568600000000004</v>
      </c>
      <c r="I144" t="s">
        <v>170</v>
      </c>
      <c r="J144">
        <v>11</v>
      </c>
      <c r="K144">
        <v>135</v>
      </c>
      <c r="L144">
        <v>254</v>
      </c>
      <c r="M144">
        <v>255</v>
      </c>
      <c r="N144">
        <v>63.4</v>
      </c>
      <c r="O144">
        <v>36</v>
      </c>
      <c r="P144">
        <v>52</v>
      </c>
      <c r="Q144">
        <v>46.6</v>
      </c>
      <c r="R144">
        <v>69.099999999999994</v>
      </c>
    </row>
    <row r="145" spans="1:18" x14ac:dyDescent="0.25">
      <c r="A145" t="s">
        <v>213</v>
      </c>
      <c r="B145" t="s">
        <v>51</v>
      </c>
      <c r="C145" t="s">
        <v>76</v>
      </c>
      <c r="D145" t="s">
        <v>77</v>
      </c>
      <c r="E145" t="s">
        <v>78</v>
      </c>
      <c r="F145" t="s">
        <v>79</v>
      </c>
      <c r="G145">
        <v>6.2675000000000001</v>
      </c>
      <c r="H145">
        <v>-75.568600000000004</v>
      </c>
      <c r="I145" t="s">
        <v>170</v>
      </c>
      <c r="J145">
        <v>11</v>
      </c>
      <c r="K145">
        <v>76</v>
      </c>
      <c r="L145">
        <v>120</v>
      </c>
      <c r="M145">
        <v>311.10000000000002</v>
      </c>
      <c r="N145">
        <v>73.2</v>
      </c>
      <c r="O145">
        <v>40</v>
      </c>
      <c r="P145">
        <v>84</v>
      </c>
      <c r="Q145">
        <v>51.7</v>
      </c>
    </row>
    <row r="146" spans="1:18" x14ac:dyDescent="0.25">
      <c r="A146" t="s">
        <v>214</v>
      </c>
      <c r="B146" t="s">
        <v>51</v>
      </c>
      <c r="C146" t="s">
        <v>76</v>
      </c>
      <c r="D146" t="s">
        <v>77</v>
      </c>
      <c r="E146" t="s">
        <v>78</v>
      </c>
      <c r="F146" t="s">
        <v>79</v>
      </c>
      <c r="G146">
        <v>6.2675000000000001</v>
      </c>
      <c r="H146">
        <v>-75.568600000000004</v>
      </c>
      <c r="I146" t="s">
        <v>170</v>
      </c>
      <c r="J146">
        <v>11</v>
      </c>
      <c r="K146">
        <v>88</v>
      </c>
      <c r="L146">
        <v>254</v>
      </c>
      <c r="M146">
        <v>170.8</v>
      </c>
      <c r="N146">
        <v>43.9</v>
      </c>
      <c r="O146">
        <v>28</v>
      </c>
      <c r="P146">
        <v>22</v>
      </c>
      <c r="Q146">
        <v>41.4</v>
      </c>
      <c r="R146">
        <v>38.200000000000003</v>
      </c>
    </row>
    <row r="147" spans="1:18" x14ac:dyDescent="0.25">
      <c r="A147" t="s">
        <v>215</v>
      </c>
      <c r="B147" t="s">
        <v>51</v>
      </c>
      <c r="C147" t="s">
        <v>76</v>
      </c>
      <c r="D147" t="s">
        <v>77</v>
      </c>
      <c r="E147" t="s">
        <v>78</v>
      </c>
      <c r="F147" t="s">
        <v>79</v>
      </c>
      <c r="G147">
        <v>6.2675000000000001</v>
      </c>
      <c r="H147">
        <v>-75.568600000000004</v>
      </c>
      <c r="I147" t="s">
        <v>170</v>
      </c>
      <c r="J147">
        <v>11</v>
      </c>
      <c r="K147">
        <v>156</v>
      </c>
      <c r="L147">
        <v>254</v>
      </c>
      <c r="M147">
        <v>288.39999999999998</v>
      </c>
      <c r="N147">
        <v>51.2</v>
      </c>
      <c r="O147">
        <v>34</v>
      </c>
      <c r="P147">
        <v>76</v>
      </c>
      <c r="Q147">
        <v>62.1</v>
      </c>
      <c r="R147">
        <v>80</v>
      </c>
    </row>
    <row r="148" spans="1:18" x14ac:dyDescent="0.25">
      <c r="A148" t="s">
        <v>216</v>
      </c>
      <c r="B148" t="s">
        <v>51</v>
      </c>
      <c r="C148" t="s">
        <v>76</v>
      </c>
      <c r="D148" t="s">
        <v>77</v>
      </c>
      <c r="E148" t="s">
        <v>78</v>
      </c>
      <c r="F148" t="s">
        <v>79</v>
      </c>
      <c r="G148">
        <v>6.2675000000000001</v>
      </c>
      <c r="H148">
        <v>-75.568600000000004</v>
      </c>
      <c r="I148" t="s">
        <v>170</v>
      </c>
      <c r="J148">
        <v>11</v>
      </c>
      <c r="K148">
        <v>160</v>
      </c>
      <c r="L148">
        <v>254</v>
      </c>
      <c r="M148">
        <v>291</v>
      </c>
      <c r="N148">
        <v>61</v>
      </c>
      <c r="O148">
        <v>28</v>
      </c>
      <c r="P148">
        <v>76</v>
      </c>
      <c r="Q148">
        <v>56.9</v>
      </c>
      <c r="R148">
        <v>90.9</v>
      </c>
    </row>
    <row r="149" spans="1:18" x14ac:dyDescent="0.25">
      <c r="A149" t="s">
        <v>217</v>
      </c>
      <c r="B149" t="s">
        <v>51</v>
      </c>
      <c r="C149" t="s">
        <v>76</v>
      </c>
      <c r="D149" t="s">
        <v>77</v>
      </c>
      <c r="E149" t="s">
        <v>78</v>
      </c>
      <c r="F149" t="s">
        <v>79</v>
      </c>
      <c r="G149">
        <v>6.2675000000000001</v>
      </c>
      <c r="H149">
        <v>-75.568600000000004</v>
      </c>
      <c r="I149" t="s">
        <v>170</v>
      </c>
      <c r="J149">
        <v>11</v>
      </c>
      <c r="K149">
        <v>156</v>
      </c>
      <c r="L149">
        <v>254</v>
      </c>
      <c r="M149">
        <v>303.7</v>
      </c>
      <c r="N149">
        <v>70.7</v>
      </c>
      <c r="O149">
        <v>30</v>
      </c>
      <c r="P149">
        <v>70</v>
      </c>
      <c r="Q149">
        <v>70.7</v>
      </c>
      <c r="R149">
        <v>65.5</v>
      </c>
    </row>
    <row r="150" spans="1:18" x14ac:dyDescent="0.25">
      <c r="A150" t="s">
        <v>218</v>
      </c>
      <c r="B150" t="s">
        <v>51</v>
      </c>
      <c r="C150" t="s">
        <v>76</v>
      </c>
      <c r="D150" t="s">
        <v>77</v>
      </c>
      <c r="E150" t="s">
        <v>78</v>
      </c>
      <c r="F150" t="s">
        <v>79</v>
      </c>
      <c r="G150">
        <v>6.2675000000000001</v>
      </c>
      <c r="H150">
        <v>-75.568600000000004</v>
      </c>
      <c r="I150" t="s">
        <v>170</v>
      </c>
      <c r="J150">
        <v>11</v>
      </c>
      <c r="K150">
        <v>152</v>
      </c>
      <c r="L150">
        <v>254</v>
      </c>
      <c r="M150">
        <v>292.39999999999998</v>
      </c>
      <c r="N150">
        <v>61</v>
      </c>
      <c r="O150">
        <v>46</v>
      </c>
      <c r="P150">
        <v>78</v>
      </c>
      <c r="Q150">
        <v>44.8</v>
      </c>
      <c r="R150">
        <v>70.900000000000006</v>
      </c>
    </row>
    <row r="151" spans="1:18" x14ac:dyDescent="0.25">
      <c r="A151" t="s">
        <v>219</v>
      </c>
      <c r="B151" t="s">
        <v>51</v>
      </c>
      <c r="C151" t="s">
        <v>76</v>
      </c>
      <c r="D151" t="s">
        <v>77</v>
      </c>
      <c r="E151" t="s">
        <v>78</v>
      </c>
      <c r="F151" t="s">
        <v>79</v>
      </c>
      <c r="G151">
        <v>6.2675000000000001</v>
      </c>
      <c r="H151">
        <v>-75.568600000000004</v>
      </c>
      <c r="I151" t="s">
        <v>170</v>
      </c>
      <c r="J151">
        <v>11</v>
      </c>
      <c r="K151">
        <v>108</v>
      </c>
      <c r="L151">
        <v>254</v>
      </c>
      <c r="M151">
        <v>215.8</v>
      </c>
      <c r="N151">
        <v>63.4</v>
      </c>
      <c r="O151">
        <v>30</v>
      </c>
      <c r="P151">
        <v>36</v>
      </c>
      <c r="Q151">
        <v>43.1</v>
      </c>
      <c r="R151">
        <v>43.6</v>
      </c>
    </row>
    <row r="152" spans="1:18" x14ac:dyDescent="0.25">
      <c r="A152" t="s">
        <v>220</v>
      </c>
      <c r="B152" t="s">
        <v>51</v>
      </c>
      <c r="C152" t="s">
        <v>76</v>
      </c>
      <c r="D152" t="s">
        <v>77</v>
      </c>
      <c r="E152" t="s">
        <v>78</v>
      </c>
      <c r="F152" t="s">
        <v>79</v>
      </c>
      <c r="G152">
        <v>6.2675000000000001</v>
      </c>
      <c r="H152">
        <v>-75.568600000000004</v>
      </c>
      <c r="I152" t="s">
        <v>170</v>
      </c>
      <c r="J152">
        <v>11</v>
      </c>
      <c r="K152">
        <v>141</v>
      </c>
      <c r="L152">
        <v>254</v>
      </c>
      <c r="M152">
        <v>278.60000000000002</v>
      </c>
      <c r="N152">
        <v>56.1</v>
      </c>
      <c r="O152">
        <v>30</v>
      </c>
      <c r="P152">
        <v>82</v>
      </c>
      <c r="Q152">
        <v>55.2</v>
      </c>
      <c r="R152">
        <v>54.5</v>
      </c>
    </row>
    <row r="153" spans="1:18" x14ac:dyDescent="0.25">
      <c r="A153" t="s">
        <v>221</v>
      </c>
      <c r="B153" t="s">
        <v>51</v>
      </c>
      <c r="C153" t="s">
        <v>76</v>
      </c>
      <c r="D153" t="s">
        <v>77</v>
      </c>
      <c r="E153" t="s">
        <v>78</v>
      </c>
      <c r="F153" t="s">
        <v>79</v>
      </c>
      <c r="G153">
        <v>6.2675000000000001</v>
      </c>
      <c r="H153">
        <v>-75.568600000000004</v>
      </c>
      <c r="I153" t="s">
        <v>222</v>
      </c>
      <c r="J153">
        <v>11</v>
      </c>
      <c r="K153">
        <v>164</v>
      </c>
      <c r="L153">
        <v>254</v>
      </c>
      <c r="M153">
        <v>321</v>
      </c>
      <c r="N153">
        <v>51.2</v>
      </c>
      <c r="O153">
        <v>62</v>
      </c>
      <c r="P153">
        <v>80</v>
      </c>
      <c r="Q153">
        <v>63.8</v>
      </c>
      <c r="R153">
        <v>63.6</v>
      </c>
    </row>
    <row r="154" spans="1:18" x14ac:dyDescent="0.25">
      <c r="A154" t="s">
        <v>223</v>
      </c>
      <c r="B154" t="s">
        <v>51</v>
      </c>
      <c r="C154" t="s">
        <v>76</v>
      </c>
      <c r="D154" t="s">
        <v>77</v>
      </c>
      <c r="E154" t="s">
        <v>78</v>
      </c>
      <c r="F154" t="s">
        <v>79</v>
      </c>
      <c r="G154">
        <v>6.2675000000000001</v>
      </c>
      <c r="H154">
        <v>-75.568600000000004</v>
      </c>
      <c r="I154" t="s">
        <v>222</v>
      </c>
      <c r="J154">
        <v>11</v>
      </c>
      <c r="K154">
        <v>142</v>
      </c>
      <c r="L154">
        <v>254</v>
      </c>
      <c r="M154">
        <v>267.7</v>
      </c>
      <c r="N154">
        <v>51.2</v>
      </c>
      <c r="O154">
        <v>32</v>
      </c>
      <c r="P154">
        <v>66</v>
      </c>
      <c r="Q154">
        <v>60.3</v>
      </c>
      <c r="R154">
        <v>67.3</v>
      </c>
    </row>
    <row r="155" spans="1:18" x14ac:dyDescent="0.25">
      <c r="A155" t="s">
        <v>224</v>
      </c>
      <c r="B155" t="s">
        <v>51</v>
      </c>
      <c r="C155" t="s">
        <v>76</v>
      </c>
      <c r="D155" t="s">
        <v>77</v>
      </c>
      <c r="E155" t="s">
        <v>78</v>
      </c>
      <c r="F155" t="s">
        <v>79</v>
      </c>
      <c r="G155">
        <v>6.2675000000000001</v>
      </c>
      <c r="H155">
        <v>-75.568600000000004</v>
      </c>
      <c r="I155" t="s">
        <v>222</v>
      </c>
      <c r="J155">
        <v>11</v>
      </c>
      <c r="K155">
        <v>187</v>
      </c>
      <c r="L155">
        <v>254</v>
      </c>
      <c r="M155">
        <v>361.2</v>
      </c>
      <c r="N155">
        <v>75.599999999999994</v>
      </c>
      <c r="O155">
        <v>58</v>
      </c>
      <c r="P155">
        <v>78</v>
      </c>
      <c r="Q155">
        <v>74.099999999999994</v>
      </c>
      <c r="R155">
        <v>81.8</v>
      </c>
    </row>
    <row r="156" spans="1:18" x14ac:dyDescent="0.25">
      <c r="A156" t="s">
        <v>225</v>
      </c>
      <c r="B156" t="s">
        <v>51</v>
      </c>
      <c r="C156" t="s">
        <v>76</v>
      </c>
      <c r="D156" t="s">
        <v>77</v>
      </c>
      <c r="E156" t="s">
        <v>78</v>
      </c>
      <c r="F156" t="s">
        <v>79</v>
      </c>
      <c r="G156">
        <v>6.2675000000000001</v>
      </c>
      <c r="H156">
        <v>-75.568600000000004</v>
      </c>
      <c r="I156" t="s">
        <v>222</v>
      </c>
      <c r="J156">
        <v>11</v>
      </c>
      <c r="K156">
        <v>124</v>
      </c>
      <c r="L156">
        <v>254</v>
      </c>
      <c r="M156">
        <v>245</v>
      </c>
      <c r="N156">
        <v>46.3</v>
      </c>
      <c r="O156">
        <v>48</v>
      </c>
      <c r="P156">
        <v>54</v>
      </c>
      <c r="Q156">
        <v>48.3</v>
      </c>
      <c r="R156">
        <v>47.3</v>
      </c>
    </row>
    <row r="157" spans="1:18" x14ac:dyDescent="0.25">
      <c r="A157" t="s">
        <v>226</v>
      </c>
      <c r="B157" t="s">
        <v>51</v>
      </c>
      <c r="C157" t="s">
        <v>76</v>
      </c>
      <c r="D157" t="s">
        <v>77</v>
      </c>
      <c r="E157" t="s">
        <v>78</v>
      </c>
      <c r="F157" t="s">
        <v>79</v>
      </c>
      <c r="G157">
        <v>6.2675000000000001</v>
      </c>
      <c r="H157">
        <v>-75.568600000000004</v>
      </c>
      <c r="I157" t="s">
        <v>222</v>
      </c>
      <c r="J157">
        <v>11</v>
      </c>
      <c r="K157">
        <v>58</v>
      </c>
      <c r="L157">
        <v>120</v>
      </c>
      <c r="M157">
        <v>234</v>
      </c>
      <c r="N157">
        <v>53.7</v>
      </c>
      <c r="O157">
        <v>32</v>
      </c>
      <c r="P157">
        <v>36</v>
      </c>
      <c r="Q157">
        <v>65.5</v>
      </c>
    </row>
    <row r="158" spans="1:18" x14ac:dyDescent="0.25">
      <c r="A158" t="s">
        <v>227</v>
      </c>
      <c r="B158" t="s">
        <v>51</v>
      </c>
      <c r="C158" t="s">
        <v>76</v>
      </c>
      <c r="D158" t="s">
        <v>77</v>
      </c>
      <c r="E158" t="s">
        <v>78</v>
      </c>
      <c r="F158" t="s">
        <v>79</v>
      </c>
      <c r="G158">
        <v>6.2675000000000001</v>
      </c>
      <c r="H158">
        <v>-75.568600000000004</v>
      </c>
      <c r="I158" t="s">
        <v>222</v>
      </c>
      <c r="J158">
        <v>11</v>
      </c>
      <c r="K158">
        <v>131</v>
      </c>
      <c r="L158">
        <v>254</v>
      </c>
      <c r="M158">
        <v>257</v>
      </c>
      <c r="N158">
        <v>63.4</v>
      </c>
      <c r="O158">
        <v>40</v>
      </c>
      <c r="P158">
        <v>54</v>
      </c>
      <c r="Q158">
        <v>46.6</v>
      </c>
      <c r="R158">
        <v>56.4</v>
      </c>
    </row>
    <row r="159" spans="1:18" x14ac:dyDescent="0.25">
      <c r="A159" t="s">
        <v>228</v>
      </c>
      <c r="B159" t="s">
        <v>51</v>
      </c>
      <c r="C159" t="s">
        <v>76</v>
      </c>
      <c r="D159" t="s">
        <v>77</v>
      </c>
      <c r="E159" t="s">
        <v>78</v>
      </c>
      <c r="F159" t="s">
        <v>79</v>
      </c>
      <c r="G159">
        <v>6.2675000000000001</v>
      </c>
      <c r="H159">
        <v>-75.568600000000004</v>
      </c>
      <c r="I159" t="s">
        <v>222</v>
      </c>
      <c r="J159">
        <v>11</v>
      </c>
      <c r="K159">
        <v>134</v>
      </c>
      <c r="L159">
        <v>254</v>
      </c>
      <c r="M159">
        <v>259.39999999999998</v>
      </c>
      <c r="N159">
        <v>63.4</v>
      </c>
      <c r="O159">
        <v>40</v>
      </c>
      <c r="P159">
        <v>56</v>
      </c>
      <c r="Q159">
        <v>44.8</v>
      </c>
      <c r="R159">
        <v>61.8</v>
      </c>
    </row>
    <row r="160" spans="1:18" x14ac:dyDescent="0.25">
      <c r="A160" t="s">
        <v>229</v>
      </c>
      <c r="B160" t="s">
        <v>51</v>
      </c>
      <c r="C160" t="s">
        <v>76</v>
      </c>
      <c r="D160" t="s">
        <v>77</v>
      </c>
      <c r="E160" t="s">
        <v>78</v>
      </c>
      <c r="F160" t="s">
        <v>79</v>
      </c>
      <c r="G160">
        <v>6.2675000000000001</v>
      </c>
      <c r="H160">
        <v>-75.568600000000004</v>
      </c>
      <c r="I160" t="s">
        <v>222</v>
      </c>
      <c r="J160">
        <v>11</v>
      </c>
      <c r="K160">
        <v>145</v>
      </c>
      <c r="L160">
        <v>254</v>
      </c>
      <c r="M160">
        <v>271.39999999999998</v>
      </c>
      <c r="N160">
        <v>68.3</v>
      </c>
      <c r="O160">
        <v>40</v>
      </c>
      <c r="P160">
        <v>56</v>
      </c>
      <c r="Q160">
        <v>44.8</v>
      </c>
      <c r="R160">
        <v>78.2</v>
      </c>
    </row>
    <row r="161" spans="1:18" x14ac:dyDescent="0.25">
      <c r="A161" t="s">
        <v>230</v>
      </c>
      <c r="B161" t="s">
        <v>51</v>
      </c>
      <c r="C161" t="s">
        <v>76</v>
      </c>
      <c r="D161" t="s">
        <v>77</v>
      </c>
      <c r="E161" t="s">
        <v>78</v>
      </c>
      <c r="F161" t="s">
        <v>79</v>
      </c>
      <c r="G161">
        <v>6.2675000000000001</v>
      </c>
      <c r="H161">
        <v>-75.568600000000004</v>
      </c>
      <c r="I161" t="s">
        <v>222</v>
      </c>
      <c r="J161">
        <v>11</v>
      </c>
      <c r="K161">
        <v>128</v>
      </c>
      <c r="L161">
        <v>254</v>
      </c>
      <c r="M161">
        <v>231.2</v>
      </c>
      <c r="N161">
        <v>56.1</v>
      </c>
      <c r="O161">
        <v>38</v>
      </c>
      <c r="P161">
        <v>52</v>
      </c>
      <c r="Q161">
        <v>27.6</v>
      </c>
      <c r="R161">
        <v>80</v>
      </c>
    </row>
    <row r="162" spans="1:18" x14ac:dyDescent="0.25">
      <c r="A162" t="s">
        <v>231</v>
      </c>
      <c r="B162" t="s">
        <v>51</v>
      </c>
      <c r="C162" t="s">
        <v>76</v>
      </c>
      <c r="D162" t="s">
        <v>77</v>
      </c>
      <c r="E162" t="s">
        <v>78</v>
      </c>
      <c r="F162" t="s">
        <v>79</v>
      </c>
      <c r="G162">
        <v>6.2675000000000001</v>
      </c>
      <c r="H162">
        <v>-75.568600000000004</v>
      </c>
      <c r="I162" t="s">
        <v>222</v>
      </c>
      <c r="J162">
        <v>11</v>
      </c>
      <c r="K162">
        <v>127</v>
      </c>
      <c r="L162">
        <v>254</v>
      </c>
      <c r="M162">
        <v>251.4</v>
      </c>
      <c r="N162">
        <v>68.3</v>
      </c>
      <c r="O162">
        <v>34</v>
      </c>
      <c r="P162">
        <v>48</v>
      </c>
      <c r="Q162">
        <v>50</v>
      </c>
      <c r="R162">
        <v>52.7</v>
      </c>
    </row>
    <row r="163" spans="1:18" x14ac:dyDescent="0.25">
      <c r="A163" t="s">
        <v>232</v>
      </c>
      <c r="B163" t="s">
        <v>51</v>
      </c>
      <c r="C163" t="s">
        <v>76</v>
      </c>
      <c r="D163" t="s">
        <v>77</v>
      </c>
      <c r="E163" t="s">
        <v>78</v>
      </c>
      <c r="F163" t="s">
        <v>79</v>
      </c>
      <c r="G163">
        <v>6.2675000000000001</v>
      </c>
      <c r="H163">
        <v>-75.568600000000004</v>
      </c>
      <c r="I163" t="s">
        <v>222</v>
      </c>
      <c r="J163">
        <v>11</v>
      </c>
      <c r="K163">
        <v>154</v>
      </c>
      <c r="L163">
        <v>254</v>
      </c>
      <c r="M163">
        <v>287.10000000000002</v>
      </c>
      <c r="N163">
        <v>61</v>
      </c>
      <c r="O163">
        <v>36</v>
      </c>
      <c r="P163">
        <v>62</v>
      </c>
      <c r="Q163">
        <v>63.8</v>
      </c>
      <c r="R163">
        <v>78.2</v>
      </c>
    </row>
    <row r="164" spans="1:18" x14ac:dyDescent="0.25">
      <c r="A164" t="s">
        <v>233</v>
      </c>
      <c r="B164" t="s">
        <v>51</v>
      </c>
      <c r="C164" t="s">
        <v>76</v>
      </c>
      <c r="D164" t="s">
        <v>77</v>
      </c>
      <c r="E164" t="s">
        <v>78</v>
      </c>
      <c r="F164" t="s">
        <v>79</v>
      </c>
      <c r="G164">
        <v>6.2675000000000001</v>
      </c>
      <c r="H164">
        <v>-75.568600000000004</v>
      </c>
      <c r="I164" t="s">
        <v>222</v>
      </c>
      <c r="J164">
        <v>11</v>
      </c>
      <c r="K164">
        <v>53</v>
      </c>
      <c r="L164">
        <v>120</v>
      </c>
      <c r="M164">
        <v>218.8</v>
      </c>
      <c r="N164">
        <v>43.9</v>
      </c>
      <c r="O164">
        <v>32</v>
      </c>
      <c r="P164">
        <v>44</v>
      </c>
      <c r="Q164">
        <v>55.2</v>
      </c>
    </row>
    <row r="165" spans="1:18" x14ac:dyDescent="0.25">
      <c r="A165" t="s">
        <v>234</v>
      </c>
      <c r="B165" t="s">
        <v>51</v>
      </c>
      <c r="C165" t="s">
        <v>76</v>
      </c>
      <c r="D165" t="s">
        <v>77</v>
      </c>
      <c r="E165" t="s">
        <v>78</v>
      </c>
      <c r="F165" t="s">
        <v>79</v>
      </c>
      <c r="G165">
        <v>6.2675000000000001</v>
      </c>
      <c r="H165">
        <v>-75.568600000000004</v>
      </c>
      <c r="I165" t="s">
        <v>222</v>
      </c>
      <c r="J165">
        <v>11</v>
      </c>
      <c r="K165">
        <v>178</v>
      </c>
      <c r="L165">
        <v>254</v>
      </c>
      <c r="M165">
        <v>330.4</v>
      </c>
      <c r="N165">
        <v>58.5</v>
      </c>
      <c r="O165">
        <v>58</v>
      </c>
      <c r="P165">
        <v>74</v>
      </c>
      <c r="Q165">
        <v>65.5</v>
      </c>
      <c r="R165">
        <v>90.9</v>
      </c>
    </row>
    <row r="166" spans="1:18" x14ac:dyDescent="0.25">
      <c r="A166" t="s">
        <v>235</v>
      </c>
      <c r="B166" t="s">
        <v>51</v>
      </c>
      <c r="C166" t="s">
        <v>76</v>
      </c>
      <c r="D166" t="s">
        <v>77</v>
      </c>
      <c r="E166" t="s">
        <v>78</v>
      </c>
      <c r="F166" t="s">
        <v>79</v>
      </c>
      <c r="G166">
        <v>6.2675000000000001</v>
      </c>
      <c r="H166">
        <v>-75.568600000000004</v>
      </c>
      <c r="I166" t="s">
        <v>222</v>
      </c>
      <c r="J166">
        <v>11</v>
      </c>
      <c r="K166">
        <v>178</v>
      </c>
      <c r="L166">
        <v>254</v>
      </c>
      <c r="M166">
        <v>329.9</v>
      </c>
      <c r="N166">
        <v>56.1</v>
      </c>
      <c r="O166">
        <v>58</v>
      </c>
      <c r="P166">
        <v>76</v>
      </c>
      <c r="Q166">
        <v>65.5</v>
      </c>
      <c r="R166">
        <v>90.9</v>
      </c>
    </row>
    <row r="167" spans="1:18" x14ac:dyDescent="0.25">
      <c r="A167" t="s">
        <v>236</v>
      </c>
      <c r="B167" t="s">
        <v>51</v>
      </c>
      <c r="C167" t="s">
        <v>76</v>
      </c>
      <c r="D167" t="s">
        <v>77</v>
      </c>
      <c r="E167" t="s">
        <v>78</v>
      </c>
      <c r="F167" t="s">
        <v>79</v>
      </c>
      <c r="G167">
        <v>6.2675000000000001</v>
      </c>
      <c r="H167">
        <v>-75.568600000000004</v>
      </c>
      <c r="I167" t="s">
        <v>222</v>
      </c>
      <c r="J167">
        <v>11</v>
      </c>
      <c r="K167">
        <v>138</v>
      </c>
      <c r="L167">
        <v>254</v>
      </c>
      <c r="M167">
        <v>246.6</v>
      </c>
      <c r="N167">
        <v>43.9</v>
      </c>
      <c r="O167">
        <v>24</v>
      </c>
      <c r="P167">
        <v>72</v>
      </c>
      <c r="Q167">
        <v>46.6</v>
      </c>
      <c r="R167">
        <v>81.8</v>
      </c>
    </row>
    <row r="168" spans="1:18" x14ac:dyDescent="0.25">
      <c r="A168" t="s">
        <v>237</v>
      </c>
      <c r="B168" t="s">
        <v>51</v>
      </c>
      <c r="C168" t="s">
        <v>76</v>
      </c>
      <c r="D168" t="s">
        <v>77</v>
      </c>
      <c r="E168" t="s">
        <v>78</v>
      </c>
      <c r="F168" t="s">
        <v>79</v>
      </c>
      <c r="G168">
        <v>6.2675000000000001</v>
      </c>
      <c r="H168">
        <v>-75.568600000000004</v>
      </c>
      <c r="I168" t="s">
        <v>222</v>
      </c>
      <c r="J168">
        <v>11</v>
      </c>
      <c r="K168">
        <v>154</v>
      </c>
      <c r="L168">
        <v>254</v>
      </c>
      <c r="M168">
        <v>295.60000000000002</v>
      </c>
      <c r="N168">
        <v>58.5</v>
      </c>
      <c r="O168">
        <v>50</v>
      </c>
      <c r="P168">
        <v>66</v>
      </c>
      <c r="Q168">
        <v>58.6</v>
      </c>
      <c r="R168">
        <v>69.099999999999994</v>
      </c>
    </row>
    <row r="169" spans="1:18" x14ac:dyDescent="0.25">
      <c r="A169" t="s">
        <v>238</v>
      </c>
      <c r="B169" t="s">
        <v>51</v>
      </c>
      <c r="C169" t="s">
        <v>76</v>
      </c>
      <c r="D169" t="s">
        <v>77</v>
      </c>
      <c r="E169" t="s">
        <v>78</v>
      </c>
      <c r="F169" t="s">
        <v>79</v>
      </c>
      <c r="G169">
        <v>6.2675000000000001</v>
      </c>
      <c r="H169">
        <v>-75.568600000000004</v>
      </c>
      <c r="I169" t="s">
        <v>222</v>
      </c>
      <c r="J169">
        <v>11</v>
      </c>
      <c r="K169">
        <v>112</v>
      </c>
      <c r="L169">
        <v>254</v>
      </c>
      <c r="M169">
        <v>224.4</v>
      </c>
      <c r="N169">
        <v>46.3</v>
      </c>
      <c r="O169">
        <v>48</v>
      </c>
      <c r="P169">
        <v>50</v>
      </c>
      <c r="Q169">
        <v>36.200000000000003</v>
      </c>
      <c r="R169">
        <v>41.8</v>
      </c>
    </row>
    <row r="170" spans="1:18" x14ac:dyDescent="0.25">
      <c r="A170" t="s">
        <v>239</v>
      </c>
      <c r="B170" t="s">
        <v>51</v>
      </c>
      <c r="C170" t="s">
        <v>76</v>
      </c>
      <c r="D170" t="s">
        <v>77</v>
      </c>
      <c r="E170" t="s">
        <v>78</v>
      </c>
      <c r="F170" t="s">
        <v>79</v>
      </c>
      <c r="G170">
        <v>6.2675000000000001</v>
      </c>
      <c r="H170">
        <v>-75.568600000000004</v>
      </c>
      <c r="I170" t="s">
        <v>222</v>
      </c>
      <c r="J170">
        <v>11</v>
      </c>
      <c r="K170">
        <v>136</v>
      </c>
      <c r="L170">
        <v>254</v>
      </c>
      <c r="M170">
        <v>259</v>
      </c>
      <c r="N170">
        <v>68.3</v>
      </c>
      <c r="O170">
        <v>42</v>
      </c>
      <c r="P170">
        <v>48</v>
      </c>
      <c r="Q170">
        <v>43.1</v>
      </c>
      <c r="R170">
        <v>69.099999999999994</v>
      </c>
    </row>
    <row r="171" spans="1:18" x14ac:dyDescent="0.25">
      <c r="A171" t="s">
        <v>240</v>
      </c>
      <c r="B171" t="s">
        <v>51</v>
      </c>
      <c r="C171" t="s">
        <v>76</v>
      </c>
      <c r="D171" t="s">
        <v>77</v>
      </c>
      <c r="E171" t="s">
        <v>78</v>
      </c>
      <c r="F171" t="s">
        <v>79</v>
      </c>
      <c r="G171">
        <v>6.2675000000000001</v>
      </c>
      <c r="H171">
        <v>-75.568600000000004</v>
      </c>
      <c r="I171" t="s">
        <v>222</v>
      </c>
      <c r="J171">
        <v>11</v>
      </c>
      <c r="K171">
        <v>129</v>
      </c>
      <c r="L171">
        <v>254</v>
      </c>
      <c r="M171">
        <v>232.2</v>
      </c>
      <c r="N171">
        <v>56.1</v>
      </c>
      <c r="O171">
        <v>34</v>
      </c>
      <c r="P171">
        <v>42</v>
      </c>
      <c r="Q171">
        <v>43.1</v>
      </c>
      <c r="R171">
        <v>78.2</v>
      </c>
    </row>
    <row r="172" spans="1:18" x14ac:dyDescent="0.25">
      <c r="A172" t="s">
        <v>241</v>
      </c>
      <c r="B172" t="s">
        <v>51</v>
      </c>
      <c r="C172" t="s">
        <v>76</v>
      </c>
      <c r="D172" t="s">
        <v>77</v>
      </c>
      <c r="E172" t="s">
        <v>78</v>
      </c>
      <c r="F172" t="s">
        <v>79</v>
      </c>
      <c r="G172">
        <v>6.2675000000000001</v>
      </c>
      <c r="H172">
        <v>-75.568600000000004</v>
      </c>
      <c r="I172" t="s">
        <v>222</v>
      </c>
      <c r="J172">
        <v>11</v>
      </c>
      <c r="K172">
        <v>105</v>
      </c>
      <c r="L172">
        <v>254</v>
      </c>
      <c r="M172">
        <v>175.4</v>
      </c>
      <c r="N172">
        <v>24.4</v>
      </c>
      <c r="O172">
        <v>34</v>
      </c>
      <c r="P172">
        <v>36</v>
      </c>
      <c r="Q172">
        <v>32.799999999999997</v>
      </c>
      <c r="R172">
        <v>74.5</v>
      </c>
    </row>
    <row r="173" spans="1:18" x14ac:dyDescent="0.25">
      <c r="A173" t="s">
        <v>242</v>
      </c>
      <c r="B173" t="s">
        <v>51</v>
      </c>
      <c r="C173" t="s">
        <v>76</v>
      </c>
      <c r="D173" t="s">
        <v>77</v>
      </c>
      <c r="E173" t="s">
        <v>78</v>
      </c>
      <c r="F173" t="s">
        <v>79</v>
      </c>
      <c r="G173">
        <v>6.2675000000000001</v>
      </c>
      <c r="H173">
        <v>-75.568600000000004</v>
      </c>
      <c r="I173" t="s">
        <v>110</v>
      </c>
      <c r="J173">
        <v>11</v>
      </c>
      <c r="K173">
        <v>82</v>
      </c>
      <c r="L173">
        <v>134</v>
      </c>
      <c r="M173">
        <v>269.2</v>
      </c>
      <c r="O173">
        <v>28</v>
      </c>
      <c r="P173">
        <v>68</v>
      </c>
      <c r="Q173">
        <v>58.6</v>
      </c>
      <c r="R173">
        <v>74.5</v>
      </c>
    </row>
    <row r="174" spans="1:18" x14ac:dyDescent="0.25">
      <c r="A174" t="s">
        <v>243</v>
      </c>
      <c r="B174" t="s">
        <v>51</v>
      </c>
      <c r="C174" t="s">
        <v>76</v>
      </c>
      <c r="D174" t="s">
        <v>77</v>
      </c>
      <c r="E174" t="s">
        <v>78</v>
      </c>
      <c r="F174" t="s">
        <v>79</v>
      </c>
      <c r="G174">
        <v>6.2675000000000001</v>
      </c>
      <c r="H174">
        <v>-75.568600000000004</v>
      </c>
      <c r="I174" t="s">
        <v>170</v>
      </c>
      <c r="J174">
        <v>11</v>
      </c>
      <c r="K174">
        <v>50</v>
      </c>
      <c r="L174">
        <v>134</v>
      </c>
      <c r="M174">
        <v>175.5</v>
      </c>
      <c r="O174">
        <v>24</v>
      </c>
      <c r="P174">
        <v>48</v>
      </c>
      <c r="Q174">
        <v>31</v>
      </c>
      <c r="R174">
        <v>41.8</v>
      </c>
    </row>
    <row r="175" spans="1:18" x14ac:dyDescent="0.25">
      <c r="A175" t="s">
        <v>244</v>
      </c>
      <c r="B175" t="s">
        <v>51</v>
      </c>
      <c r="C175" t="s">
        <v>76</v>
      </c>
      <c r="D175" t="s">
        <v>77</v>
      </c>
      <c r="E175" t="s">
        <v>78</v>
      </c>
      <c r="F175" t="s">
        <v>79</v>
      </c>
      <c r="G175">
        <v>6.2675000000000001</v>
      </c>
      <c r="H175">
        <v>-75.568600000000004</v>
      </c>
      <c r="I175" t="s">
        <v>170</v>
      </c>
      <c r="J175">
        <v>11</v>
      </c>
      <c r="K175">
        <v>91</v>
      </c>
      <c r="L175">
        <v>134</v>
      </c>
      <c r="M175">
        <v>327.5</v>
      </c>
      <c r="O175">
        <v>48</v>
      </c>
      <c r="P175">
        <v>84</v>
      </c>
      <c r="Q175">
        <v>62.1</v>
      </c>
      <c r="R175">
        <v>72.7</v>
      </c>
    </row>
    <row r="176" spans="1:18" x14ac:dyDescent="0.25">
      <c r="A176" t="s">
        <v>245</v>
      </c>
      <c r="B176" t="s">
        <v>51</v>
      </c>
      <c r="C176" t="s">
        <v>76</v>
      </c>
      <c r="D176" t="s">
        <v>77</v>
      </c>
      <c r="E176" t="s">
        <v>78</v>
      </c>
      <c r="F176" t="s">
        <v>79</v>
      </c>
      <c r="G176">
        <v>6.2675000000000001</v>
      </c>
      <c r="H176">
        <v>-75.568600000000004</v>
      </c>
      <c r="I176" t="s">
        <v>170</v>
      </c>
      <c r="J176">
        <v>11</v>
      </c>
      <c r="K176">
        <v>75</v>
      </c>
      <c r="L176">
        <v>134</v>
      </c>
      <c r="M176">
        <v>245.8</v>
      </c>
      <c r="O176">
        <v>44</v>
      </c>
      <c r="P176">
        <v>52</v>
      </c>
      <c r="Q176">
        <v>44.8</v>
      </c>
      <c r="R176">
        <v>69.099999999999994</v>
      </c>
    </row>
    <row r="177" spans="1:18" x14ac:dyDescent="0.25">
      <c r="A177" t="s">
        <v>246</v>
      </c>
      <c r="B177" t="s">
        <v>51</v>
      </c>
      <c r="C177" t="s">
        <v>76</v>
      </c>
      <c r="D177" t="s">
        <v>77</v>
      </c>
      <c r="E177" t="s">
        <v>78</v>
      </c>
      <c r="F177" t="s">
        <v>79</v>
      </c>
      <c r="G177">
        <v>6.2675000000000001</v>
      </c>
      <c r="H177">
        <v>-75.568600000000004</v>
      </c>
      <c r="I177" t="s">
        <v>247</v>
      </c>
      <c r="J177">
        <v>11</v>
      </c>
      <c r="K177">
        <v>164</v>
      </c>
      <c r="L177">
        <v>254</v>
      </c>
      <c r="M177">
        <v>304</v>
      </c>
      <c r="N177">
        <v>56.1</v>
      </c>
      <c r="O177">
        <v>46</v>
      </c>
      <c r="P177">
        <v>60</v>
      </c>
      <c r="Q177">
        <v>74.099999999999994</v>
      </c>
      <c r="R177">
        <v>81.8</v>
      </c>
    </row>
    <row r="178" spans="1:18" x14ac:dyDescent="0.25">
      <c r="A178" t="s">
        <v>248</v>
      </c>
      <c r="B178" t="s">
        <v>51</v>
      </c>
      <c r="C178" t="s">
        <v>76</v>
      </c>
      <c r="D178" t="s">
        <v>77</v>
      </c>
      <c r="E178" t="s">
        <v>78</v>
      </c>
      <c r="F178" t="s">
        <v>79</v>
      </c>
      <c r="G178">
        <v>6.2675000000000001</v>
      </c>
      <c r="H178">
        <v>-75.568600000000004</v>
      </c>
      <c r="I178" t="s">
        <v>247</v>
      </c>
      <c r="J178">
        <v>11</v>
      </c>
      <c r="K178">
        <v>123</v>
      </c>
      <c r="L178">
        <v>254</v>
      </c>
      <c r="M178">
        <v>243.7</v>
      </c>
      <c r="N178">
        <v>51.2</v>
      </c>
      <c r="O178">
        <v>50</v>
      </c>
      <c r="P178">
        <v>54</v>
      </c>
      <c r="Q178">
        <v>39.700000000000003</v>
      </c>
      <c r="R178">
        <v>49.1</v>
      </c>
    </row>
    <row r="179" spans="1:18" x14ac:dyDescent="0.25">
      <c r="A179" t="s">
        <v>249</v>
      </c>
      <c r="B179" t="s">
        <v>51</v>
      </c>
      <c r="C179" t="s">
        <v>76</v>
      </c>
      <c r="D179" t="s">
        <v>77</v>
      </c>
      <c r="E179" t="s">
        <v>78</v>
      </c>
      <c r="F179" t="s">
        <v>79</v>
      </c>
      <c r="G179">
        <v>6.2675000000000001</v>
      </c>
      <c r="H179">
        <v>-75.568600000000004</v>
      </c>
      <c r="I179" t="s">
        <v>247</v>
      </c>
      <c r="J179">
        <v>11</v>
      </c>
      <c r="K179">
        <v>179</v>
      </c>
      <c r="L179">
        <v>254</v>
      </c>
      <c r="M179">
        <v>333.6</v>
      </c>
      <c r="N179">
        <v>87.8</v>
      </c>
      <c r="O179">
        <v>36</v>
      </c>
      <c r="P179">
        <v>74</v>
      </c>
      <c r="Q179">
        <v>58.6</v>
      </c>
      <c r="R179">
        <v>98.2</v>
      </c>
    </row>
    <row r="180" spans="1:18" x14ac:dyDescent="0.25">
      <c r="A180" t="s">
        <v>250</v>
      </c>
      <c r="B180" t="s">
        <v>52</v>
      </c>
      <c r="C180" t="s">
        <v>251</v>
      </c>
      <c r="D180" t="s">
        <v>52</v>
      </c>
      <c r="E180" t="s">
        <v>78</v>
      </c>
      <c r="F180" t="s">
        <v>252</v>
      </c>
      <c r="G180">
        <v>6.1700511999999996</v>
      </c>
      <c r="H180">
        <v>-75.5922482</v>
      </c>
      <c r="J180">
        <v>11</v>
      </c>
      <c r="M180">
        <v>316</v>
      </c>
      <c r="N180">
        <v>68</v>
      </c>
      <c r="O180">
        <v>42</v>
      </c>
      <c r="P180">
        <v>74</v>
      </c>
      <c r="Q180">
        <v>66</v>
      </c>
      <c r="R180">
        <v>71</v>
      </c>
    </row>
    <row r="181" spans="1:18" x14ac:dyDescent="0.25">
      <c r="A181" t="s">
        <v>253</v>
      </c>
      <c r="B181" t="s">
        <v>52</v>
      </c>
      <c r="C181" t="s">
        <v>251</v>
      </c>
      <c r="D181" t="s">
        <v>52</v>
      </c>
      <c r="E181" t="s">
        <v>78</v>
      </c>
      <c r="F181" t="s">
        <v>252</v>
      </c>
      <c r="G181">
        <v>6.1700511999999996</v>
      </c>
      <c r="H181">
        <v>-75.5922482</v>
      </c>
      <c r="J181">
        <v>11</v>
      </c>
      <c r="M181">
        <v>313</v>
      </c>
      <c r="N181">
        <v>80</v>
      </c>
      <c r="O181">
        <v>40</v>
      </c>
      <c r="P181">
        <v>66</v>
      </c>
      <c r="Q181">
        <v>55</v>
      </c>
      <c r="R181">
        <v>89</v>
      </c>
    </row>
    <row r="182" spans="1:18" x14ac:dyDescent="0.25">
      <c r="A182" t="s">
        <v>254</v>
      </c>
      <c r="B182" t="s">
        <v>52</v>
      </c>
      <c r="C182" t="s">
        <v>251</v>
      </c>
      <c r="D182" t="s">
        <v>52</v>
      </c>
      <c r="E182" t="s">
        <v>78</v>
      </c>
      <c r="F182" t="s">
        <v>252</v>
      </c>
      <c r="G182">
        <v>6.1700511999999996</v>
      </c>
      <c r="H182">
        <v>-75.5922482</v>
      </c>
      <c r="J182">
        <v>11</v>
      </c>
      <c r="M182">
        <v>309</v>
      </c>
      <c r="N182">
        <v>71</v>
      </c>
      <c r="O182">
        <v>40</v>
      </c>
      <c r="P182">
        <v>84</v>
      </c>
      <c r="Q182">
        <v>43</v>
      </c>
      <c r="R182">
        <v>89</v>
      </c>
    </row>
    <row r="183" spans="1:18" x14ac:dyDescent="0.25">
      <c r="A183" t="s">
        <v>255</v>
      </c>
      <c r="B183" t="s">
        <v>52</v>
      </c>
      <c r="C183" t="s">
        <v>251</v>
      </c>
      <c r="D183" t="s">
        <v>52</v>
      </c>
      <c r="E183" t="s">
        <v>78</v>
      </c>
      <c r="F183" t="s">
        <v>252</v>
      </c>
      <c r="G183">
        <v>6.1700511999999996</v>
      </c>
      <c r="H183">
        <v>-75.5922482</v>
      </c>
      <c r="J183">
        <v>11</v>
      </c>
      <c r="M183">
        <v>304</v>
      </c>
      <c r="N183">
        <v>83</v>
      </c>
      <c r="O183">
        <v>32</v>
      </c>
      <c r="P183">
        <v>68</v>
      </c>
      <c r="Q183">
        <v>52</v>
      </c>
      <c r="R183">
        <v>87</v>
      </c>
    </row>
    <row r="184" spans="1:18" x14ac:dyDescent="0.25">
      <c r="A184" t="s">
        <v>256</v>
      </c>
      <c r="B184" t="s">
        <v>52</v>
      </c>
      <c r="C184" t="s">
        <v>251</v>
      </c>
      <c r="D184" t="s">
        <v>52</v>
      </c>
      <c r="E184" t="s">
        <v>78</v>
      </c>
      <c r="F184" t="s">
        <v>252</v>
      </c>
      <c r="G184">
        <v>6.1700511999999996</v>
      </c>
      <c r="H184">
        <v>-75.5922482</v>
      </c>
      <c r="J184">
        <v>11</v>
      </c>
      <c r="M184">
        <v>300</v>
      </c>
      <c r="N184">
        <v>78</v>
      </c>
      <c r="O184">
        <v>28</v>
      </c>
      <c r="P184">
        <v>82</v>
      </c>
      <c r="Q184">
        <v>41</v>
      </c>
      <c r="R184">
        <v>91</v>
      </c>
    </row>
    <row r="185" spans="1:18" x14ac:dyDescent="0.25">
      <c r="A185" t="s">
        <v>257</v>
      </c>
      <c r="B185" t="s">
        <v>52</v>
      </c>
      <c r="C185" t="s">
        <v>251</v>
      </c>
      <c r="D185" t="s">
        <v>52</v>
      </c>
      <c r="E185" t="s">
        <v>78</v>
      </c>
      <c r="F185" t="s">
        <v>252</v>
      </c>
      <c r="G185">
        <v>6.1700511999999996</v>
      </c>
      <c r="H185">
        <v>-75.5922482</v>
      </c>
      <c r="J185">
        <v>11</v>
      </c>
      <c r="M185">
        <v>273</v>
      </c>
      <c r="N185">
        <v>51</v>
      </c>
      <c r="O185">
        <v>26</v>
      </c>
      <c r="P185">
        <v>58</v>
      </c>
      <c r="Q185">
        <v>74</v>
      </c>
      <c r="R185">
        <v>82</v>
      </c>
    </row>
    <row r="186" spans="1:18" x14ac:dyDescent="0.25">
      <c r="A186" t="s">
        <v>258</v>
      </c>
      <c r="B186" t="s">
        <v>52</v>
      </c>
      <c r="C186" t="s">
        <v>251</v>
      </c>
      <c r="D186" t="s">
        <v>52</v>
      </c>
      <c r="E186" t="s">
        <v>78</v>
      </c>
      <c r="F186" t="s">
        <v>252</v>
      </c>
      <c r="G186">
        <v>6.1700511999999996</v>
      </c>
      <c r="H186">
        <v>-75.5922482</v>
      </c>
      <c r="J186">
        <v>11</v>
      </c>
      <c r="M186">
        <v>265</v>
      </c>
      <c r="N186">
        <v>66</v>
      </c>
      <c r="O186">
        <v>30</v>
      </c>
      <c r="P186">
        <v>74</v>
      </c>
      <c r="Q186">
        <v>41</v>
      </c>
      <c r="R186">
        <v>56</v>
      </c>
    </row>
    <row r="187" spans="1:18" x14ac:dyDescent="0.25">
      <c r="A187" t="s">
        <v>259</v>
      </c>
      <c r="B187" t="s">
        <v>52</v>
      </c>
      <c r="C187" t="s">
        <v>251</v>
      </c>
      <c r="D187" t="s">
        <v>52</v>
      </c>
      <c r="E187" t="s">
        <v>78</v>
      </c>
      <c r="F187" t="s">
        <v>252</v>
      </c>
      <c r="G187">
        <v>6.1700511999999996</v>
      </c>
      <c r="H187">
        <v>-75.5922482</v>
      </c>
      <c r="J187">
        <v>11</v>
      </c>
      <c r="M187">
        <v>261</v>
      </c>
      <c r="N187">
        <v>66</v>
      </c>
      <c r="O187">
        <v>28</v>
      </c>
      <c r="P187">
        <v>70</v>
      </c>
      <c r="Q187">
        <v>38</v>
      </c>
      <c r="R187">
        <v>73</v>
      </c>
    </row>
    <row r="188" spans="1:18" x14ac:dyDescent="0.25">
      <c r="A188" t="s">
        <v>260</v>
      </c>
      <c r="B188" t="s">
        <v>52</v>
      </c>
      <c r="C188" t="s">
        <v>251</v>
      </c>
      <c r="D188" t="s">
        <v>52</v>
      </c>
      <c r="E188" t="s">
        <v>78</v>
      </c>
      <c r="F188" t="s">
        <v>252</v>
      </c>
      <c r="G188">
        <v>6.1700511999999996</v>
      </c>
      <c r="H188">
        <v>-75.5922482</v>
      </c>
      <c r="J188">
        <v>11</v>
      </c>
      <c r="M188">
        <v>260</v>
      </c>
      <c r="N188">
        <v>63</v>
      </c>
      <c r="O188">
        <v>28</v>
      </c>
      <c r="P188">
        <v>72</v>
      </c>
      <c r="Q188">
        <v>38</v>
      </c>
      <c r="R188">
        <v>73</v>
      </c>
    </row>
    <row r="189" spans="1:18" x14ac:dyDescent="0.25">
      <c r="A189" t="s">
        <v>261</v>
      </c>
      <c r="B189" t="s">
        <v>52</v>
      </c>
      <c r="C189" t="s">
        <v>251</v>
      </c>
      <c r="D189" t="s">
        <v>52</v>
      </c>
      <c r="E189" t="s">
        <v>78</v>
      </c>
      <c r="F189" t="s">
        <v>252</v>
      </c>
      <c r="G189">
        <v>6.1700511999999996</v>
      </c>
      <c r="H189">
        <v>-75.5922482</v>
      </c>
      <c r="J189">
        <v>11</v>
      </c>
      <c r="M189">
        <v>260</v>
      </c>
      <c r="N189">
        <v>51</v>
      </c>
      <c r="O189">
        <v>34</v>
      </c>
      <c r="P189">
        <v>72</v>
      </c>
      <c r="Q189">
        <v>53</v>
      </c>
      <c r="R189">
        <v>44</v>
      </c>
    </row>
    <row r="190" spans="1:18" x14ac:dyDescent="0.25">
      <c r="A190" t="s">
        <v>262</v>
      </c>
      <c r="B190" t="s">
        <v>52</v>
      </c>
      <c r="C190" t="s">
        <v>251</v>
      </c>
      <c r="D190" t="s">
        <v>52</v>
      </c>
      <c r="E190" t="s">
        <v>78</v>
      </c>
      <c r="F190" t="s">
        <v>252</v>
      </c>
      <c r="G190">
        <v>6.1700511999999996</v>
      </c>
      <c r="H190">
        <v>-75.5922482</v>
      </c>
      <c r="J190">
        <v>11</v>
      </c>
      <c r="M190">
        <v>259</v>
      </c>
      <c r="N190">
        <v>56</v>
      </c>
      <c r="O190">
        <v>24</v>
      </c>
      <c r="P190">
        <v>64</v>
      </c>
      <c r="Q190">
        <v>55</v>
      </c>
      <c r="R190">
        <v>76</v>
      </c>
    </row>
    <row r="191" spans="1:18" x14ac:dyDescent="0.25">
      <c r="A191" t="s">
        <v>263</v>
      </c>
      <c r="B191" t="s">
        <v>52</v>
      </c>
      <c r="C191" t="s">
        <v>251</v>
      </c>
      <c r="D191" t="s">
        <v>52</v>
      </c>
      <c r="E191" t="s">
        <v>78</v>
      </c>
      <c r="F191" t="s">
        <v>252</v>
      </c>
      <c r="G191">
        <v>6.1700511999999996</v>
      </c>
      <c r="H191">
        <v>-75.5922482</v>
      </c>
      <c r="J191">
        <v>11</v>
      </c>
      <c r="M191">
        <v>258</v>
      </c>
      <c r="N191">
        <v>37</v>
      </c>
      <c r="O191">
        <v>52</v>
      </c>
      <c r="P191">
        <v>46</v>
      </c>
      <c r="Q191">
        <v>60</v>
      </c>
      <c r="R191">
        <v>87</v>
      </c>
    </row>
    <row r="192" spans="1:18" x14ac:dyDescent="0.25">
      <c r="A192" t="s">
        <v>264</v>
      </c>
      <c r="B192" t="s">
        <v>52</v>
      </c>
      <c r="C192" t="s">
        <v>251</v>
      </c>
      <c r="D192" t="s">
        <v>52</v>
      </c>
      <c r="E192" t="s">
        <v>78</v>
      </c>
      <c r="F192" t="s">
        <v>252</v>
      </c>
      <c r="G192">
        <v>6.1700511999999996</v>
      </c>
      <c r="H192">
        <v>-75.5922482</v>
      </c>
      <c r="J192">
        <v>11</v>
      </c>
      <c r="M192">
        <v>258</v>
      </c>
      <c r="N192">
        <v>71</v>
      </c>
      <c r="O192">
        <v>48</v>
      </c>
      <c r="P192">
        <v>46</v>
      </c>
      <c r="Q192">
        <v>41</v>
      </c>
      <c r="R192">
        <v>53</v>
      </c>
    </row>
    <row r="193" spans="1:18" x14ac:dyDescent="0.25">
      <c r="A193" t="s">
        <v>265</v>
      </c>
      <c r="B193" t="s">
        <v>52</v>
      </c>
      <c r="C193" t="s">
        <v>251</v>
      </c>
      <c r="D193" t="s">
        <v>52</v>
      </c>
      <c r="E193" t="s">
        <v>78</v>
      </c>
      <c r="F193" t="s">
        <v>252</v>
      </c>
      <c r="G193">
        <v>6.1700511999999996</v>
      </c>
      <c r="H193">
        <v>-75.5922482</v>
      </c>
      <c r="J193">
        <v>11</v>
      </c>
      <c r="M193">
        <v>255</v>
      </c>
      <c r="N193">
        <v>59</v>
      </c>
      <c r="O193">
        <v>36</v>
      </c>
      <c r="P193">
        <v>60</v>
      </c>
      <c r="Q193">
        <v>48</v>
      </c>
      <c r="R193">
        <v>55</v>
      </c>
    </row>
    <row r="194" spans="1:18" x14ac:dyDescent="0.25">
      <c r="A194" t="s">
        <v>266</v>
      </c>
      <c r="B194" t="s">
        <v>52</v>
      </c>
      <c r="C194" t="s">
        <v>251</v>
      </c>
      <c r="D194" t="s">
        <v>52</v>
      </c>
      <c r="E194" t="s">
        <v>78</v>
      </c>
      <c r="F194" t="s">
        <v>252</v>
      </c>
      <c r="G194">
        <v>6.1700511999999996</v>
      </c>
      <c r="H194">
        <v>-75.5922482</v>
      </c>
      <c r="J194">
        <v>11</v>
      </c>
      <c r="M194">
        <v>254</v>
      </c>
      <c r="N194">
        <v>76</v>
      </c>
      <c r="O194">
        <v>34</v>
      </c>
      <c r="P194">
        <v>56</v>
      </c>
      <c r="Q194">
        <v>28</v>
      </c>
      <c r="R194">
        <v>82</v>
      </c>
    </row>
    <row r="195" spans="1:18" x14ac:dyDescent="0.25">
      <c r="A195" t="s">
        <v>267</v>
      </c>
      <c r="B195" t="s">
        <v>52</v>
      </c>
      <c r="C195" t="s">
        <v>251</v>
      </c>
      <c r="D195" t="s">
        <v>52</v>
      </c>
      <c r="E195" t="s">
        <v>78</v>
      </c>
      <c r="F195" t="s">
        <v>252</v>
      </c>
      <c r="G195">
        <v>6.1700511999999996</v>
      </c>
      <c r="H195">
        <v>-75.5922482</v>
      </c>
      <c r="J195">
        <v>11</v>
      </c>
      <c r="M195">
        <v>248</v>
      </c>
      <c r="N195">
        <v>61</v>
      </c>
      <c r="O195">
        <v>30</v>
      </c>
      <c r="P195">
        <v>50</v>
      </c>
      <c r="Q195">
        <v>43</v>
      </c>
      <c r="R195">
        <v>93</v>
      </c>
    </row>
    <row r="196" spans="1:18" x14ac:dyDescent="0.25">
      <c r="A196" t="s">
        <v>268</v>
      </c>
      <c r="B196" t="s">
        <v>52</v>
      </c>
      <c r="C196" t="s">
        <v>251</v>
      </c>
      <c r="D196" t="s">
        <v>52</v>
      </c>
      <c r="E196" t="s">
        <v>78</v>
      </c>
      <c r="F196" t="s">
        <v>252</v>
      </c>
      <c r="G196">
        <v>6.1700511999999996</v>
      </c>
      <c r="H196">
        <v>-75.5922482</v>
      </c>
      <c r="J196">
        <v>11</v>
      </c>
      <c r="M196">
        <v>247</v>
      </c>
      <c r="N196">
        <v>66</v>
      </c>
      <c r="O196">
        <v>32</v>
      </c>
      <c r="P196">
        <v>62</v>
      </c>
      <c r="Q196">
        <v>31</v>
      </c>
      <c r="R196">
        <v>69</v>
      </c>
    </row>
    <row r="197" spans="1:18" x14ac:dyDescent="0.25">
      <c r="A197" t="s">
        <v>269</v>
      </c>
      <c r="B197" t="s">
        <v>52</v>
      </c>
      <c r="C197" t="s">
        <v>251</v>
      </c>
      <c r="D197" t="s">
        <v>52</v>
      </c>
      <c r="E197" t="s">
        <v>78</v>
      </c>
      <c r="F197" t="s">
        <v>252</v>
      </c>
      <c r="G197">
        <v>6.1700511999999996</v>
      </c>
      <c r="H197">
        <v>-75.5922482</v>
      </c>
      <c r="J197">
        <v>11</v>
      </c>
      <c r="M197">
        <v>246</v>
      </c>
      <c r="N197">
        <v>66</v>
      </c>
      <c r="O197">
        <v>34</v>
      </c>
      <c r="P197">
        <v>56</v>
      </c>
      <c r="Q197">
        <v>47</v>
      </c>
      <c r="R197">
        <v>33</v>
      </c>
    </row>
    <row r="198" spans="1:18" x14ac:dyDescent="0.25">
      <c r="A198" t="s">
        <v>270</v>
      </c>
      <c r="B198" t="s">
        <v>52</v>
      </c>
      <c r="C198" t="s">
        <v>251</v>
      </c>
      <c r="D198" t="s">
        <v>52</v>
      </c>
      <c r="E198" t="s">
        <v>78</v>
      </c>
      <c r="F198" t="s">
        <v>252</v>
      </c>
      <c r="G198">
        <v>6.1700511999999996</v>
      </c>
      <c r="H198">
        <v>-75.5922482</v>
      </c>
      <c r="J198">
        <v>11</v>
      </c>
      <c r="M198">
        <v>244</v>
      </c>
      <c r="N198">
        <v>73</v>
      </c>
      <c r="O198">
        <v>36</v>
      </c>
      <c r="P198">
        <v>50</v>
      </c>
      <c r="Q198">
        <v>40</v>
      </c>
      <c r="R198">
        <v>38</v>
      </c>
    </row>
    <row r="199" spans="1:18" x14ac:dyDescent="0.25">
      <c r="A199" t="s">
        <v>271</v>
      </c>
      <c r="B199" t="s">
        <v>52</v>
      </c>
      <c r="C199" t="s">
        <v>251</v>
      </c>
      <c r="D199" t="s">
        <v>52</v>
      </c>
      <c r="E199" t="s">
        <v>78</v>
      </c>
      <c r="F199" t="s">
        <v>252</v>
      </c>
      <c r="G199">
        <v>6.1700511999999996</v>
      </c>
      <c r="H199">
        <v>-75.5922482</v>
      </c>
      <c r="J199">
        <v>11</v>
      </c>
      <c r="M199">
        <v>241</v>
      </c>
      <c r="N199">
        <v>29</v>
      </c>
      <c r="O199">
        <v>40</v>
      </c>
      <c r="P199">
        <v>54</v>
      </c>
      <c r="Q199">
        <v>62</v>
      </c>
      <c r="R199">
        <v>71</v>
      </c>
    </row>
    <row r="200" spans="1:18" x14ac:dyDescent="0.25">
      <c r="A200" t="s">
        <v>272</v>
      </c>
      <c r="B200" t="s">
        <v>52</v>
      </c>
      <c r="C200" t="s">
        <v>251</v>
      </c>
      <c r="D200" t="s">
        <v>52</v>
      </c>
      <c r="E200" t="s">
        <v>78</v>
      </c>
      <c r="F200" t="s">
        <v>252</v>
      </c>
      <c r="G200">
        <v>6.1700511999999996</v>
      </c>
      <c r="H200">
        <v>-75.5922482</v>
      </c>
      <c r="J200">
        <v>11</v>
      </c>
      <c r="M200">
        <v>240</v>
      </c>
      <c r="N200">
        <v>44</v>
      </c>
      <c r="O200">
        <v>44</v>
      </c>
      <c r="P200">
        <v>60</v>
      </c>
      <c r="Q200">
        <v>36</v>
      </c>
      <c r="R200">
        <v>71</v>
      </c>
    </row>
    <row r="201" spans="1:18" x14ac:dyDescent="0.25">
      <c r="A201" t="s">
        <v>273</v>
      </c>
      <c r="B201" t="s">
        <v>52</v>
      </c>
      <c r="C201" t="s">
        <v>251</v>
      </c>
      <c r="D201" t="s">
        <v>52</v>
      </c>
      <c r="E201" t="s">
        <v>78</v>
      </c>
      <c r="F201" t="s">
        <v>252</v>
      </c>
      <c r="G201">
        <v>6.1700511999999996</v>
      </c>
      <c r="H201">
        <v>-75.5922482</v>
      </c>
      <c r="J201">
        <v>11</v>
      </c>
      <c r="M201">
        <v>239</v>
      </c>
      <c r="N201">
        <v>73</v>
      </c>
      <c r="O201">
        <v>46</v>
      </c>
      <c r="P201">
        <v>52</v>
      </c>
      <c r="Q201">
        <v>12</v>
      </c>
      <c r="R201">
        <v>71</v>
      </c>
    </row>
    <row r="202" spans="1:18" x14ac:dyDescent="0.25">
      <c r="A202" t="s">
        <v>274</v>
      </c>
      <c r="B202" t="s">
        <v>52</v>
      </c>
      <c r="C202" t="s">
        <v>251</v>
      </c>
      <c r="D202" t="s">
        <v>52</v>
      </c>
      <c r="E202" t="s">
        <v>78</v>
      </c>
      <c r="F202" t="s">
        <v>252</v>
      </c>
      <c r="G202">
        <v>6.1700511999999996</v>
      </c>
      <c r="H202">
        <v>-75.5922482</v>
      </c>
      <c r="J202">
        <v>11</v>
      </c>
      <c r="M202">
        <v>234</v>
      </c>
      <c r="N202">
        <v>68</v>
      </c>
      <c r="O202">
        <v>24</v>
      </c>
      <c r="P202">
        <v>50</v>
      </c>
      <c r="Q202">
        <v>34</v>
      </c>
      <c r="R202">
        <v>78</v>
      </c>
    </row>
    <row r="203" spans="1:18" x14ac:dyDescent="0.25">
      <c r="A203" t="s">
        <v>275</v>
      </c>
      <c r="B203" t="s">
        <v>52</v>
      </c>
      <c r="C203" t="s">
        <v>251</v>
      </c>
      <c r="D203" t="s">
        <v>52</v>
      </c>
      <c r="E203" t="s">
        <v>78</v>
      </c>
      <c r="F203" t="s">
        <v>252</v>
      </c>
      <c r="G203">
        <v>6.1700511999999996</v>
      </c>
      <c r="H203">
        <v>-75.5922482</v>
      </c>
      <c r="J203">
        <v>11</v>
      </c>
      <c r="M203">
        <v>224</v>
      </c>
      <c r="N203">
        <v>59</v>
      </c>
      <c r="O203">
        <v>40</v>
      </c>
      <c r="P203">
        <v>44</v>
      </c>
      <c r="Q203">
        <v>40</v>
      </c>
      <c r="R203">
        <v>36</v>
      </c>
    </row>
    <row r="204" spans="1:18" x14ac:dyDescent="0.25">
      <c r="A204" t="s">
        <v>276</v>
      </c>
      <c r="B204" t="s">
        <v>52</v>
      </c>
      <c r="C204" t="s">
        <v>251</v>
      </c>
      <c r="D204" t="s">
        <v>52</v>
      </c>
      <c r="E204" t="s">
        <v>78</v>
      </c>
      <c r="F204" t="s">
        <v>252</v>
      </c>
      <c r="G204">
        <v>6.1700511999999996</v>
      </c>
      <c r="H204">
        <v>-75.5922482</v>
      </c>
      <c r="J204">
        <v>11</v>
      </c>
      <c r="M204">
        <v>223</v>
      </c>
      <c r="N204">
        <v>51</v>
      </c>
      <c r="O204">
        <v>32</v>
      </c>
      <c r="P204">
        <v>56</v>
      </c>
      <c r="Q204">
        <v>34</v>
      </c>
      <c r="R204">
        <v>58</v>
      </c>
    </row>
    <row r="205" spans="1:18" x14ac:dyDescent="0.25">
      <c r="A205" t="s">
        <v>277</v>
      </c>
      <c r="B205" t="s">
        <v>52</v>
      </c>
      <c r="C205" t="s">
        <v>251</v>
      </c>
      <c r="D205" t="s">
        <v>52</v>
      </c>
      <c r="E205" t="s">
        <v>78</v>
      </c>
      <c r="F205" t="s">
        <v>252</v>
      </c>
      <c r="G205">
        <v>6.1700511999999996</v>
      </c>
      <c r="H205">
        <v>-75.5922482</v>
      </c>
      <c r="J205">
        <v>11</v>
      </c>
      <c r="M205">
        <v>217</v>
      </c>
      <c r="N205">
        <v>54</v>
      </c>
      <c r="O205">
        <v>36</v>
      </c>
      <c r="P205">
        <v>46</v>
      </c>
      <c r="Q205">
        <v>33</v>
      </c>
      <c r="R205">
        <v>60</v>
      </c>
    </row>
    <row r="206" spans="1:18" x14ac:dyDescent="0.25">
      <c r="A206" t="s">
        <v>278</v>
      </c>
      <c r="B206" t="s">
        <v>52</v>
      </c>
      <c r="C206" t="s">
        <v>251</v>
      </c>
      <c r="D206" t="s">
        <v>52</v>
      </c>
      <c r="E206" t="s">
        <v>78</v>
      </c>
      <c r="F206" t="s">
        <v>252</v>
      </c>
      <c r="G206">
        <v>6.1700511999999996</v>
      </c>
      <c r="H206">
        <v>-75.5922482</v>
      </c>
      <c r="J206">
        <v>11</v>
      </c>
      <c r="M206">
        <v>215</v>
      </c>
      <c r="N206">
        <v>66</v>
      </c>
      <c r="O206">
        <v>34</v>
      </c>
      <c r="P206">
        <v>30</v>
      </c>
      <c r="Q206">
        <v>34</v>
      </c>
      <c r="R206">
        <v>67</v>
      </c>
    </row>
    <row r="207" spans="1:18" x14ac:dyDescent="0.25">
      <c r="A207" t="s">
        <v>279</v>
      </c>
      <c r="B207" t="s">
        <v>52</v>
      </c>
      <c r="C207" t="s">
        <v>251</v>
      </c>
      <c r="D207" t="s">
        <v>52</v>
      </c>
      <c r="E207" t="s">
        <v>78</v>
      </c>
      <c r="F207" t="s">
        <v>252</v>
      </c>
      <c r="G207">
        <v>6.1700511999999996</v>
      </c>
      <c r="H207">
        <v>-75.5922482</v>
      </c>
      <c r="J207">
        <v>11</v>
      </c>
      <c r="M207">
        <v>213</v>
      </c>
      <c r="N207">
        <v>46</v>
      </c>
      <c r="O207">
        <v>34</v>
      </c>
      <c r="P207">
        <v>44</v>
      </c>
      <c r="Q207">
        <v>36</v>
      </c>
      <c r="R207">
        <v>73</v>
      </c>
    </row>
    <row r="208" spans="1:18" x14ac:dyDescent="0.25">
      <c r="A208" t="s">
        <v>280</v>
      </c>
      <c r="B208" t="s">
        <v>52</v>
      </c>
      <c r="C208" t="s">
        <v>251</v>
      </c>
      <c r="D208" t="s">
        <v>52</v>
      </c>
      <c r="E208" t="s">
        <v>78</v>
      </c>
      <c r="F208" t="s">
        <v>252</v>
      </c>
      <c r="G208">
        <v>6.1700511999999996</v>
      </c>
      <c r="H208">
        <v>-75.5922482</v>
      </c>
      <c r="J208">
        <v>11</v>
      </c>
      <c r="M208">
        <v>213</v>
      </c>
      <c r="N208">
        <v>54</v>
      </c>
      <c r="O208">
        <v>40</v>
      </c>
      <c r="P208">
        <v>42</v>
      </c>
      <c r="Q208">
        <v>34</v>
      </c>
      <c r="R208">
        <v>44</v>
      </c>
    </row>
    <row r="209" spans="1:18" x14ac:dyDescent="0.25">
      <c r="A209" t="s">
        <v>281</v>
      </c>
      <c r="B209" t="s">
        <v>52</v>
      </c>
      <c r="C209" t="s">
        <v>251</v>
      </c>
      <c r="D209" t="s">
        <v>52</v>
      </c>
      <c r="E209" t="s">
        <v>78</v>
      </c>
      <c r="F209" t="s">
        <v>252</v>
      </c>
      <c r="G209">
        <v>6.1700511999999996</v>
      </c>
      <c r="H209">
        <v>-75.5922482</v>
      </c>
      <c r="J209">
        <v>11</v>
      </c>
      <c r="M209">
        <v>212</v>
      </c>
      <c r="N209">
        <v>66</v>
      </c>
      <c r="O209">
        <v>32</v>
      </c>
      <c r="P209">
        <v>38</v>
      </c>
      <c r="Q209">
        <v>28</v>
      </c>
      <c r="R209">
        <v>62</v>
      </c>
    </row>
    <row r="210" spans="1:18" x14ac:dyDescent="0.25">
      <c r="A210" t="s">
        <v>282</v>
      </c>
      <c r="B210" t="s">
        <v>52</v>
      </c>
      <c r="C210" t="s">
        <v>251</v>
      </c>
      <c r="D210" t="s">
        <v>52</v>
      </c>
      <c r="E210" t="s">
        <v>78</v>
      </c>
      <c r="F210" t="s">
        <v>252</v>
      </c>
      <c r="G210">
        <v>6.1700511999999996</v>
      </c>
      <c r="H210">
        <v>-75.5922482</v>
      </c>
      <c r="J210">
        <v>11</v>
      </c>
      <c r="M210">
        <v>212</v>
      </c>
      <c r="N210">
        <v>61</v>
      </c>
      <c r="O210">
        <v>34</v>
      </c>
      <c r="P210">
        <v>44</v>
      </c>
      <c r="Q210">
        <v>33</v>
      </c>
      <c r="R210">
        <v>36</v>
      </c>
    </row>
    <row r="211" spans="1:18" x14ac:dyDescent="0.25">
      <c r="A211" t="s">
        <v>283</v>
      </c>
      <c r="B211" t="s">
        <v>52</v>
      </c>
      <c r="C211" t="s">
        <v>251</v>
      </c>
      <c r="D211" t="s">
        <v>52</v>
      </c>
      <c r="E211" t="s">
        <v>78</v>
      </c>
      <c r="F211" t="s">
        <v>252</v>
      </c>
      <c r="G211">
        <v>6.1700511999999996</v>
      </c>
      <c r="H211">
        <v>-75.5922482</v>
      </c>
      <c r="J211">
        <v>11</v>
      </c>
      <c r="M211">
        <v>212</v>
      </c>
      <c r="N211">
        <v>49</v>
      </c>
      <c r="O211">
        <v>30</v>
      </c>
      <c r="P211">
        <v>62</v>
      </c>
      <c r="Q211">
        <v>26</v>
      </c>
      <c r="R211">
        <v>51</v>
      </c>
    </row>
    <row r="212" spans="1:18" x14ac:dyDescent="0.25">
      <c r="A212" t="s">
        <v>284</v>
      </c>
      <c r="B212" t="s">
        <v>52</v>
      </c>
      <c r="C212" t="s">
        <v>251</v>
      </c>
      <c r="D212" t="s">
        <v>52</v>
      </c>
      <c r="E212" t="s">
        <v>78</v>
      </c>
      <c r="F212" t="s">
        <v>252</v>
      </c>
      <c r="G212">
        <v>6.1700511999999996</v>
      </c>
      <c r="H212">
        <v>-75.5922482</v>
      </c>
      <c r="J212">
        <v>11</v>
      </c>
      <c r="M212">
        <v>211</v>
      </c>
      <c r="N212">
        <v>71</v>
      </c>
      <c r="O212">
        <v>30</v>
      </c>
      <c r="P212">
        <v>22</v>
      </c>
      <c r="Q212">
        <v>43</v>
      </c>
      <c r="R212">
        <v>51</v>
      </c>
    </row>
    <row r="213" spans="1:18" x14ac:dyDescent="0.25">
      <c r="A213" t="s">
        <v>285</v>
      </c>
      <c r="B213" t="s">
        <v>52</v>
      </c>
      <c r="C213" t="s">
        <v>251</v>
      </c>
      <c r="D213" t="s">
        <v>52</v>
      </c>
      <c r="E213" t="s">
        <v>78</v>
      </c>
      <c r="F213" t="s">
        <v>252</v>
      </c>
      <c r="G213">
        <v>6.1700511999999996</v>
      </c>
      <c r="H213">
        <v>-75.5922482</v>
      </c>
      <c r="J213">
        <v>11</v>
      </c>
      <c r="M213">
        <v>208</v>
      </c>
      <c r="N213">
        <v>54</v>
      </c>
      <c r="O213">
        <v>30</v>
      </c>
      <c r="P213">
        <v>34</v>
      </c>
      <c r="Q213">
        <v>40</v>
      </c>
      <c r="R213">
        <v>69</v>
      </c>
    </row>
    <row r="214" spans="1:18" x14ac:dyDescent="0.25">
      <c r="A214" t="s">
        <v>286</v>
      </c>
      <c r="B214" t="s">
        <v>52</v>
      </c>
      <c r="C214" t="s">
        <v>251</v>
      </c>
      <c r="D214" t="s">
        <v>52</v>
      </c>
      <c r="E214" t="s">
        <v>78</v>
      </c>
      <c r="F214" t="s">
        <v>252</v>
      </c>
      <c r="G214">
        <v>6.1700511999999996</v>
      </c>
      <c r="H214">
        <v>-75.5922482</v>
      </c>
      <c r="J214">
        <v>11</v>
      </c>
      <c r="M214">
        <v>206</v>
      </c>
      <c r="N214">
        <v>46</v>
      </c>
      <c r="O214">
        <v>36</v>
      </c>
      <c r="P214">
        <v>26</v>
      </c>
      <c r="Q214">
        <v>52</v>
      </c>
      <c r="R214">
        <v>55</v>
      </c>
    </row>
    <row r="215" spans="1:18" x14ac:dyDescent="0.25">
      <c r="A215" t="s">
        <v>287</v>
      </c>
      <c r="B215" t="s">
        <v>52</v>
      </c>
      <c r="C215" t="s">
        <v>251</v>
      </c>
      <c r="D215" t="s">
        <v>52</v>
      </c>
      <c r="E215" t="s">
        <v>78</v>
      </c>
      <c r="F215" t="s">
        <v>252</v>
      </c>
      <c r="G215">
        <v>6.1700511999999996</v>
      </c>
      <c r="H215">
        <v>-75.5922482</v>
      </c>
      <c r="J215">
        <v>11</v>
      </c>
      <c r="M215">
        <v>203</v>
      </c>
      <c r="N215">
        <v>56</v>
      </c>
      <c r="O215">
        <v>30</v>
      </c>
      <c r="P215">
        <v>56</v>
      </c>
      <c r="Q215">
        <v>22</v>
      </c>
      <c r="R215">
        <v>35</v>
      </c>
    </row>
    <row r="216" spans="1:18" x14ac:dyDescent="0.25">
      <c r="A216" t="s">
        <v>288</v>
      </c>
      <c r="B216" t="s">
        <v>52</v>
      </c>
      <c r="C216" t="s">
        <v>251</v>
      </c>
      <c r="D216" t="s">
        <v>52</v>
      </c>
      <c r="E216" t="s">
        <v>78</v>
      </c>
      <c r="F216" t="s">
        <v>252</v>
      </c>
      <c r="G216">
        <v>6.1700511999999996</v>
      </c>
      <c r="H216">
        <v>-75.5922482</v>
      </c>
      <c r="J216">
        <v>11</v>
      </c>
      <c r="M216">
        <v>201</v>
      </c>
      <c r="N216">
        <v>63</v>
      </c>
      <c r="O216">
        <v>34</v>
      </c>
      <c r="P216">
        <v>12</v>
      </c>
      <c r="Q216">
        <v>38</v>
      </c>
      <c r="R216">
        <v>80</v>
      </c>
    </row>
    <row r="217" spans="1:18" x14ac:dyDescent="0.25">
      <c r="A217" t="s">
        <v>289</v>
      </c>
      <c r="B217" t="s">
        <v>52</v>
      </c>
      <c r="C217" t="s">
        <v>251</v>
      </c>
      <c r="D217" t="s">
        <v>52</v>
      </c>
      <c r="E217" t="s">
        <v>78</v>
      </c>
      <c r="F217" t="s">
        <v>252</v>
      </c>
      <c r="G217">
        <v>6.1700511999999996</v>
      </c>
      <c r="H217">
        <v>-75.5922482</v>
      </c>
      <c r="J217">
        <v>11</v>
      </c>
      <c r="M217">
        <v>200</v>
      </c>
      <c r="N217">
        <v>54</v>
      </c>
      <c r="O217">
        <v>30</v>
      </c>
      <c r="P217">
        <v>44</v>
      </c>
      <c r="Q217">
        <v>29</v>
      </c>
      <c r="R217">
        <v>49</v>
      </c>
    </row>
    <row r="218" spans="1:18" x14ac:dyDescent="0.25">
      <c r="A218" t="s">
        <v>290</v>
      </c>
      <c r="B218" t="s">
        <v>52</v>
      </c>
      <c r="C218" t="s">
        <v>251</v>
      </c>
      <c r="D218" t="s">
        <v>52</v>
      </c>
      <c r="E218" t="s">
        <v>78</v>
      </c>
      <c r="F218" t="s">
        <v>252</v>
      </c>
      <c r="G218">
        <v>6.1700511999999996</v>
      </c>
      <c r="H218">
        <v>-75.5922482</v>
      </c>
      <c r="J218">
        <v>11</v>
      </c>
      <c r="M218">
        <v>199</v>
      </c>
      <c r="N218">
        <v>41</v>
      </c>
      <c r="O218">
        <v>28</v>
      </c>
      <c r="P218">
        <v>44</v>
      </c>
      <c r="Q218">
        <v>41</v>
      </c>
      <c r="R218">
        <v>53</v>
      </c>
    </row>
    <row r="219" spans="1:18" x14ac:dyDescent="0.25">
      <c r="A219" t="s">
        <v>291</v>
      </c>
      <c r="B219" t="s">
        <v>52</v>
      </c>
      <c r="C219" t="s">
        <v>251</v>
      </c>
      <c r="D219" t="s">
        <v>52</v>
      </c>
      <c r="E219" t="s">
        <v>78</v>
      </c>
      <c r="F219" t="s">
        <v>252</v>
      </c>
      <c r="G219">
        <v>6.1700511999999996</v>
      </c>
      <c r="H219">
        <v>-75.5922482</v>
      </c>
      <c r="J219">
        <v>11</v>
      </c>
      <c r="M219">
        <v>199</v>
      </c>
      <c r="N219">
        <v>78</v>
      </c>
      <c r="O219">
        <v>38</v>
      </c>
      <c r="P219">
        <v>10</v>
      </c>
      <c r="Q219">
        <v>31</v>
      </c>
      <c r="R219">
        <v>45</v>
      </c>
    </row>
    <row r="220" spans="1:18" x14ac:dyDescent="0.25">
      <c r="A220" t="s">
        <v>292</v>
      </c>
      <c r="B220" t="s">
        <v>52</v>
      </c>
      <c r="C220" t="s">
        <v>251</v>
      </c>
      <c r="D220" t="s">
        <v>52</v>
      </c>
      <c r="E220" t="s">
        <v>78</v>
      </c>
      <c r="F220" t="s">
        <v>252</v>
      </c>
      <c r="G220">
        <v>6.1700511999999996</v>
      </c>
      <c r="H220">
        <v>-75.5922482</v>
      </c>
      <c r="J220">
        <v>11</v>
      </c>
      <c r="M220">
        <v>198</v>
      </c>
      <c r="N220">
        <v>61</v>
      </c>
      <c r="O220">
        <v>46</v>
      </c>
      <c r="P220">
        <v>28</v>
      </c>
      <c r="Q220">
        <v>24</v>
      </c>
      <c r="R220">
        <v>36</v>
      </c>
    </row>
    <row r="221" spans="1:18" x14ac:dyDescent="0.25">
      <c r="A221" t="s">
        <v>293</v>
      </c>
      <c r="B221" t="s">
        <v>52</v>
      </c>
      <c r="C221" t="s">
        <v>251</v>
      </c>
      <c r="D221" t="s">
        <v>52</v>
      </c>
      <c r="E221" t="s">
        <v>78</v>
      </c>
      <c r="F221" t="s">
        <v>252</v>
      </c>
      <c r="G221">
        <v>6.1700511999999996</v>
      </c>
      <c r="H221">
        <v>-75.5922482</v>
      </c>
      <c r="J221">
        <v>11</v>
      </c>
      <c r="M221">
        <v>196</v>
      </c>
      <c r="N221">
        <v>46</v>
      </c>
      <c r="O221">
        <v>26</v>
      </c>
      <c r="P221">
        <v>48</v>
      </c>
      <c r="Q221">
        <v>40</v>
      </c>
      <c r="R221">
        <v>31</v>
      </c>
    </row>
    <row r="222" spans="1:18" x14ac:dyDescent="0.25">
      <c r="A222" t="s">
        <v>294</v>
      </c>
      <c r="B222" t="s">
        <v>52</v>
      </c>
      <c r="C222" t="s">
        <v>251</v>
      </c>
      <c r="D222" t="s">
        <v>52</v>
      </c>
      <c r="E222" t="s">
        <v>78</v>
      </c>
      <c r="F222" t="s">
        <v>252</v>
      </c>
      <c r="G222">
        <v>6.1700511999999996</v>
      </c>
      <c r="H222">
        <v>-75.5922482</v>
      </c>
      <c r="J222">
        <v>11</v>
      </c>
      <c r="M222">
        <v>196</v>
      </c>
      <c r="N222">
        <v>51</v>
      </c>
      <c r="O222">
        <v>46</v>
      </c>
      <c r="P222">
        <v>32</v>
      </c>
      <c r="Q222">
        <v>29</v>
      </c>
      <c r="R222">
        <v>35</v>
      </c>
    </row>
    <row r="223" spans="1:18" x14ac:dyDescent="0.25">
      <c r="A223" t="s">
        <v>295</v>
      </c>
      <c r="B223" t="s">
        <v>52</v>
      </c>
      <c r="C223" t="s">
        <v>251</v>
      </c>
      <c r="D223" t="s">
        <v>52</v>
      </c>
      <c r="E223" t="s">
        <v>78</v>
      </c>
      <c r="F223" t="s">
        <v>252</v>
      </c>
      <c r="G223">
        <v>6.1700511999999996</v>
      </c>
      <c r="H223">
        <v>-75.5922482</v>
      </c>
      <c r="J223">
        <v>11</v>
      </c>
      <c r="M223">
        <v>195</v>
      </c>
      <c r="N223">
        <v>56</v>
      </c>
      <c r="O223">
        <v>30</v>
      </c>
      <c r="P223">
        <v>28</v>
      </c>
      <c r="Q223">
        <v>36</v>
      </c>
      <c r="R223">
        <v>56</v>
      </c>
    </row>
    <row r="224" spans="1:18" x14ac:dyDescent="0.25">
      <c r="A224" t="s">
        <v>296</v>
      </c>
      <c r="B224" t="s">
        <v>52</v>
      </c>
      <c r="C224" t="s">
        <v>251</v>
      </c>
      <c r="D224" t="s">
        <v>52</v>
      </c>
      <c r="E224" t="s">
        <v>78</v>
      </c>
      <c r="F224" t="s">
        <v>252</v>
      </c>
      <c r="G224">
        <v>6.1700511999999996</v>
      </c>
      <c r="H224">
        <v>-75.5922482</v>
      </c>
      <c r="J224">
        <v>11</v>
      </c>
      <c r="M224">
        <v>191</v>
      </c>
      <c r="N224">
        <v>27</v>
      </c>
      <c r="O224">
        <v>22</v>
      </c>
      <c r="P224">
        <v>56</v>
      </c>
      <c r="Q224">
        <v>36</v>
      </c>
      <c r="R224">
        <v>75</v>
      </c>
    </row>
    <row r="225" spans="1:18" x14ac:dyDescent="0.25">
      <c r="A225" t="s">
        <v>297</v>
      </c>
      <c r="B225" t="s">
        <v>52</v>
      </c>
      <c r="C225" t="s">
        <v>251</v>
      </c>
      <c r="D225" t="s">
        <v>52</v>
      </c>
      <c r="E225" t="s">
        <v>78</v>
      </c>
      <c r="F225" t="s">
        <v>252</v>
      </c>
      <c r="G225">
        <v>6.1700511999999996</v>
      </c>
      <c r="H225">
        <v>-75.5922482</v>
      </c>
      <c r="J225">
        <v>11</v>
      </c>
      <c r="M225">
        <v>191</v>
      </c>
      <c r="N225">
        <v>49</v>
      </c>
      <c r="O225">
        <v>28</v>
      </c>
      <c r="P225">
        <v>28</v>
      </c>
      <c r="Q225">
        <v>33</v>
      </c>
      <c r="R225">
        <v>84</v>
      </c>
    </row>
    <row r="226" spans="1:18" x14ac:dyDescent="0.25">
      <c r="A226" t="s">
        <v>298</v>
      </c>
      <c r="B226" t="s">
        <v>52</v>
      </c>
      <c r="C226" t="s">
        <v>251</v>
      </c>
      <c r="D226" t="s">
        <v>52</v>
      </c>
      <c r="E226" t="s">
        <v>78</v>
      </c>
      <c r="F226" t="s">
        <v>252</v>
      </c>
      <c r="G226">
        <v>6.1700511999999996</v>
      </c>
      <c r="H226">
        <v>-75.5922482</v>
      </c>
      <c r="J226">
        <v>11</v>
      </c>
      <c r="M226">
        <v>189</v>
      </c>
      <c r="N226">
        <v>54</v>
      </c>
      <c r="O226">
        <v>28</v>
      </c>
      <c r="P226">
        <v>38</v>
      </c>
      <c r="Q226">
        <v>28</v>
      </c>
      <c r="R226">
        <v>49</v>
      </c>
    </row>
    <row r="227" spans="1:18" x14ac:dyDescent="0.25">
      <c r="A227" t="s">
        <v>299</v>
      </c>
      <c r="B227" t="s">
        <v>52</v>
      </c>
      <c r="C227" t="s">
        <v>251</v>
      </c>
      <c r="D227" t="s">
        <v>52</v>
      </c>
      <c r="E227" t="s">
        <v>78</v>
      </c>
      <c r="F227" t="s">
        <v>252</v>
      </c>
      <c r="G227">
        <v>6.1700511999999996</v>
      </c>
      <c r="H227">
        <v>-75.5922482</v>
      </c>
      <c r="J227">
        <v>11</v>
      </c>
      <c r="M227">
        <v>187</v>
      </c>
      <c r="N227">
        <v>54</v>
      </c>
      <c r="O227">
        <v>38</v>
      </c>
      <c r="P227">
        <v>32</v>
      </c>
      <c r="Q227">
        <v>24</v>
      </c>
      <c r="R227">
        <v>44</v>
      </c>
    </row>
    <row r="228" spans="1:18" x14ac:dyDescent="0.25">
      <c r="A228" t="s">
        <v>300</v>
      </c>
      <c r="B228" t="s">
        <v>52</v>
      </c>
      <c r="C228" t="s">
        <v>251</v>
      </c>
      <c r="D228" t="s">
        <v>52</v>
      </c>
      <c r="E228" t="s">
        <v>78</v>
      </c>
      <c r="F228" t="s">
        <v>252</v>
      </c>
      <c r="G228">
        <v>6.1700511999999996</v>
      </c>
      <c r="H228">
        <v>-75.5922482</v>
      </c>
      <c r="J228">
        <v>11</v>
      </c>
      <c r="M228">
        <v>185</v>
      </c>
      <c r="N228">
        <v>37</v>
      </c>
      <c r="O228">
        <v>42</v>
      </c>
      <c r="P228">
        <v>36</v>
      </c>
      <c r="Q228">
        <v>33</v>
      </c>
      <c r="R228">
        <v>38</v>
      </c>
    </row>
    <row r="229" spans="1:18" x14ac:dyDescent="0.25">
      <c r="A229" t="s">
        <v>301</v>
      </c>
      <c r="B229" t="s">
        <v>52</v>
      </c>
      <c r="C229" t="s">
        <v>251</v>
      </c>
      <c r="D229" t="s">
        <v>52</v>
      </c>
      <c r="E229" t="s">
        <v>78</v>
      </c>
      <c r="F229" t="s">
        <v>252</v>
      </c>
      <c r="G229">
        <v>6.1700511999999996</v>
      </c>
      <c r="H229">
        <v>-75.5922482</v>
      </c>
      <c r="J229">
        <v>11</v>
      </c>
      <c r="M229">
        <v>183</v>
      </c>
      <c r="N229">
        <v>51</v>
      </c>
      <c r="O229">
        <v>28</v>
      </c>
      <c r="P229">
        <v>32</v>
      </c>
      <c r="Q229">
        <v>36</v>
      </c>
      <c r="R229">
        <v>33</v>
      </c>
    </row>
    <row r="230" spans="1:18" x14ac:dyDescent="0.25">
      <c r="A230" t="s">
        <v>302</v>
      </c>
      <c r="B230" t="s">
        <v>52</v>
      </c>
      <c r="C230" t="s">
        <v>251</v>
      </c>
      <c r="D230" t="s">
        <v>52</v>
      </c>
      <c r="E230" t="s">
        <v>78</v>
      </c>
      <c r="F230" t="s">
        <v>252</v>
      </c>
      <c r="G230">
        <v>6.1700511999999996</v>
      </c>
      <c r="H230">
        <v>-75.5922482</v>
      </c>
      <c r="J230">
        <v>11</v>
      </c>
      <c r="M230">
        <v>178</v>
      </c>
      <c r="N230">
        <v>61</v>
      </c>
      <c r="O230">
        <v>38</v>
      </c>
      <c r="P230">
        <v>14</v>
      </c>
      <c r="Q230">
        <v>31</v>
      </c>
      <c r="R230">
        <v>31</v>
      </c>
    </row>
    <row r="231" spans="1:18" x14ac:dyDescent="0.25">
      <c r="A231" t="s">
        <v>303</v>
      </c>
      <c r="B231" t="s">
        <v>52</v>
      </c>
      <c r="C231" t="s">
        <v>251</v>
      </c>
      <c r="D231" t="s">
        <v>52</v>
      </c>
      <c r="E231" t="s">
        <v>78</v>
      </c>
      <c r="F231" t="s">
        <v>252</v>
      </c>
      <c r="G231">
        <v>6.1700511999999996</v>
      </c>
      <c r="H231">
        <v>-75.5922482</v>
      </c>
      <c r="J231">
        <v>11</v>
      </c>
      <c r="M231">
        <v>178</v>
      </c>
      <c r="N231">
        <v>34</v>
      </c>
      <c r="O231">
        <v>38</v>
      </c>
      <c r="P231">
        <v>26</v>
      </c>
      <c r="Q231">
        <v>40</v>
      </c>
      <c r="R231">
        <v>49</v>
      </c>
    </row>
    <row r="232" spans="1:18" x14ac:dyDescent="0.25">
      <c r="A232" t="s">
        <v>304</v>
      </c>
      <c r="B232" t="s">
        <v>52</v>
      </c>
      <c r="C232" t="s">
        <v>251</v>
      </c>
      <c r="D232" t="s">
        <v>52</v>
      </c>
      <c r="E232" t="s">
        <v>78</v>
      </c>
      <c r="F232" t="s">
        <v>252</v>
      </c>
      <c r="G232">
        <v>6.1700511999999996</v>
      </c>
      <c r="H232">
        <v>-75.5922482</v>
      </c>
      <c r="J232">
        <v>11</v>
      </c>
      <c r="M232">
        <v>176</v>
      </c>
      <c r="N232">
        <v>63</v>
      </c>
      <c r="O232">
        <v>34</v>
      </c>
      <c r="P232">
        <v>20</v>
      </c>
      <c r="Q232">
        <v>19</v>
      </c>
      <c r="R232">
        <v>47</v>
      </c>
    </row>
    <row r="233" spans="1:18" x14ac:dyDescent="0.25">
      <c r="A233" t="s">
        <v>305</v>
      </c>
      <c r="B233" t="s">
        <v>52</v>
      </c>
      <c r="C233" t="s">
        <v>251</v>
      </c>
      <c r="D233" t="s">
        <v>52</v>
      </c>
      <c r="E233" t="s">
        <v>78</v>
      </c>
      <c r="F233" t="s">
        <v>252</v>
      </c>
      <c r="G233">
        <v>6.1700511999999996</v>
      </c>
      <c r="H233">
        <v>-75.5922482</v>
      </c>
      <c r="J233">
        <v>11</v>
      </c>
      <c r="M233">
        <v>174</v>
      </c>
      <c r="N233">
        <v>41</v>
      </c>
      <c r="O233">
        <v>32</v>
      </c>
      <c r="P233">
        <v>30</v>
      </c>
      <c r="Q233">
        <v>31</v>
      </c>
      <c r="R233">
        <v>49</v>
      </c>
    </row>
    <row r="234" spans="1:18" x14ac:dyDescent="0.25">
      <c r="A234" t="s">
        <v>306</v>
      </c>
      <c r="B234" t="s">
        <v>52</v>
      </c>
      <c r="C234" t="s">
        <v>251</v>
      </c>
      <c r="D234" t="s">
        <v>52</v>
      </c>
      <c r="E234" t="s">
        <v>78</v>
      </c>
      <c r="F234" t="s">
        <v>252</v>
      </c>
      <c r="G234">
        <v>6.1700511999999996</v>
      </c>
      <c r="H234">
        <v>-75.5922482</v>
      </c>
      <c r="J234">
        <v>11</v>
      </c>
      <c r="M234">
        <v>173</v>
      </c>
      <c r="N234">
        <v>37</v>
      </c>
      <c r="O234">
        <v>34</v>
      </c>
      <c r="P234">
        <v>36</v>
      </c>
      <c r="Q234">
        <v>28</v>
      </c>
      <c r="R234">
        <v>47</v>
      </c>
    </row>
    <row r="235" spans="1:18" x14ac:dyDescent="0.25">
      <c r="A235" t="s">
        <v>307</v>
      </c>
      <c r="B235" t="s">
        <v>52</v>
      </c>
      <c r="C235" t="s">
        <v>251</v>
      </c>
      <c r="D235" t="s">
        <v>52</v>
      </c>
      <c r="E235" t="s">
        <v>78</v>
      </c>
      <c r="F235" t="s">
        <v>252</v>
      </c>
      <c r="G235">
        <v>6.1700511999999996</v>
      </c>
      <c r="H235">
        <v>-75.5922482</v>
      </c>
      <c r="J235">
        <v>11</v>
      </c>
      <c r="M235">
        <v>171</v>
      </c>
      <c r="N235">
        <v>44</v>
      </c>
      <c r="O235">
        <v>24</v>
      </c>
      <c r="P235">
        <v>36</v>
      </c>
      <c r="Q235">
        <v>28</v>
      </c>
      <c r="R235">
        <v>51</v>
      </c>
    </row>
    <row r="236" spans="1:18" x14ac:dyDescent="0.25">
      <c r="A236" t="s">
        <v>308</v>
      </c>
      <c r="B236" t="s">
        <v>52</v>
      </c>
      <c r="C236" t="s">
        <v>251</v>
      </c>
      <c r="D236" t="s">
        <v>52</v>
      </c>
      <c r="E236" t="s">
        <v>78</v>
      </c>
      <c r="F236" t="s">
        <v>252</v>
      </c>
      <c r="G236">
        <v>6.1700511999999996</v>
      </c>
      <c r="H236">
        <v>-75.5922482</v>
      </c>
      <c r="J236">
        <v>11</v>
      </c>
      <c r="M236">
        <v>170</v>
      </c>
      <c r="N236">
        <v>51</v>
      </c>
      <c r="O236">
        <v>32</v>
      </c>
      <c r="P236">
        <v>24</v>
      </c>
      <c r="Q236">
        <v>22</v>
      </c>
      <c r="R236">
        <v>53</v>
      </c>
    </row>
    <row r="237" spans="1:18" x14ac:dyDescent="0.25">
      <c r="A237" t="s">
        <v>309</v>
      </c>
      <c r="B237" t="s">
        <v>52</v>
      </c>
      <c r="C237" t="s">
        <v>251</v>
      </c>
      <c r="D237" t="s">
        <v>52</v>
      </c>
      <c r="E237" t="s">
        <v>78</v>
      </c>
      <c r="F237" t="s">
        <v>252</v>
      </c>
      <c r="G237">
        <v>6.1700511999999996</v>
      </c>
      <c r="H237">
        <v>-75.5922482</v>
      </c>
      <c r="J237">
        <v>11</v>
      </c>
      <c r="M237">
        <v>168</v>
      </c>
      <c r="N237">
        <v>39</v>
      </c>
      <c r="O237">
        <v>34</v>
      </c>
      <c r="P237">
        <v>26</v>
      </c>
      <c r="Q237">
        <v>31</v>
      </c>
      <c r="R237">
        <v>47</v>
      </c>
    </row>
    <row r="238" spans="1:18" x14ac:dyDescent="0.25">
      <c r="A238" t="s">
        <v>310</v>
      </c>
      <c r="B238" t="s">
        <v>52</v>
      </c>
      <c r="C238" t="s">
        <v>251</v>
      </c>
      <c r="D238" t="s">
        <v>52</v>
      </c>
      <c r="E238" t="s">
        <v>78</v>
      </c>
      <c r="F238" t="s">
        <v>252</v>
      </c>
      <c r="G238">
        <v>6.1700511999999996</v>
      </c>
      <c r="H238">
        <v>-75.5922482</v>
      </c>
      <c r="J238">
        <v>11</v>
      </c>
      <c r="M238">
        <v>168</v>
      </c>
      <c r="N238">
        <v>29</v>
      </c>
      <c r="O238">
        <v>28</v>
      </c>
      <c r="P238">
        <v>32</v>
      </c>
      <c r="Q238">
        <v>41</v>
      </c>
      <c r="R238">
        <v>45</v>
      </c>
    </row>
    <row r="239" spans="1:18" x14ac:dyDescent="0.25">
      <c r="A239" t="s">
        <v>311</v>
      </c>
      <c r="B239" t="s">
        <v>52</v>
      </c>
      <c r="C239" t="s">
        <v>251</v>
      </c>
      <c r="D239" t="s">
        <v>52</v>
      </c>
      <c r="E239" t="s">
        <v>78</v>
      </c>
      <c r="F239" t="s">
        <v>252</v>
      </c>
      <c r="G239">
        <v>6.1700511999999996</v>
      </c>
      <c r="H239">
        <v>-75.5922482</v>
      </c>
      <c r="J239">
        <v>11</v>
      </c>
      <c r="M239">
        <v>164</v>
      </c>
      <c r="N239">
        <v>29</v>
      </c>
      <c r="O239">
        <v>30</v>
      </c>
      <c r="P239">
        <v>34</v>
      </c>
      <c r="Q239">
        <v>40</v>
      </c>
      <c r="R239">
        <v>27</v>
      </c>
    </row>
    <row r="240" spans="1:18" x14ac:dyDescent="0.25">
      <c r="A240" t="s">
        <v>312</v>
      </c>
      <c r="B240" t="s">
        <v>52</v>
      </c>
      <c r="C240" t="s">
        <v>251</v>
      </c>
      <c r="D240" t="s">
        <v>52</v>
      </c>
      <c r="E240" t="s">
        <v>78</v>
      </c>
      <c r="F240" t="s">
        <v>252</v>
      </c>
      <c r="G240">
        <v>6.1700511999999996</v>
      </c>
      <c r="H240">
        <v>-75.5922482</v>
      </c>
      <c r="J240">
        <v>11</v>
      </c>
      <c r="M240">
        <v>163</v>
      </c>
      <c r="N240">
        <v>34</v>
      </c>
      <c r="O240">
        <v>32</v>
      </c>
      <c r="P240">
        <v>36</v>
      </c>
      <c r="Q240">
        <v>26</v>
      </c>
      <c r="R240">
        <v>40</v>
      </c>
    </row>
    <row r="241" spans="1:18" x14ac:dyDescent="0.25">
      <c r="A241" t="s">
        <v>313</v>
      </c>
      <c r="B241" t="s">
        <v>52</v>
      </c>
      <c r="C241" t="s">
        <v>251</v>
      </c>
      <c r="D241" t="s">
        <v>52</v>
      </c>
      <c r="E241" t="s">
        <v>78</v>
      </c>
      <c r="F241" t="s">
        <v>252</v>
      </c>
      <c r="G241">
        <v>6.1700511999999996</v>
      </c>
      <c r="H241">
        <v>-75.5922482</v>
      </c>
      <c r="J241">
        <v>11</v>
      </c>
      <c r="M241">
        <v>158</v>
      </c>
      <c r="N241">
        <v>39</v>
      </c>
      <c r="O241">
        <v>20</v>
      </c>
      <c r="P241">
        <v>30</v>
      </c>
      <c r="Q241">
        <v>36</v>
      </c>
      <c r="R241">
        <v>35</v>
      </c>
    </row>
    <row r="242" spans="1:18" x14ac:dyDescent="0.25">
      <c r="A242" t="s">
        <v>314</v>
      </c>
      <c r="B242" t="s">
        <v>52</v>
      </c>
      <c r="C242" t="s">
        <v>251</v>
      </c>
      <c r="D242" t="s">
        <v>52</v>
      </c>
      <c r="E242" t="s">
        <v>78</v>
      </c>
      <c r="F242" t="s">
        <v>252</v>
      </c>
      <c r="G242">
        <v>6.1700511999999996</v>
      </c>
      <c r="H242">
        <v>-75.5922482</v>
      </c>
      <c r="J242">
        <v>11</v>
      </c>
      <c r="M242">
        <v>157</v>
      </c>
      <c r="N242">
        <v>24</v>
      </c>
      <c r="O242">
        <v>30</v>
      </c>
      <c r="P242">
        <v>38</v>
      </c>
      <c r="Q242">
        <v>28</v>
      </c>
      <c r="R242">
        <v>47</v>
      </c>
    </row>
    <row r="243" spans="1:18" x14ac:dyDescent="0.25">
      <c r="A243" t="s">
        <v>315</v>
      </c>
      <c r="B243" t="s">
        <v>52</v>
      </c>
      <c r="C243" t="s">
        <v>251</v>
      </c>
      <c r="D243" t="s">
        <v>52</v>
      </c>
      <c r="E243" t="s">
        <v>78</v>
      </c>
      <c r="F243" t="s">
        <v>252</v>
      </c>
      <c r="G243">
        <v>6.1700511999999996</v>
      </c>
      <c r="H243">
        <v>-75.5922482</v>
      </c>
      <c r="J243">
        <v>11</v>
      </c>
      <c r="M243">
        <v>149</v>
      </c>
      <c r="N243">
        <v>29</v>
      </c>
      <c r="O243">
        <v>24</v>
      </c>
      <c r="P243">
        <v>40</v>
      </c>
      <c r="Q243">
        <v>24</v>
      </c>
      <c r="R243">
        <v>36</v>
      </c>
    </row>
    <row r="244" spans="1:18" x14ac:dyDescent="0.25">
      <c r="A244" t="s">
        <v>316</v>
      </c>
      <c r="B244" t="s">
        <v>52</v>
      </c>
      <c r="C244" t="s">
        <v>251</v>
      </c>
      <c r="D244" t="s">
        <v>52</v>
      </c>
      <c r="E244" t="s">
        <v>78</v>
      </c>
      <c r="F244" t="s">
        <v>252</v>
      </c>
      <c r="G244">
        <v>6.1700511999999996</v>
      </c>
      <c r="H244">
        <v>-75.5922482</v>
      </c>
      <c r="J244">
        <v>11</v>
      </c>
      <c r="M244">
        <v>139</v>
      </c>
      <c r="N244">
        <v>32</v>
      </c>
      <c r="O244">
        <v>22</v>
      </c>
      <c r="P244">
        <v>30</v>
      </c>
      <c r="Q244">
        <v>22</v>
      </c>
      <c r="R244">
        <v>44</v>
      </c>
    </row>
    <row r="245" spans="1:18" x14ac:dyDescent="0.25">
      <c r="A245" t="s">
        <v>317</v>
      </c>
      <c r="B245" t="s">
        <v>52</v>
      </c>
      <c r="C245" t="s">
        <v>251</v>
      </c>
      <c r="D245" t="s">
        <v>52</v>
      </c>
      <c r="E245" t="s">
        <v>78</v>
      </c>
      <c r="F245" t="s">
        <v>252</v>
      </c>
      <c r="G245">
        <v>6.1700511999999996</v>
      </c>
      <c r="H245">
        <v>-75.5922482</v>
      </c>
      <c r="J245">
        <v>11</v>
      </c>
      <c r="M245">
        <v>124</v>
      </c>
      <c r="N245">
        <v>0</v>
      </c>
      <c r="O245">
        <v>10</v>
      </c>
      <c r="P245">
        <v>48</v>
      </c>
      <c r="Q245">
        <v>22</v>
      </c>
      <c r="R245">
        <v>82</v>
      </c>
    </row>
    <row r="246" spans="1:18" x14ac:dyDescent="0.25">
      <c r="A246" t="s">
        <v>318</v>
      </c>
      <c r="B246" t="s">
        <v>52</v>
      </c>
      <c r="C246" t="s">
        <v>251</v>
      </c>
      <c r="D246" t="s">
        <v>52</v>
      </c>
      <c r="E246" t="s">
        <v>78</v>
      </c>
      <c r="F246" t="s">
        <v>252</v>
      </c>
      <c r="G246">
        <v>6.1700511999999996</v>
      </c>
      <c r="H246">
        <v>-75.5922482</v>
      </c>
      <c r="J246">
        <v>11</v>
      </c>
      <c r="M246">
        <v>123</v>
      </c>
      <c r="N246">
        <v>37</v>
      </c>
      <c r="O246">
        <v>18</v>
      </c>
      <c r="P246">
        <v>24</v>
      </c>
      <c r="Q246">
        <v>21</v>
      </c>
      <c r="R246">
        <v>22</v>
      </c>
    </row>
    <row r="247" spans="1:18" x14ac:dyDescent="0.25">
      <c r="A247" t="s">
        <v>319</v>
      </c>
      <c r="B247" t="s">
        <v>52</v>
      </c>
      <c r="C247" t="s">
        <v>251</v>
      </c>
      <c r="D247" t="s">
        <v>52</v>
      </c>
      <c r="E247" t="s">
        <v>78</v>
      </c>
      <c r="F247" t="s">
        <v>252</v>
      </c>
      <c r="G247">
        <v>6.1700511999999996</v>
      </c>
      <c r="H247">
        <v>-75.5922482</v>
      </c>
      <c r="J247">
        <v>11</v>
      </c>
      <c r="M247">
        <v>115</v>
      </c>
      <c r="N247">
        <v>0</v>
      </c>
      <c r="O247">
        <v>16</v>
      </c>
      <c r="P247">
        <v>40</v>
      </c>
      <c r="Q247">
        <v>28</v>
      </c>
      <c r="R247">
        <v>49</v>
      </c>
    </row>
    <row r="248" spans="1:18" x14ac:dyDescent="0.25">
      <c r="A248" t="s">
        <v>320</v>
      </c>
      <c r="B248" t="s">
        <v>52</v>
      </c>
      <c r="C248" t="s">
        <v>251</v>
      </c>
      <c r="D248" t="s">
        <v>52</v>
      </c>
      <c r="E248" t="s">
        <v>78</v>
      </c>
      <c r="F248" t="s">
        <v>252</v>
      </c>
      <c r="G248">
        <v>6.1700511999999996</v>
      </c>
      <c r="H248">
        <v>-75.5922482</v>
      </c>
      <c r="J248">
        <v>11</v>
      </c>
      <c r="M248">
        <v>94</v>
      </c>
      <c r="N248">
        <v>0</v>
      </c>
      <c r="O248">
        <v>12</v>
      </c>
      <c r="P248">
        <v>24</v>
      </c>
      <c r="Q248">
        <v>21</v>
      </c>
      <c r="R248">
        <v>75</v>
      </c>
    </row>
    <row r="249" spans="1:18" x14ac:dyDescent="0.25">
      <c r="A249" t="s">
        <v>321</v>
      </c>
      <c r="B249" t="s">
        <v>52</v>
      </c>
      <c r="C249" t="s">
        <v>322</v>
      </c>
      <c r="D249" t="s">
        <v>52</v>
      </c>
      <c r="E249" t="s">
        <v>78</v>
      </c>
      <c r="F249" t="s">
        <v>252</v>
      </c>
      <c r="G249">
        <v>6.1534646999999998</v>
      </c>
      <c r="H249">
        <v>-75.584702699999994</v>
      </c>
      <c r="J249">
        <v>11</v>
      </c>
      <c r="M249">
        <v>308</v>
      </c>
      <c r="N249">
        <v>78</v>
      </c>
      <c r="O249">
        <v>72</v>
      </c>
      <c r="P249">
        <v>30</v>
      </c>
      <c r="Q249">
        <v>57</v>
      </c>
      <c r="R249">
        <v>91</v>
      </c>
    </row>
    <row r="250" spans="1:18" x14ac:dyDescent="0.25">
      <c r="A250" t="s">
        <v>323</v>
      </c>
      <c r="B250" t="s">
        <v>52</v>
      </c>
      <c r="C250" t="s">
        <v>322</v>
      </c>
      <c r="D250" t="s">
        <v>52</v>
      </c>
      <c r="E250" t="s">
        <v>78</v>
      </c>
      <c r="F250" t="s">
        <v>252</v>
      </c>
      <c r="G250">
        <v>6.1534646999999998</v>
      </c>
      <c r="H250">
        <v>-75.584702699999994</v>
      </c>
      <c r="J250">
        <v>11</v>
      </c>
      <c r="M250">
        <v>278</v>
      </c>
      <c r="N250">
        <v>71</v>
      </c>
      <c r="O250">
        <v>48</v>
      </c>
      <c r="P250">
        <v>52</v>
      </c>
      <c r="Q250">
        <v>53</v>
      </c>
      <c r="R250">
        <v>49</v>
      </c>
    </row>
    <row r="251" spans="1:18" x14ac:dyDescent="0.25">
      <c r="A251" t="s">
        <v>324</v>
      </c>
      <c r="B251" t="s">
        <v>52</v>
      </c>
      <c r="C251" t="s">
        <v>322</v>
      </c>
      <c r="D251" t="s">
        <v>52</v>
      </c>
      <c r="E251" t="s">
        <v>78</v>
      </c>
      <c r="F251" t="s">
        <v>252</v>
      </c>
      <c r="G251">
        <v>6.1534646999999998</v>
      </c>
      <c r="H251">
        <v>-75.584702699999994</v>
      </c>
      <c r="J251">
        <v>11</v>
      </c>
      <c r="M251">
        <v>270</v>
      </c>
      <c r="N251">
        <v>66</v>
      </c>
      <c r="O251">
        <v>38</v>
      </c>
      <c r="P251">
        <v>66</v>
      </c>
      <c r="Q251">
        <v>36</v>
      </c>
      <c r="R251">
        <v>84</v>
      </c>
    </row>
    <row r="252" spans="1:18" x14ac:dyDescent="0.25">
      <c r="A252" t="s">
        <v>325</v>
      </c>
      <c r="B252" t="s">
        <v>52</v>
      </c>
      <c r="C252" t="s">
        <v>322</v>
      </c>
      <c r="D252" t="s">
        <v>52</v>
      </c>
      <c r="E252" t="s">
        <v>78</v>
      </c>
      <c r="F252" t="s">
        <v>252</v>
      </c>
      <c r="G252">
        <v>6.1534646999999998</v>
      </c>
      <c r="H252">
        <v>-75.584702699999994</v>
      </c>
      <c r="J252">
        <v>11</v>
      </c>
      <c r="M252">
        <v>254</v>
      </c>
      <c r="N252">
        <v>76</v>
      </c>
      <c r="O252">
        <v>28</v>
      </c>
      <c r="P252">
        <v>40</v>
      </c>
      <c r="Q252">
        <v>48</v>
      </c>
      <c r="R252">
        <v>85</v>
      </c>
    </row>
    <row r="253" spans="1:18" x14ac:dyDescent="0.25">
      <c r="A253" t="s">
        <v>326</v>
      </c>
      <c r="B253" t="s">
        <v>52</v>
      </c>
      <c r="C253" t="s">
        <v>322</v>
      </c>
      <c r="D253" t="s">
        <v>52</v>
      </c>
      <c r="E253" t="s">
        <v>78</v>
      </c>
      <c r="F253" t="s">
        <v>252</v>
      </c>
      <c r="G253">
        <v>6.1534646999999998</v>
      </c>
      <c r="H253">
        <v>-75.584702699999994</v>
      </c>
      <c r="J253">
        <v>11</v>
      </c>
      <c r="M253">
        <v>254</v>
      </c>
      <c r="N253">
        <v>71</v>
      </c>
      <c r="O253">
        <v>32</v>
      </c>
      <c r="P253">
        <v>60</v>
      </c>
      <c r="Q253">
        <v>41</v>
      </c>
      <c r="R253">
        <v>47</v>
      </c>
    </row>
    <row r="254" spans="1:18" x14ac:dyDescent="0.25">
      <c r="A254" t="s">
        <v>327</v>
      </c>
      <c r="B254" t="s">
        <v>52</v>
      </c>
      <c r="C254" t="s">
        <v>322</v>
      </c>
      <c r="D254" t="s">
        <v>52</v>
      </c>
      <c r="E254" t="s">
        <v>78</v>
      </c>
      <c r="F254" t="s">
        <v>252</v>
      </c>
      <c r="G254">
        <v>6.1534646999999998</v>
      </c>
      <c r="H254">
        <v>-75.584702699999994</v>
      </c>
      <c r="J254">
        <v>11</v>
      </c>
      <c r="M254">
        <v>248</v>
      </c>
      <c r="N254">
        <v>61</v>
      </c>
      <c r="O254">
        <v>44</v>
      </c>
      <c r="P254">
        <v>52</v>
      </c>
      <c r="Q254">
        <v>41</v>
      </c>
      <c r="R254">
        <v>49</v>
      </c>
    </row>
    <row r="255" spans="1:18" x14ac:dyDescent="0.25">
      <c r="A255" t="s">
        <v>328</v>
      </c>
      <c r="B255" t="s">
        <v>52</v>
      </c>
      <c r="C255" t="s">
        <v>322</v>
      </c>
      <c r="D255" t="s">
        <v>52</v>
      </c>
      <c r="E255" t="s">
        <v>78</v>
      </c>
      <c r="F255" t="s">
        <v>252</v>
      </c>
      <c r="G255">
        <v>6.1534646999999998</v>
      </c>
      <c r="H255">
        <v>-75.584702699999994</v>
      </c>
      <c r="J255">
        <v>11</v>
      </c>
      <c r="M255">
        <v>245</v>
      </c>
      <c r="N255">
        <v>76</v>
      </c>
      <c r="O255">
        <v>40</v>
      </c>
      <c r="P255">
        <v>18</v>
      </c>
      <c r="Q255">
        <v>60</v>
      </c>
      <c r="R255">
        <v>55</v>
      </c>
    </row>
    <row r="256" spans="1:18" x14ac:dyDescent="0.25">
      <c r="A256" t="s">
        <v>329</v>
      </c>
      <c r="B256" t="s">
        <v>52</v>
      </c>
      <c r="C256" t="s">
        <v>322</v>
      </c>
      <c r="D256" t="s">
        <v>52</v>
      </c>
      <c r="E256" t="s">
        <v>78</v>
      </c>
      <c r="F256" t="s">
        <v>252</v>
      </c>
      <c r="G256">
        <v>6.1534646999999998</v>
      </c>
      <c r="H256">
        <v>-75.584702699999994</v>
      </c>
      <c r="J256">
        <v>11</v>
      </c>
      <c r="M256">
        <v>243</v>
      </c>
      <c r="N256">
        <v>49</v>
      </c>
      <c r="O256">
        <v>38</v>
      </c>
      <c r="P256">
        <v>52</v>
      </c>
      <c r="Q256">
        <v>59</v>
      </c>
      <c r="R256">
        <v>40</v>
      </c>
    </row>
    <row r="257" spans="1:18" x14ac:dyDescent="0.25">
      <c r="A257" t="s">
        <v>330</v>
      </c>
      <c r="B257" t="s">
        <v>52</v>
      </c>
      <c r="C257" t="s">
        <v>322</v>
      </c>
      <c r="D257" t="s">
        <v>52</v>
      </c>
      <c r="E257" t="s">
        <v>78</v>
      </c>
      <c r="F257" t="s">
        <v>252</v>
      </c>
      <c r="G257">
        <v>6.1534646999999998</v>
      </c>
      <c r="H257">
        <v>-75.584702699999994</v>
      </c>
      <c r="J257">
        <v>11</v>
      </c>
      <c r="M257">
        <v>241</v>
      </c>
      <c r="N257">
        <v>68</v>
      </c>
      <c r="O257">
        <v>26</v>
      </c>
      <c r="P257">
        <v>58</v>
      </c>
      <c r="Q257">
        <v>31</v>
      </c>
      <c r="R257">
        <v>76</v>
      </c>
    </row>
    <row r="258" spans="1:18" x14ac:dyDescent="0.25">
      <c r="A258" t="s">
        <v>331</v>
      </c>
      <c r="B258" t="s">
        <v>52</v>
      </c>
      <c r="C258" t="s">
        <v>322</v>
      </c>
      <c r="D258" t="s">
        <v>52</v>
      </c>
      <c r="E258" t="s">
        <v>78</v>
      </c>
      <c r="F258" t="s">
        <v>252</v>
      </c>
      <c r="G258">
        <v>6.1534646999999998</v>
      </c>
      <c r="H258">
        <v>-75.584702699999994</v>
      </c>
      <c r="J258">
        <v>11</v>
      </c>
      <c r="M258">
        <v>229</v>
      </c>
      <c r="N258">
        <v>71</v>
      </c>
      <c r="O258">
        <v>32</v>
      </c>
      <c r="P258">
        <v>38</v>
      </c>
      <c r="Q258">
        <v>47</v>
      </c>
      <c r="R258">
        <v>35</v>
      </c>
    </row>
    <row r="259" spans="1:18" x14ac:dyDescent="0.25">
      <c r="A259" t="s">
        <v>332</v>
      </c>
      <c r="B259" t="s">
        <v>52</v>
      </c>
      <c r="C259" t="s">
        <v>322</v>
      </c>
      <c r="D259" t="s">
        <v>52</v>
      </c>
      <c r="E259" t="s">
        <v>78</v>
      </c>
      <c r="F259" t="s">
        <v>252</v>
      </c>
      <c r="G259">
        <v>6.1534646999999998</v>
      </c>
      <c r="H259">
        <v>-75.584702699999994</v>
      </c>
      <c r="J259">
        <v>11</v>
      </c>
      <c r="M259">
        <v>228</v>
      </c>
      <c r="N259">
        <v>39</v>
      </c>
      <c r="O259">
        <v>42</v>
      </c>
      <c r="P259">
        <v>62</v>
      </c>
      <c r="Q259">
        <v>31</v>
      </c>
      <c r="R259">
        <v>71</v>
      </c>
    </row>
    <row r="260" spans="1:18" x14ac:dyDescent="0.25">
      <c r="A260" t="s">
        <v>333</v>
      </c>
      <c r="B260" t="s">
        <v>52</v>
      </c>
      <c r="C260" t="s">
        <v>322</v>
      </c>
      <c r="D260" t="s">
        <v>52</v>
      </c>
      <c r="E260" t="s">
        <v>78</v>
      </c>
      <c r="F260" t="s">
        <v>252</v>
      </c>
      <c r="G260">
        <v>6.1534646999999998</v>
      </c>
      <c r="H260">
        <v>-75.584702699999994</v>
      </c>
      <c r="J260">
        <v>11</v>
      </c>
      <c r="M260">
        <v>225</v>
      </c>
      <c r="N260">
        <v>22</v>
      </c>
      <c r="O260">
        <v>42</v>
      </c>
      <c r="P260">
        <v>56</v>
      </c>
      <c r="Q260">
        <v>66</v>
      </c>
      <c r="R260">
        <v>29</v>
      </c>
    </row>
    <row r="261" spans="1:18" x14ac:dyDescent="0.25">
      <c r="A261" t="s">
        <v>334</v>
      </c>
      <c r="B261" t="s">
        <v>52</v>
      </c>
      <c r="C261" t="s">
        <v>322</v>
      </c>
      <c r="D261" t="s">
        <v>52</v>
      </c>
      <c r="E261" t="s">
        <v>78</v>
      </c>
      <c r="F261" t="s">
        <v>252</v>
      </c>
      <c r="G261">
        <v>6.1534646999999998</v>
      </c>
      <c r="H261">
        <v>-75.584702699999994</v>
      </c>
      <c r="J261">
        <v>11</v>
      </c>
      <c r="M261">
        <v>224</v>
      </c>
      <c r="N261">
        <v>61</v>
      </c>
      <c r="O261">
        <v>32</v>
      </c>
      <c r="P261">
        <v>44</v>
      </c>
      <c r="Q261">
        <v>45</v>
      </c>
      <c r="R261">
        <v>38</v>
      </c>
    </row>
    <row r="262" spans="1:18" x14ac:dyDescent="0.25">
      <c r="A262" t="s">
        <v>335</v>
      </c>
      <c r="B262" t="s">
        <v>52</v>
      </c>
      <c r="C262" t="s">
        <v>322</v>
      </c>
      <c r="D262" t="s">
        <v>52</v>
      </c>
      <c r="E262" t="s">
        <v>78</v>
      </c>
      <c r="F262" t="s">
        <v>252</v>
      </c>
      <c r="G262">
        <v>6.1534646999999998</v>
      </c>
      <c r="H262">
        <v>-75.584702699999994</v>
      </c>
      <c r="J262">
        <v>11</v>
      </c>
      <c r="M262">
        <v>223</v>
      </c>
      <c r="N262">
        <v>59</v>
      </c>
      <c r="O262">
        <v>18</v>
      </c>
      <c r="P262">
        <v>38</v>
      </c>
      <c r="Q262">
        <v>60</v>
      </c>
      <c r="R262">
        <v>56</v>
      </c>
    </row>
    <row r="263" spans="1:18" x14ac:dyDescent="0.25">
      <c r="A263" t="s">
        <v>336</v>
      </c>
      <c r="B263" t="s">
        <v>52</v>
      </c>
      <c r="C263" t="s">
        <v>322</v>
      </c>
      <c r="D263" t="s">
        <v>52</v>
      </c>
      <c r="E263" t="s">
        <v>78</v>
      </c>
      <c r="F263" t="s">
        <v>252</v>
      </c>
      <c r="G263">
        <v>6.1534646999999998</v>
      </c>
      <c r="H263">
        <v>-75.584702699999994</v>
      </c>
      <c r="J263">
        <v>11</v>
      </c>
      <c r="M263">
        <v>223</v>
      </c>
      <c r="N263">
        <v>71</v>
      </c>
      <c r="O263">
        <v>32</v>
      </c>
      <c r="P263">
        <v>28</v>
      </c>
      <c r="Q263">
        <v>38</v>
      </c>
      <c r="R263">
        <v>73</v>
      </c>
    </row>
    <row r="264" spans="1:18" x14ac:dyDescent="0.25">
      <c r="A264" t="s">
        <v>337</v>
      </c>
      <c r="B264" t="s">
        <v>52</v>
      </c>
      <c r="C264" t="s">
        <v>322</v>
      </c>
      <c r="D264" t="s">
        <v>52</v>
      </c>
      <c r="E264" t="s">
        <v>78</v>
      </c>
      <c r="F264" t="s">
        <v>252</v>
      </c>
      <c r="G264">
        <v>6.1534646999999998</v>
      </c>
      <c r="H264">
        <v>-75.584702699999994</v>
      </c>
      <c r="J264">
        <v>11</v>
      </c>
      <c r="M264">
        <v>222</v>
      </c>
      <c r="N264">
        <v>59</v>
      </c>
      <c r="O264">
        <v>34</v>
      </c>
      <c r="P264">
        <v>54</v>
      </c>
      <c r="Q264">
        <v>22</v>
      </c>
      <c r="R264">
        <v>69</v>
      </c>
    </row>
    <row r="265" spans="1:18" x14ac:dyDescent="0.25">
      <c r="A265" t="s">
        <v>338</v>
      </c>
      <c r="B265" t="s">
        <v>52</v>
      </c>
      <c r="C265" t="s">
        <v>322</v>
      </c>
      <c r="D265" t="s">
        <v>52</v>
      </c>
      <c r="E265" t="s">
        <v>78</v>
      </c>
      <c r="F265" t="s">
        <v>252</v>
      </c>
      <c r="G265">
        <v>6.1534646999999998</v>
      </c>
      <c r="H265">
        <v>-75.584702699999994</v>
      </c>
      <c r="J265">
        <v>11</v>
      </c>
      <c r="M265">
        <v>221</v>
      </c>
      <c r="N265">
        <v>51</v>
      </c>
      <c r="O265">
        <v>46</v>
      </c>
      <c r="P265">
        <v>54</v>
      </c>
      <c r="Q265">
        <v>28</v>
      </c>
      <c r="R265">
        <v>38</v>
      </c>
    </row>
    <row r="266" spans="1:18" x14ac:dyDescent="0.25">
      <c r="A266" t="s">
        <v>339</v>
      </c>
      <c r="B266" t="s">
        <v>52</v>
      </c>
      <c r="C266" t="s">
        <v>322</v>
      </c>
      <c r="D266" t="s">
        <v>52</v>
      </c>
      <c r="E266" t="s">
        <v>78</v>
      </c>
      <c r="F266" t="s">
        <v>252</v>
      </c>
      <c r="G266">
        <v>6.1534646999999998</v>
      </c>
      <c r="H266">
        <v>-75.584702699999994</v>
      </c>
      <c r="J266">
        <v>11</v>
      </c>
      <c r="M266">
        <v>220</v>
      </c>
      <c r="N266">
        <v>61</v>
      </c>
      <c r="O266">
        <v>42</v>
      </c>
      <c r="P266">
        <v>40</v>
      </c>
      <c r="Q266">
        <v>33</v>
      </c>
      <c r="R266">
        <v>44</v>
      </c>
    </row>
    <row r="267" spans="1:18" x14ac:dyDescent="0.25">
      <c r="A267" t="s">
        <v>340</v>
      </c>
      <c r="B267" t="s">
        <v>52</v>
      </c>
      <c r="C267" t="s">
        <v>322</v>
      </c>
      <c r="D267" t="s">
        <v>52</v>
      </c>
      <c r="E267" t="s">
        <v>78</v>
      </c>
      <c r="F267" t="s">
        <v>252</v>
      </c>
      <c r="G267">
        <v>6.1534646999999998</v>
      </c>
      <c r="H267">
        <v>-75.584702699999994</v>
      </c>
      <c r="J267">
        <v>11</v>
      </c>
      <c r="M267">
        <v>214</v>
      </c>
      <c r="N267">
        <v>61</v>
      </c>
      <c r="O267">
        <v>28</v>
      </c>
      <c r="P267">
        <v>30</v>
      </c>
      <c r="Q267">
        <v>52</v>
      </c>
      <c r="R267">
        <v>44</v>
      </c>
    </row>
    <row r="268" spans="1:18" x14ac:dyDescent="0.25">
      <c r="A268" t="s">
        <v>341</v>
      </c>
      <c r="B268" t="s">
        <v>52</v>
      </c>
      <c r="C268" t="s">
        <v>322</v>
      </c>
      <c r="D268" t="s">
        <v>52</v>
      </c>
      <c r="E268" t="s">
        <v>78</v>
      </c>
      <c r="F268" t="s">
        <v>252</v>
      </c>
      <c r="G268">
        <v>6.1534646999999998</v>
      </c>
      <c r="H268">
        <v>-75.584702699999994</v>
      </c>
      <c r="J268">
        <v>11</v>
      </c>
      <c r="M268">
        <v>212</v>
      </c>
      <c r="N268">
        <v>46</v>
      </c>
      <c r="O268">
        <v>28</v>
      </c>
      <c r="P268">
        <v>36</v>
      </c>
      <c r="Q268">
        <v>50</v>
      </c>
      <c r="R268">
        <v>69</v>
      </c>
    </row>
    <row r="269" spans="1:18" x14ac:dyDescent="0.25">
      <c r="A269" t="s">
        <v>342</v>
      </c>
      <c r="B269" t="s">
        <v>52</v>
      </c>
      <c r="C269" t="s">
        <v>322</v>
      </c>
      <c r="D269" t="s">
        <v>52</v>
      </c>
      <c r="E269" t="s">
        <v>78</v>
      </c>
      <c r="F269" t="s">
        <v>252</v>
      </c>
      <c r="G269">
        <v>6.1534646999999998</v>
      </c>
      <c r="H269">
        <v>-75.584702699999994</v>
      </c>
      <c r="J269">
        <v>11</v>
      </c>
      <c r="M269">
        <v>211</v>
      </c>
      <c r="N269">
        <v>76</v>
      </c>
      <c r="O269">
        <v>30</v>
      </c>
      <c r="P269">
        <v>36</v>
      </c>
      <c r="Q269">
        <v>16</v>
      </c>
      <c r="R269">
        <v>76</v>
      </c>
    </row>
    <row r="270" spans="1:18" x14ac:dyDescent="0.25">
      <c r="A270" t="s">
        <v>343</v>
      </c>
      <c r="B270" t="s">
        <v>52</v>
      </c>
      <c r="C270" t="s">
        <v>322</v>
      </c>
      <c r="D270" t="s">
        <v>52</v>
      </c>
      <c r="E270" t="s">
        <v>78</v>
      </c>
      <c r="F270" t="s">
        <v>252</v>
      </c>
      <c r="G270">
        <v>6.1534646999999998</v>
      </c>
      <c r="H270">
        <v>-75.584702699999994</v>
      </c>
      <c r="J270">
        <v>11</v>
      </c>
      <c r="M270">
        <v>210</v>
      </c>
      <c r="N270">
        <v>56</v>
      </c>
      <c r="O270">
        <v>36</v>
      </c>
      <c r="P270">
        <v>36</v>
      </c>
      <c r="Q270">
        <v>38</v>
      </c>
      <c r="R270">
        <v>49</v>
      </c>
    </row>
    <row r="271" spans="1:18" x14ac:dyDescent="0.25">
      <c r="A271" t="s">
        <v>344</v>
      </c>
      <c r="B271" t="s">
        <v>52</v>
      </c>
      <c r="C271" t="s">
        <v>322</v>
      </c>
      <c r="D271" t="s">
        <v>52</v>
      </c>
      <c r="E271" t="s">
        <v>78</v>
      </c>
      <c r="F271" t="s">
        <v>252</v>
      </c>
      <c r="G271">
        <v>6.1534646999999998</v>
      </c>
      <c r="H271">
        <v>-75.584702699999994</v>
      </c>
      <c r="J271">
        <v>11</v>
      </c>
      <c r="M271">
        <v>210</v>
      </c>
      <c r="N271">
        <v>49</v>
      </c>
      <c r="O271">
        <v>34</v>
      </c>
      <c r="P271">
        <v>40</v>
      </c>
      <c r="Q271">
        <v>41</v>
      </c>
      <c r="R271">
        <v>55</v>
      </c>
    </row>
    <row r="272" spans="1:18" x14ac:dyDescent="0.25">
      <c r="A272" t="s">
        <v>345</v>
      </c>
      <c r="B272" t="s">
        <v>52</v>
      </c>
      <c r="C272" t="s">
        <v>322</v>
      </c>
      <c r="D272" t="s">
        <v>52</v>
      </c>
      <c r="E272" t="s">
        <v>78</v>
      </c>
      <c r="F272" t="s">
        <v>252</v>
      </c>
      <c r="G272">
        <v>6.1534646999999998</v>
      </c>
      <c r="H272">
        <v>-75.584702699999994</v>
      </c>
      <c r="J272">
        <v>11</v>
      </c>
      <c r="M272">
        <v>205</v>
      </c>
      <c r="N272">
        <v>68</v>
      </c>
      <c r="O272">
        <v>34</v>
      </c>
      <c r="P272">
        <v>30</v>
      </c>
      <c r="Q272">
        <v>31</v>
      </c>
      <c r="R272">
        <v>44</v>
      </c>
    </row>
    <row r="273" spans="1:18" x14ac:dyDescent="0.25">
      <c r="A273" t="s">
        <v>346</v>
      </c>
      <c r="B273" t="s">
        <v>52</v>
      </c>
      <c r="C273" t="s">
        <v>322</v>
      </c>
      <c r="D273" t="s">
        <v>52</v>
      </c>
      <c r="E273" t="s">
        <v>78</v>
      </c>
      <c r="F273" t="s">
        <v>252</v>
      </c>
      <c r="G273">
        <v>6.1534646999999998</v>
      </c>
      <c r="H273">
        <v>-75.584702699999994</v>
      </c>
      <c r="J273">
        <v>11</v>
      </c>
      <c r="M273">
        <v>205</v>
      </c>
      <c r="N273">
        <v>51</v>
      </c>
      <c r="O273">
        <v>48</v>
      </c>
      <c r="P273">
        <v>24</v>
      </c>
      <c r="Q273">
        <v>36</v>
      </c>
      <c r="R273">
        <v>55</v>
      </c>
    </row>
    <row r="274" spans="1:18" x14ac:dyDescent="0.25">
      <c r="A274" t="s">
        <v>347</v>
      </c>
      <c r="B274" t="s">
        <v>52</v>
      </c>
      <c r="C274" t="s">
        <v>322</v>
      </c>
      <c r="D274" t="s">
        <v>52</v>
      </c>
      <c r="E274" t="s">
        <v>78</v>
      </c>
      <c r="F274" t="s">
        <v>252</v>
      </c>
      <c r="G274">
        <v>6.1534646999999998</v>
      </c>
      <c r="H274">
        <v>-75.584702699999994</v>
      </c>
      <c r="J274">
        <v>11</v>
      </c>
      <c r="M274">
        <v>203</v>
      </c>
      <c r="N274">
        <v>54</v>
      </c>
      <c r="O274">
        <v>28</v>
      </c>
      <c r="P274">
        <v>44</v>
      </c>
      <c r="Q274">
        <v>41</v>
      </c>
      <c r="R274">
        <v>25</v>
      </c>
    </row>
    <row r="275" spans="1:18" x14ac:dyDescent="0.25">
      <c r="A275" t="s">
        <v>348</v>
      </c>
      <c r="B275" t="s">
        <v>52</v>
      </c>
      <c r="C275" t="s">
        <v>322</v>
      </c>
      <c r="D275" t="s">
        <v>52</v>
      </c>
      <c r="E275" t="s">
        <v>78</v>
      </c>
      <c r="F275" t="s">
        <v>252</v>
      </c>
      <c r="G275">
        <v>6.1534646999999998</v>
      </c>
      <c r="H275">
        <v>-75.584702699999994</v>
      </c>
      <c r="J275">
        <v>11</v>
      </c>
      <c r="M275">
        <v>200</v>
      </c>
      <c r="N275">
        <v>59</v>
      </c>
      <c r="O275">
        <v>28</v>
      </c>
      <c r="P275">
        <v>32</v>
      </c>
      <c r="Q275">
        <v>43</v>
      </c>
      <c r="R275">
        <v>36</v>
      </c>
    </row>
    <row r="276" spans="1:18" x14ac:dyDescent="0.25">
      <c r="A276" t="s">
        <v>349</v>
      </c>
      <c r="B276" t="s">
        <v>52</v>
      </c>
      <c r="C276" t="s">
        <v>322</v>
      </c>
      <c r="D276" t="s">
        <v>52</v>
      </c>
      <c r="E276" t="s">
        <v>78</v>
      </c>
      <c r="F276" t="s">
        <v>252</v>
      </c>
      <c r="G276">
        <v>6.1534646999999998</v>
      </c>
      <c r="H276">
        <v>-75.584702699999994</v>
      </c>
      <c r="J276">
        <v>11</v>
      </c>
      <c r="M276">
        <v>196</v>
      </c>
      <c r="N276">
        <v>44</v>
      </c>
      <c r="O276">
        <v>30</v>
      </c>
      <c r="P276">
        <v>30</v>
      </c>
      <c r="Q276">
        <v>50</v>
      </c>
      <c r="R276">
        <v>49</v>
      </c>
    </row>
    <row r="277" spans="1:18" x14ac:dyDescent="0.25">
      <c r="A277" t="s">
        <v>350</v>
      </c>
      <c r="B277" t="s">
        <v>52</v>
      </c>
      <c r="C277" t="s">
        <v>322</v>
      </c>
      <c r="D277" t="s">
        <v>52</v>
      </c>
      <c r="E277" t="s">
        <v>78</v>
      </c>
      <c r="F277" t="s">
        <v>252</v>
      </c>
      <c r="G277">
        <v>6.1534646999999998</v>
      </c>
      <c r="H277">
        <v>-75.584702699999994</v>
      </c>
      <c r="J277">
        <v>11</v>
      </c>
      <c r="M277">
        <v>193</v>
      </c>
      <c r="N277">
        <v>54</v>
      </c>
      <c r="O277">
        <v>28</v>
      </c>
      <c r="P277">
        <v>30</v>
      </c>
      <c r="Q277">
        <v>36</v>
      </c>
      <c r="R277">
        <v>58</v>
      </c>
    </row>
    <row r="278" spans="1:18" x14ac:dyDescent="0.25">
      <c r="A278" t="s">
        <v>351</v>
      </c>
      <c r="B278" t="s">
        <v>52</v>
      </c>
      <c r="C278" t="s">
        <v>322</v>
      </c>
      <c r="D278" t="s">
        <v>52</v>
      </c>
      <c r="E278" t="s">
        <v>78</v>
      </c>
      <c r="F278" t="s">
        <v>252</v>
      </c>
      <c r="G278">
        <v>6.1534646999999998</v>
      </c>
      <c r="H278">
        <v>-75.584702699999994</v>
      </c>
      <c r="J278">
        <v>11</v>
      </c>
      <c r="M278">
        <v>191</v>
      </c>
      <c r="N278">
        <v>49</v>
      </c>
      <c r="O278">
        <v>38</v>
      </c>
      <c r="P278">
        <v>32</v>
      </c>
      <c r="Q278">
        <v>29</v>
      </c>
      <c r="R278">
        <v>53</v>
      </c>
    </row>
    <row r="279" spans="1:18" x14ac:dyDescent="0.25">
      <c r="A279" t="s">
        <v>352</v>
      </c>
      <c r="B279" t="s">
        <v>52</v>
      </c>
      <c r="C279" t="s">
        <v>322</v>
      </c>
      <c r="D279" t="s">
        <v>52</v>
      </c>
      <c r="E279" t="s">
        <v>78</v>
      </c>
      <c r="F279" t="s">
        <v>252</v>
      </c>
      <c r="G279">
        <v>6.1534646999999998</v>
      </c>
      <c r="H279">
        <v>-75.584702699999994</v>
      </c>
      <c r="J279">
        <v>11</v>
      </c>
      <c r="M279">
        <v>191</v>
      </c>
      <c r="N279">
        <v>49</v>
      </c>
      <c r="O279">
        <v>30</v>
      </c>
      <c r="P279">
        <v>18</v>
      </c>
      <c r="Q279">
        <v>50</v>
      </c>
      <c r="R279">
        <v>56</v>
      </c>
    </row>
    <row r="280" spans="1:18" x14ac:dyDescent="0.25">
      <c r="A280" t="s">
        <v>353</v>
      </c>
      <c r="B280" t="s">
        <v>52</v>
      </c>
      <c r="C280" t="s">
        <v>322</v>
      </c>
      <c r="D280" t="s">
        <v>52</v>
      </c>
      <c r="E280" t="s">
        <v>78</v>
      </c>
      <c r="F280" t="s">
        <v>252</v>
      </c>
      <c r="G280">
        <v>6.1534646999999998</v>
      </c>
      <c r="H280">
        <v>-75.584702699999994</v>
      </c>
      <c r="J280">
        <v>11</v>
      </c>
      <c r="M280">
        <v>189</v>
      </c>
      <c r="N280">
        <v>22</v>
      </c>
      <c r="O280">
        <v>38</v>
      </c>
      <c r="P280">
        <v>54</v>
      </c>
      <c r="Q280">
        <v>40</v>
      </c>
      <c r="R280">
        <v>31</v>
      </c>
    </row>
    <row r="281" spans="1:18" x14ac:dyDescent="0.25">
      <c r="A281" t="s">
        <v>354</v>
      </c>
      <c r="B281" t="s">
        <v>52</v>
      </c>
      <c r="C281" t="s">
        <v>322</v>
      </c>
      <c r="D281" t="s">
        <v>52</v>
      </c>
      <c r="E281" t="s">
        <v>78</v>
      </c>
      <c r="F281" t="s">
        <v>252</v>
      </c>
      <c r="G281">
        <v>6.1534646999999998</v>
      </c>
      <c r="H281">
        <v>-75.584702699999994</v>
      </c>
      <c r="J281">
        <v>11</v>
      </c>
      <c r="M281">
        <v>188</v>
      </c>
      <c r="N281">
        <v>46</v>
      </c>
      <c r="O281">
        <v>30</v>
      </c>
      <c r="P281">
        <v>36</v>
      </c>
      <c r="Q281">
        <v>34</v>
      </c>
      <c r="R281">
        <v>49</v>
      </c>
    </row>
    <row r="282" spans="1:18" x14ac:dyDescent="0.25">
      <c r="A282" t="s">
        <v>355</v>
      </c>
      <c r="B282" t="s">
        <v>52</v>
      </c>
      <c r="C282" t="s">
        <v>322</v>
      </c>
      <c r="D282" t="s">
        <v>52</v>
      </c>
      <c r="E282" t="s">
        <v>78</v>
      </c>
      <c r="F282" t="s">
        <v>252</v>
      </c>
      <c r="G282">
        <v>6.1534646999999998</v>
      </c>
      <c r="H282">
        <v>-75.584702699999994</v>
      </c>
      <c r="J282">
        <v>11</v>
      </c>
      <c r="M282">
        <v>188</v>
      </c>
      <c r="N282">
        <v>41</v>
      </c>
      <c r="O282">
        <v>38</v>
      </c>
      <c r="P282">
        <v>34</v>
      </c>
      <c r="Q282">
        <v>36</v>
      </c>
      <c r="R282">
        <v>40</v>
      </c>
    </row>
    <row r="283" spans="1:18" x14ac:dyDescent="0.25">
      <c r="A283" t="s">
        <v>356</v>
      </c>
      <c r="B283" t="s">
        <v>52</v>
      </c>
      <c r="C283" t="s">
        <v>322</v>
      </c>
      <c r="D283" t="s">
        <v>52</v>
      </c>
      <c r="E283" t="s">
        <v>78</v>
      </c>
      <c r="F283" t="s">
        <v>252</v>
      </c>
      <c r="G283">
        <v>6.1534646999999998</v>
      </c>
      <c r="H283">
        <v>-75.584702699999994</v>
      </c>
      <c r="J283">
        <v>11</v>
      </c>
      <c r="M283">
        <v>188</v>
      </c>
      <c r="N283">
        <v>41</v>
      </c>
      <c r="O283">
        <v>22</v>
      </c>
      <c r="P283">
        <v>56</v>
      </c>
      <c r="Q283">
        <v>33</v>
      </c>
      <c r="R283">
        <v>31</v>
      </c>
    </row>
    <row r="284" spans="1:18" x14ac:dyDescent="0.25">
      <c r="A284" t="s">
        <v>357</v>
      </c>
      <c r="B284" t="s">
        <v>52</v>
      </c>
      <c r="C284" t="s">
        <v>322</v>
      </c>
      <c r="D284" t="s">
        <v>52</v>
      </c>
      <c r="E284" t="s">
        <v>78</v>
      </c>
      <c r="F284" t="s">
        <v>252</v>
      </c>
      <c r="G284">
        <v>6.1534646999999998</v>
      </c>
      <c r="H284">
        <v>-75.584702699999994</v>
      </c>
      <c r="J284">
        <v>11</v>
      </c>
      <c r="M284">
        <v>186</v>
      </c>
      <c r="N284">
        <v>41</v>
      </c>
      <c r="O284">
        <v>26</v>
      </c>
      <c r="P284">
        <v>30</v>
      </c>
      <c r="Q284">
        <v>41</v>
      </c>
      <c r="R284">
        <v>67</v>
      </c>
    </row>
    <row r="285" spans="1:18" x14ac:dyDescent="0.25">
      <c r="A285" t="s">
        <v>358</v>
      </c>
      <c r="B285" t="s">
        <v>52</v>
      </c>
      <c r="C285" t="s">
        <v>322</v>
      </c>
      <c r="D285" t="s">
        <v>52</v>
      </c>
      <c r="E285" t="s">
        <v>78</v>
      </c>
      <c r="F285" t="s">
        <v>252</v>
      </c>
      <c r="G285">
        <v>6.1534646999999998</v>
      </c>
      <c r="H285">
        <v>-75.584702699999994</v>
      </c>
      <c r="J285">
        <v>11</v>
      </c>
      <c r="M285">
        <v>185</v>
      </c>
      <c r="N285">
        <v>39</v>
      </c>
      <c r="O285">
        <v>18</v>
      </c>
      <c r="P285">
        <v>40</v>
      </c>
      <c r="Q285">
        <v>50</v>
      </c>
      <c r="R285">
        <v>40</v>
      </c>
    </row>
    <row r="286" spans="1:18" x14ac:dyDescent="0.25">
      <c r="A286" t="s">
        <v>359</v>
      </c>
      <c r="B286" t="s">
        <v>52</v>
      </c>
      <c r="C286" t="s">
        <v>322</v>
      </c>
      <c r="D286" t="s">
        <v>52</v>
      </c>
      <c r="E286" t="s">
        <v>78</v>
      </c>
      <c r="F286" t="s">
        <v>252</v>
      </c>
      <c r="G286">
        <v>6.1534646999999998</v>
      </c>
      <c r="H286">
        <v>-75.584702699999994</v>
      </c>
      <c r="J286">
        <v>11</v>
      </c>
      <c r="M286">
        <v>183</v>
      </c>
      <c r="N286">
        <v>51</v>
      </c>
      <c r="O286">
        <v>36</v>
      </c>
      <c r="P286">
        <v>22</v>
      </c>
      <c r="Q286">
        <v>38</v>
      </c>
      <c r="R286">
        <v>35</v>
      </c>
    </row>
    <row r="287" spans="1:18" x14ac:dyDescent="0.25">
      <c r="A287" t="s">
        <v>360</v>
      </c>
      <c r="B287" t="s">
        <v>52</v>
      </c>
      <c r="C287" t="s">
        <v>322</v>
      </c>
      <c r="D287" t="s">
        <v>52</v>
      </c>
      <c r="E287" t="s">
        <v>78</v>
      </c>
      <c r="F287" t="s">
        <v>252</v>
      </c>
      <c r="G287">
        <v>6.1534646999999998</v>
      </c>
      <c r="H287">
        <v>-75.584702699999994</v>
      </c>
      <c r="J287">
        <v>11</v>
      </c>
      <c r="M287">
        <v>181</v>
      </c>
      <c r="N287">
        <v>54</v>
      </c>
      <c r="O287">
        <v>26</v>
      </c>
      <c r="P287">
        <v>32</v>
      </c>
      <c r="Q287">
        <v>34</v>
      </c>
      <c r="R287">
        <v>33</v>
      </c>
    </row>
    <row r="288" spans="1:18" x14ac:dyDescent="0.25">
      <c r="A288" t="s">
        <v>361</v>
      </c>
      <c r="B288" t="s">
        <v>52</v>
      </c>
      <c r="C288" t="s">
        <v>322</v>
      </c>
      <c r="D288" t="s">
        <v>52</v>
      </c>
      <c r="E288" t="s">
        <v>78</v>
      </c>
      <c r="F288" t="s">
        <v>252</v>
      </c>
      <c r="G288">
        <v>6.1534646999999998</v>
      </c>
      <c r="H288">
        <v>-75.584702699999994</v>
      </c>
      <c r="J288">
        <v>11</v>
      </c>
      <c r="M288">
        <v>181</v>
      </c>
      <c r="N288">
        <v>41</v>
      </c>
      <c r="O288">
        <v>26</v>
      </c>
      <c r="P288">
        <v>50</v>
      </c>
      <c r="Q288">
        <v>29</v>
      </c>
      <c r="R288">
        <v>29</v>
      </c>
    </row>
    <row r="289" spans="1:18" x14ac:dyDescent="0.25">
      <c r="A289" t="s">
        <v>362</v>
      </c>
      <c r="B289" t="s">
        <v>52</v>
      </c>
      <c r="C289" t="s">
        <v>322</v>
      </c>
      <c r="D289" t="s">
        <v>52</v>
      </c>
      <c r="E289" t="s">
        <v>78</v>
      </c>
      <c r="F289" t="s">
        <v>252</v>
      </c>
      <c r="G289">
        <v>6.1534646999999998</v>
      </c>
      <c r="H289">
        <v>-75.584702699999994</v>
      </c>
      <c r="J289">
        <v>11</v>
      </c>
      <c r="M289">
        <v>180</v>
      </c>
      <c r="N289">
        <v>41</v>
      </c>
      <c r="O289">
        <v>34</v>
      </c>
      <c r="P289">
        <v>34</v>
      </c>
      <c r="Q289">
        <v>31</v>
      </c>
      <c r="R289">
        <v>47</v>
      </c>
    </row>
    <row r="290" spans="1:18" x14ac:dyDescent="0.25">
      <c r="A290" t="s">
        <v>363</v>
      </c>
      <c r="B290" t="s">
        <v>52</v>
      </c>
      <c r="C290" t="s">
        <v>322</v>
      </c>
      <c r="D290" t="s">
        <v>52</v>
      </c>
      <c r="E290" t="s">
        <v>78</v>
      </c>
      <c r="F290" t="s">
        <v>252</v>
      </c>
      <c r="G290">
        <v>6.1534646999999998</v>
      </c>
      <c r="H290">
        <v>-75.584702699999994</v>
      </c>
      <c r="J290">
        <v>11</v>
      </c>
      <c r="M290">
        <v>179</v>
      </c>
      <c r="N290">
        <v>71</v>
      </c>
      <c r="O290">
        <v>18</v>
      </c>
      <c r="P290">
        <v>22</v>
      </c>
      <c r="Q290">
        <v>33</v>
      </c>
      <c r="R290">
        <v>35</v>
      </c>
    </row>
    <row r="291" spans="1:18" x14ac:dyDescent="0.25">
      <c r="A291" t="s">
        <v>364</v>
      </c>
      <c r="B291" t="s">
        <v>52</v>
      </c>
      <c r="C291" t="s">
        <v>322</v>
      </c>
      <c r="D291" t="s">
        <v>52</v>
      </c>
      <c r="E291" t="s">
        <v>78</v>
      </c>
      <c r="F291" t="s">
        <v>252</v>
      </c>
      <c r="G291">
        <v>6.1534646999999998</v>
      </c>
      <c r="H291">
        <v>-75.584702699999994</v>
      </c>
      <c r="J291">
        <v>11</v>
      </c>
      <c r="M291">
        <v>175</v>
      </c>
      <c r="N291">
        <v>44</v>
      </c>
      <c r="O291">
        <v>26</v>
      </c>
      <c r="P291">
        <v>34</v>
      </c>
      <c r="Q291">
        <v>33</v>
      </c>
      <c r="R291">
        <v>45</v>
      </c>
    </row>
    <row r="292" spans="1:18" x14ac:dyDescent="0.25">
      <c r="A292" t="s">
        <v>365</v>
      </c>
      <c r="B292" t="s">
        <v>52</v>
      </c>
      <c r="C292" t="s">
        <v>322</v>
      </c>
      <c r="D292" t="s">
        <v>52</v>
      </c>
      <c r="E292" t="s">
        <v>78</v>
      </c>
      <c r="F292" t="s">
        <v>252</v>
      </c>
      <c r="G292">
        <v>6.1534646999999998</v>
      </c>
      <c r="H292">
        <v>-75.584702699999994</v>
      </c>
      <c r="J292">
        <v>11</v>
      </c>
      <c r="M292">
        <v>174</v>
      </c>
      <c r="N292">
        <v>46</v>
      </c>
      <c r="O292">
        <v>34</v>
      </c>
      <c r="P292">
        <v>32</v>
      </c>
      <c r="Q292">
        <v>24</v>
      </c>
      <c r="R292">
        <v>44</v>
      </c>
    </row>
    <row r="293" spans="1:18" x14ac:dyDescent="0.25">
      <c r="A293" t="s">
        <v>366</v>
      </c>
      <c r="B293" t="s">
        <v>52</v>
      </c>
      <c r="C293" t="s">
        <v>322</v>
      </c>
      <c r="D293" t="s">
        <v>52</v>
      </c>
      <c r="E293" t="s">
        <v>78</v>
      </c>
      <c r="F293" t="s">
        <v>252</v>
      </c>
      <c r="G293">
        <v>6.1534646999999998</v>
      </c>
      <c r="H293">
        <v>-75.584702699999994</v>
      </c>
      <c r="J293">
        <v>11</v>
      </c>
      <c r="M293">
        <v>173</v>
      </c>
      <c r="N293">
        <v>39</v>
      </c>
      <c r="O293">
        <v>38</v>
      </c>
      <c r="P293">
        <v>40</v>
      </c>
      <c r="Q293">
        <v>22</v>
      </c>
      <c r="R293">
        <v>33</v>
      </c>
    </row>
    <row r="294" spans="1:18" x14ac:dyDescent="0.25">
      <c r="A294" t="s">
        <v>367</v>
      </c>
      <c r="B294" t="s">
        <v>52</v>
      </c>
      <c r="C294" t="s">
        <v>322</v>
      </c>
      <c r="D294" t="s">
        <v>52</v>
      </c>
      <c r="E294" t="s">
        <v>78</v>
      </c>
      <c r="F294" t="s">
        <v>252</v>
      </c>
      <c r="G294">
        <v>6.1534646999999998</v>
      </c>
      <c r="H294">
        <v>-75.584702699999994</v>
      </c>
      <c r="J294">
        <v>11</v>
      </c>
      <c r="M294">
        <v>173</v>
      </c>
      <c r="N294">
        <v>39</v>
      </c>
      <c r="O294">
        <v>28</v>
      </c>
      <c r="P294">
        <v>32</v>
      </c>
      <c r="Q294">
        <v>38</v>
      </c>
      <c r="R294">
        <v>40</v>
      </c>
    </row>
    <row r="295" spans="1:18" x14ac:dyDescent="0.25">
      <c r="A295" t="s">
        <v>368</v>
      </c>
      <c r="B295" t="s">
        <v>52</v>
      </c>
      <c r="C295" t="s">
        <v>322</v>
      </c>
      <c r="D295" t="s">
        <v>52</v>
      </c>
      <c r="E295" t="s">
        <v>78</v>
      </c>
      <c r="F295" t="s">
        <v>252</v>
      </c>
      <c r="G295">
        <v>6.1534646999999998</v>
      </c>
      <c r="H295">
        <v>-75.584702699999994</v>
      </c>
      <c r="J295">
        <v>11</v>
      </c>
      <c r="M295">
        <v>171</v>
      </c>
      <c r="N295">
        <v>34</v>
      </c>
      <c r="O295">
        <v>40</v>
      </c>
      <c r="P295">
        <v>22</v>
      </c>
      <c r="Q295">
        <v>41</v>
      </c>
      <c r="R295">
        <v>31</v>
      </c>
    </row>
    <row r="296" spans="1:18" x14ac:dyDescent="0.25">
      <c r="A296" t="s">
        <v>369</v>
      </c>
      <c r="B296" t="s">
        <v>52</v>
      </c>
      <c r="C296" t="s">
        <v>322</v>
      </c>
      <c r="D296" t="s">
        <v>52</v>
      </c>
      <c r="E296" t="s">
        <v>78</v>
      </c>
      <c r="F296" t="s">
        <v>252</v>
      </c>
      <c r="G296">
        <v>6.1534646999999998</v>
      </c>
      <c r="H296">
        <v>-75.584702699999994</v>
      </c>
      <c r="J296">
        <v>11</v>
      </c>
      <c r="M296">
        <v>170</v>
      </c>
      <c r="N296">
        <v>54</v>
      </c>
      <c r="O296">
        <v>24</v>
      </c>
      <c r="P296">
        <v>30</v>
      </c>
      <c r="Q296">
        <v>31</v>
      </c>
      <c r="R296">
        <v>25</v>
      </c>
    </row>
    <row r="297" spans="1:18" x14ac:dyDescent="0.25">
      <c r="A297" t="s">
        <v>370</v>
      </c>
      <c r="B297" t="s">
        <v>52</v>
      </c>
      <c r="C297" t="s">
        <v>322</v>
      </c>
      <c r="D297" t="s">
        <v>52</v>
      </c>
      <c r="E297" t="s">
        <v>78</v>
      </c>
      <c r="F297" t="s">
        <v>252</v>
      </c>
      <c r="G297">
        <v>6.1534646999999998</v>
      </c>
      <c r="H297">
        <v>-75.584702699999994</v>
      </c>
      <c r="J297">
        <v>11</v>
      </c>
      <c r="M297">
        <v>167</v>
      </c>
      <c r="N297">
        <v>39</v>
      </c>
      <c r="O297">
        <v>28</v>
      </c>
      <c r="P297">
        <v>34</v>
      </c>
      <c r="Q297">
        <v>29</v>
      </c>
      <c r="R297">
        <v>44</v>
      </c>
    </row>
    <row r="298" spans="1:18" x14ac:dyDescent="0.25">
      <c r="A298" t="s">
        <v>371</v>
      </c>
      <c r="B298" t="s">
        <v>52</v>
      </c>
      <c r="C298" t="s">
        <v>322</v>
      </c>
      <c r="D298" t="s">
        <v>52</v>
      </c>
      <c r="E298" t="s">
        <v>78</v>
      </c>
      <c r="F298" t="s">
        <v>252</v>
      </c>
      <c r="G298">
        <v>6.1534646999999998</v>
      </c>
      <c r="H298">
        <v>-75.584702699999994</v>
      </c>
      <c r="J298">
        <v>11</v>
      </c>
      <c r="M298">
        <v>165</v>
      </c>
      <c r="N298">
        <v>49</v>
      </c>
      <c r="O298">
        <v>28</v>
      </c>
      <c r="P298">
        <v>14</v>
      </c>
      <c r="Q298">
        <v>40</v>
      </c>
      <c r="R298">
        <v>38</v>
      </c>
    </row>
    <row r="299" spans="1:18" x14ac:dyDescent="0.25">
      <c r="A299" t="s">
        <v>372</v>
      </c>
      <c r="B299" t="s">
        <v>52</v>
      </c>
      <c r="C299" t="s">
        <v>322</v>
      </c>
      <c r="D299" t="s">
        <v>52</v>
      </c>
      <c r="E299" t="s">
        <v>78</v>
      </c>
      <c r="F299" t="s">
        <v>252</v>
      </c>
      <c r="G299">
        <v>6.1534646999999998</v>
      </c>
      <c r="H299">
        <v>-75.584702699999994</v>
      </c>
      <c r="J299">
        <v>11</v>
      </c>
      <c r="M299">
        <v>165</v>
      </c>
      <c r="N299">
        <v>46</v>
      </c>
      <c r="O299">
        <v>32</v>
      </c>
      <c r="P299">
        <v>22</v>
      </c>
      <c r="Q299">
        <v>31</v>
      </c>
      <c r="R299">
        <v>35</v>
      </c>
    </row>
    <row r="300" spans="1:18" x14ac:dyDescent="0.25">
      <c r="A300" t="s">
        <v>373</v>
      </c>
      <c r="B300" t="s">
        <v>52</v>
      </c>
      <c r="C300" t="s">
        <v>322</v>
      </c>
      <c r="D300" t="s">
        <v>52</v>
      </c>
      <c r="E300" t="s">
        <v>78</v>
      </c>
      <c r="F300" t="s">
        <v>252</v>
      </c>
      <c r="G300">
        <v>6.1534646999999998</v>
      </c>
      <c r="H300">
        <v>-75.584702699999994</v>
      </c>
      <c r="J300">
        <v>11</v>
      </c>
      <c r="M300">
        <v>155</v>
      </c>
      <c r="N300">
        <v>46</v>
      </c>
      <c r="O300">
        <v>22</v>
      </c>
      <c r="P300">
        <v>28</v>
      </c>
      <c r="Q300">
        <v>28</v>
      </c>
      <c r="R300">
        <v>31</v>
      </c>
    </row>
    <row r="301" spans="1:18" x14ac:dyDescent="0.25">
      <c r="A301" t="s">
        <v>374</v>
      </c>
      <c r="B301" t="s">
        <v>52</v>
      </c>
      <c r="C301" t="s">
        <v>322</v>
      </c>
      <c r="D301" t="s">
        <v>52</v>
      </c>
      <c r="E301" t="s">
        <v>78</v>
      </c>
      <c r="F301" t="s">
        <v>252</v>
      </c>
      <c r="G301">
        <v>6.1534646999999998</v>
      </c>
      <c r="H301">
        <v>-75.584702699999994</v>
      </c>
      <c r="J301">
        <v>11</v>
      </c>
      <c r="M301">
        <v>155</v>
      </c>
      <c r="N301">
        <v>37</v>
      </c>
      <c r="O301">
        <v>30</v>
      </c>
      <c r="P301">
        <v>30</v>
      </c>
      <c r="Q301">
        <v>24</v>
      </c>
      <c r="R301">
        <v>40</v>
      </c>
    </row>
    <row r="302" spans="1:18" x14ac:dyDescent="0.25">
      <c r="A302" t="s">
        <v>375</v>
      </c>
      <c r="B302" t="s">
        <v>52</v>
      </c>
      <c r="C302" t="s">
        <v>322</v>
      </c>
      <c r="D302" t="s">
        <v>52</v>
      </c>
      <c r="E302" t="s">
        <v>78</v>
      </c>
      <c r="F302" t="s">
        <v>252</v>
      </c>
      <c r="G302">
        <v>6.1534646999999998</v>
      </c>
      <c r="H302">
        <v>-75.584702699999994</v>
      </c>
      <c r="J302">
        <v>11</v>
      </c>
      <c r="M302">
        <v>153</v>
      </c>
      <c r="N302">
        <v>29</v>
      </c>
      <c r="O302">
        <v>30</v>
      </c>
      <c r="P302">
        <v>22</v>
      </c>
      <c r="Q302">
        <v>38</v>
      </c>
      <c r="R302">
        <v>40</v>
      </c>
    </row>
    <row r="303" spans="1:18" x14ac:dyDescent="0.25">
      <c r="A303" t="s">
        <v>376</v>
      </c>
      <c r="B303" t="s">
        <v>52</v>
      </c>
      <c r="C303" t="s">
        <v>322</v>
      </c>
      <c r="D303" t="s">
        <v>52</v>
      </c>
      <c r="E303" t="s">
        <v>78</v>
      </c>
      <c r="F303" t="s">
        <v>252</v>
      </c>
      <c r="G303">
        <v>6.1534646999999998</v>
      </c>
      <c r="H303">
        <v>-75.584702699999994</v>
      </c>
      <c r="J303">
        <v>11</v>
      </c>
      <c r="M303">
        <v>152</v>
      </c>
      <c r="N303">
        <v>20</v>
      </c>
      <c r="O303">
        <v>26</v>
      </c>
      <c r="P303">
        <v>34</v>
      </c>
      <c r="Q303">
        <v>36</v>
      </c>
      <c r="R303">
        <v>49</v>
      </c>
    </row>
    <row r="304" spans="1:18" x14ac:dyDescent="0.25">
      <c r="A304" t="s">
        <v>377</v>
      </c>
      <c r="B304" t="s">
        <v>52</v>
      </c>
      <c r="C304" t="s">
        <v>322</v>
      </c>
      <c r="D304" t="s">
        <v>52</v>
      </c>
      <c r="E304" t="s">
        <v>78</v>
      </c>
      <c r="F304" t="s">
        <v>252</v>
      </c>
      <c r="G304">
        <v>6.1534646999999998</v>
      </c>
      <c r="H304">
        <v>-75.584702699999994</v>
      </c>
      <c r="J304">
        <v>11</v>
      </c>
      <c r="M304">
        <v>151</v>
      </c>
      <c r="N304">
        <v>49</v>
      </c>
      <c r="O304">
        <v>22</v>
      </c>
      <c r="P304">
        <v>24</v>
      </c>
      <c r="Q304">
        <v>29</v>
      </c>
      <c r="R304">
        <v>20</v>
      </c>
    </row>
    <row r="305" spans="1:18" x14ac:dyDescent="0.25">
      <c r="A305" t="s">
        <v>378</v>
      </c>
      <c r="B305" t="s">
        <v>52</v>
      </c>
      <c r="C305" t="s">
        <v>322</v>
      </c>
      <c r="D305" t="s">
        <v>52</v>
      </c>
      <c r="E305" t="s">
        <v>78</v>
      </c>
      <c r="F305" t="s">
        <v>252</v>
      </c>
      <c r="G305">
        <v>6.1534646999999998</v>
      </c>
      <c r="H305">
        <v>-75.584702699999994</v>
      </c>
      <c r="J305">
        <v>11</v>
      </c>
      <c r="M305">
        <v>144</v>
      </c>
      <c r="N305">
        <v>34</v>
      </c>
      <c r="O305">
        <v>26</v>
      </c>
      <c r="P305">
        <v>36</v>
      </c>
      <c r="Q305">
        <v>16</v>
      </c>
      <c r="R305">
        <v>40</v>
      </c>
    </row>
    <row r="306" spans="1:18" x14ac:dyDescent="0.25">
      <c r="A306" t="s">
        <v>379</v>
      </c>
      <c r="B306" t="s">
        <v>52</v>
      </c>
      <c r="C306" t="s">
        <v>322</v>
      </c>
      <c r="D306" t="s">
        <v>52</v>
      </c>
      <c r="E306" t="s">
        <v>78</v>
      </c>
      <c r="F306" t="s">
        <v>252</v>
      </c>
      <c r="G306">
        <v>6.1534646999999998</v>
      </c>
      <c r="H306">
        <v>-75.584702699999994</v>
      </c>
      <c r="J306">
        <v>11</v>
      </c>
      <c r="M306">
        <v>144</v>
      </c>
      <c r="N306">
        <v>27</v>
      </c>
      <c r="O306">
        <v>34</v>
      </c>
      <c r="P306">
        <v>22</v>
      </c>
      <c r="Q306">
        <v>29</v>
      </c>
      <c r="R306">
        <v>38</v>
      </c>
    </row>
    <row r="307" spans="1:18" x14ac:dyDescent="0.25">
      <c r="A307" t="s">
        <v>380</v>
      </c>
      <c r="B307" t="s">
        <v>52</v>
      </c>
      <c r="C307" t="s">
        <v>322</v>
      </c>
      <c r="D307" t="s">
        <v>52</v>
      </c>
      <c r="E307" t="s">
        <v>78</v>
      </c>
      <c r="F307" t="s">
        <v>252</v>
      </c>
      <c r="G307">
        <v>6.1534646999999998</v>
      </c>
      <c r="H307">
        <v>-75.584702699999994</v>
      </c>
      <c r="J307">
        <v>11</v>
      </c>
      <c r="M307">
        <v>143</v>
      </c>
      <c r="N307">
        <v>39</v>
      </c>
      <c r="O307">
        <v>24</v>
      </c>
      <c r="P307">
        <v>24</v>
      </c>
      <c r="Q307">
        <v>22</v>
      </c>
      <c r="R307">
        <v>44</v>
      </c>
    </row>
    <row r="308" spans="1:18" x14ac:dyDescent="0.25">
      <c r="A308" t="s">
        <v>381</v>
      </c>
      <c r="B308" t="s">
        <v>52</v>
      </c>
      <c r="C308" t="s">
        <v>322</v>
      </c>
      <c r="D308" t="s">
        <v>52</v>
      </c>
      <c r="E308" t="s">
        <v>78</v>
      </c>
      <c r="F308" t="s">
        <v>252</v>
      </c>
      <c r="G308">
        <v>6.1534646999999998</v>
      </c>
      <c r="H308">
        <v>-75.584702699999994</v>
      </c>
      <c r="J308">
        <v>11</v>
      </c>
      <c r="M308">
        <v>141</v>
      </c>
      <c r="N308">
        <v>15</v>
      </c>
      <c r="O308">
        <v>26</v>
      </c>
      <c r="P308">
        <v>26</v>
      </c>
      <c r="Q308">
        <v>38</v>
      </c>
      <c r="R308">
        <v>53</v>
      </c>
    </row>
    <row r="309" spans="1:18" x14ac:dyDescent="0.25">
      <c r="A309" t="s">
        <v>382</v>
      </c>
      <c r="B309" t="s">
        <v>52</v>
      </c>
      <c r="C309" t="s">
        <v>322</v>
      </c>
      <c r="D309" t="s">
        <v>52</v>
      </c>
      <c r="E309" t="s">
        <v>78</v>
      </c>
      <c r="F309" t="s">
        <v>252</v>
      </c>
      <c r="G309">
        <v>6.1534646999999998</v>
      </c>
      <c r="H309">
        <v>-75.584702699999994</v>
      </c>
      <c r="J309">
        <v>11</v>
      </c>
      <c r="M309">
        <v>134</v>
      </c>
      <c r="N309">
        <v>24</v>
      </c>
      <c r="O309">
        <v>32</v>
      </c>
      <c r="P309">
        <v>22</v>
      </c>
      <c r="Q309">
        <v>26</v>
      </c>
      <c r="R309">
        <v>36</v>
      </c>
    </row>
    <row r="310" spans="1:18" x14ac:dyDescent="0.25">
      <c r="A310" t="s">
        <v>383</v>
      </c>
      <c r="B310" t="s">
        <v>52</v>
      </c>
      <c r="C310" t="s">
        <v>322</v>
      </c>
      <c r="D310" t="s">
        <v>52</v>
      </c>
      <c r="E310" t="s">
        <v>78</v>
      </c>
      <c r="F310" t="s">
        <v>252</v>
      </c>
      <c r="G310">
        <v>6.1534646999999998</v>
      </c>
      <c r="H310">
        <v>-75.584702699999994</v>
      </c>
      <c r="J310">
        <v>11</v>
      </c>
      <c r="M310">
        <v>130</v>
      </c>
      <c r="N310">
        <v>27</v>
      </c>
      <c r="O310">
        <v>30</v>
      </c>
      <c r="P310">
        <v>22</v>
      </c>
      <c r="Q310">
        <v>21</v>
      </c>
      <c r="R310">
        <v>38</v>
      </c>
    </row>
    <row r="311" spans="1:18" x14ac:dyDescent="0.25">
      <c r="A311" t="s">
        <v>384</v>
      </c>
      <c r="B311" t="s">
        <v>52</v>
      </c>
      <c r="C311" t="s">
        <v>322</v>
      </c>
      <c r="D311" t="s">
        <v>52</v>
      </c>
      <c r="E311" t="s">
        <v>78</v>
      </c>
      <c r="F311" t="s">
        <v>252</v>
      </c>
      <c r="G311">
        <v>6.1534646999999998</v>
      </c>
      <c r="H311">
        <v>-75.584702699999994</v>
      </c>
      <c r="J311">
        <v>11</v>
      </c>
      <c r="M311">
        <v>128</v>
      </c>
      <c r="N311">
        <v>22</v>
      </c>
      <c r="O311">
        <v>16</v>
      </c>
      <c r="P311">
        <v>22</v>
      </c>
      <c r="Q311">
        <v>33</v>
      </c>
      <c r="R311">
        <v>55</v>
      </c>
    </row>
    <row r="312" spans="1:18" x14ac:dyDescent="0.25">
      <c r="A312" t="s">
        <v>385</v>
      </c>
      <c r="B312" t="s">
        <v>52</v>
      </c>
      <c r="C312" t="s">
        <v>322</v>
      </c>
      <c r="D312" t="s">
        <v>52</v>
      </c>
      <c r="E312" t="s">
        <v>78</v>
      </c>
      <c r="F312" t="s">
        <v>252</v>
      </c>
      <c r="G312">
        <v>6.1534646999999998</v>
      </c>
      <c r="H312">
        <v>-75.584702699999994</v>
      </c>
      <c r="J312">
        <v>11</v>
      </c>
      <c r="M312">
        <v>127</v>
      </c>
      <c r="N312">
        <v>17</v>
      </c>
      <c r="O312">
        <v>26</v>
      </c>
      <c r="P312">
        <v>24</v>
      </c>
      <c r="Q312">
        <v>29</v>
      </c>
      <c r="R312">
        <v>42</v>
      </c>
    </row>
    <row r="313" spans="1:18" x14ac:dyDescent="0.25">
      <c r="A313" t="s">
        <v>386</v>
      </c>
      <c r="B313" t="s">
        <v>52</v>
      </c>
      <c r="C313" t="s">
        <v>322</v>
      </c>
      <c r="D313" t="s">
        <v>52</v>
      </c>
      <c r="E313" t="s">
        <v>78</v>
      </c>
      <c r="F313" t="s">
        <v>252</v>
      </c>
      <c r="G313">
        <v>6.1534646999999998</v>
      </c>
      <c r="H313">
        <v>-75.584702699999994</v>
      </c>
      <c r="J313">
        <v>11</v>
      </c>
      <c r="M313">
        <v>127</v>
      </c>
      <c r="N313">
        <v>46</v>
      </c>
      <c r="O313">
        <v>28</v>
      </c>
      <c r="P313">
        <v>10</v>
      </c>
      <c r="Q313">
        <v>26</v>
      </c>
      <c r="R313">
        <v>0</v>
      </c>
    </row>
    <row r="314" spans="1:18" x14ac:dyDescent="0.25">
      <c r="A314" t="s">
        <v>387</v>
      </c>
      <c r="B314" t="s">
        <v>52</v>
      </c>
      <c r="C314" t="s">
        <v>322</v>
      </c>
      <c r="D314" t="s">
        <v>52</v>
      </c>
      <c r="E314" t="s">
        <v>78</v>
      </c>
      <c r="F314" t="s">
        <v>252</v>
      </c>
      <c r="G314">
        <v>6.1534646999999998</v>
      </c>
      <c r="H314">
        <v>-75.584702699999994</v>
      </c>
      <c r="J314">
        <v>11</v>
      </c>
      <c r="M314">
        <v>125</v>
      </c>
      <c r="N314">
        <v>32</v>
      </c>
      <c r="O314">
        <v>18</v>
      </c>
      <c r="P314">
        <v>12</v>
      </c>
      <c r="Q314">
        <v>34</v>
      </c>
      <c r="R314">
        <v>36</v>
      </c>
    </row>
    <row r="315" spans="1:18" x14ac:dyDescent="0.25">
      <c r="A315" t="s">
        <v>388</v>
      </c>
      <c r="B315" t="s">
        <v>52</v>
      </c>
      <c r="C315" t="s">
        <v>322</v>
      </c>
      <c r="D315" t="s">
        <v>52</v>
      </c>
      <c r="E315" t="s">
        <v>78</v>
      </c>
      <c r="F315" t="s">
        <v>252</v>
      </c>
      <c r="G315">
        <v>6.1534646999999998</v>
      </c>
      <c r="H315">
        <v>-75.584702699999994</v>
      </c>
      <c r="J315">
        <v>11</v>
      </c>
      <c r="M315">
        <v>123</v>
      </c>
      <c r="N315">
        <v>29</v>
      </c>
      <c r="O315">
        <v>10</v>
      </c>
      <c r="P315">
        <v>24</v>
      </c>
      <c r="Q315">
        <v>28</v>
      </c>
      <c r="R315">
        <v>47</v>
      </c>
    </row>
    <row r="316" spans="1:18" x14ac:dyDescent="0.25">
      <c r="A316" t="s">
        <v>389</v>
      </c>
      <c r="B316" t="s">
        <v>52</v>
      </c>
      <c r="C316" t="s">
        <v>322</v>
      </c>
      <c r="D316" t="s">
        <v>52</v>
      </c>
      <c r="E316" t="s">
        <v>78</v>
      </c>
      <c r="F316" t="s">
        <v>252</v>
      </c>
      <c r="G316">
        <v>6.1534646999999998</v>
      </c>
      <c r="H316">
        <v>-75.584702699999994</v>
      </c>
      <c r="J316">
        <v>11</v>
      </c>
      <c r="M316">
        <v>117</v>
      </c>
      <c r="N316">
        <v>22</v>
      </c>
      <c r="O316">
        <v>20</v>
      </c>
      <c r="P316">
        <v>22</v>
      </c>
      <c r="Q316">
        <v>29</v>
      </c>
      <c r="R316">
        <v>25</v>
      </c>
    </row>
    <row r="317" spans="1:18" x14ac:dyDescent="0.25">
      <c r="A317" t="s">
        <v>390</v>
      </c>
      <c r="B317" t="s">
        <v>52</v>
      </c>
      <c r="C317" t="s">
        <v>322</v>
      </c>
      <c r="D317" t="s">
        <v>52</v>
      </c>
      <c r="E317" t="s">
        <v>78</v>
      </c>
      <c r="F317" t="s">
        <v>252</v>
      </c>
      <c r="G317">
        <v>6.1534646999999998</v>
      </c>
      <c r="H317">
        <v>-75.584702699999994</v>
      </c>
      <c r="J317">
        <v>11</v>
      </c>
      <c r="M317">
        <v>114</v>
      </c>
      <c r="N317">
        <v>27</v>
      </c>
      <c r="O317">
        <v>20</v>
      </c>
      <c r="P317">
        <v>16</v>
      </c>
      <c r="Q317">
        <v>26</v>
      </c>
      <c r="R317">
        <v>31</v>
      </c>
    </row>
    <row r="318" spans="1:18" x14ac:dyDescent="0.25">
      <c r="A318" t="s">
        <v>391</v>
      </c>
      <c r="B318" t="s">
        <v>52</v>
      </c>
      <c r="C318" t="s">
        <v>322</v>
      </c>
      <c r="D318" t="s">
        <v>52</v>
      </c>
      <c r="E318" t="s">
        <v>78</v>
      </c>
      <c r="F318" t="s">
        <v>252</v>
      </c>
      <c r="G318">
        <v>6.1534646999999998</v>
      </c>
      <c r="H318">
        <v>-75.584702699999994</v>
      </c>
      <c r="J318">
        <v>11</v>
      </c>
      <c r="M318">
        <v>114</v>
      </c>
      <c r="N318">
        <v>54</v>
      </c>
      <c r="O318">
        <v>18</v>
      </c>
      <c r="P318">
        <v>20</v>
      </c>
      <c r="Q318">
        <v>7</v>
      </c>
      <c r="R318">
        <v>0</v>
      </c>
    </row>
    <row r="319" spans="1:18" x14ac:dyDescent="0.25">
      <c r="A319" t="s">
        <v>392</v>
      </c>
      <c r="B319" t="s">
        <v>52</v>
      </c>
      <c r="C319" t="s">
        <v>322</v>
      </c>
      <c r="D319" t="s">
        <v>52</v>
      </c>
      <c r="E319" t="s">
        <v>78</v>
      </c>
      <c r="F319" t="s">
        <v>252</v>
      </c>
      <c r="G319">
        <v>6.1534646999999998</v>
      </c>
      <c r="H319">
        <v>-75.584702699999994</v>
      </c>
      <c r="J319">
        <v>11</v>
      </c>
      <c r="M319">
        <v>112</v>
      </c>
      <c r="N319">
        <v>17</v>
      </c>
      <c r="O319">
        <v>22</v>
      </c>
      <c r="P319">
        <v>16</v>
      </c>
      <c r="Q319">
        <v>28</v>
      </c>
      <c r="R319">
        <v>44</v>
      </c>
    </row>
    <row r="320" spans="1:18" x14ac:dyDescent="0.25">
      <c r="A320" t="s">
        <v>393</v>
      </c>
      <c r="B320" t="s">
        <v>52</v>
      </c>
      <c r="C320" t="s">
        <v>322</v>
      </c>
      <c r="D320" t="s">
        <v>52</v>
      </c>
      <c r="E320" t="s">
        <v>78</v>
      </c>
      <c r="F320" t="s">
        <v>252</v>
      </c>
      <c r="G320">
        <v>6.1534646999999998</v>
      </c>
      <c r="H320">
        <v>-75.584702699999994</v>
      </c>
      <c r="J320">
        <v>11</v>
      </c>
      <c r="M320">
        <v>63</v>
      </c>
      <c r="N320">
        <v>0</v>
      </c>
      <c r="O320">
        <v>16</v>
      </c>
      <c r="P320">
        <v>6</v>
      </c>
      <c r="Q320">
        <v>19</v>
      </c>
      <c r="R320">
        <v>40</v>
      </c>
    </row>
    <row r="321" spans="1:18" x14ac:dyDescent="0.25">
      <c r="A321" t="s">
        <v>394</v>
      </c>
      <c r="B321" t="s">
        <v>52</v>
      </c>
      <c r="C321" t="s">
        <v>395</v>
      </c>
      <c r="D321" t="s">
        <v>52</v>
      </c>
      <c r="E321" t="s">
        <v>78</v>
      </c>
      <c r="F321" t="s">
        <v>252</v>
      </c>
      <c r="G321">
        <v>6.1679396000000004</v>
      </c>
      <c r="H321">
        <v>-75.578613000000004</v>
      </c>
      <c r="J321">
        <v>11</v>
      </c>
      <c r="M321">
        <v>282</v>
      </c>
      <c r="N321">
        <v>63</v>
      </c>
      <c r="O321">
        <v>38</v>
      </c>
      <c r="P321">
        <v>78</v>
      </c>
      <c r="Q321">
        <v>41</v>
      </c>
      <c r="R321">
        <v>71</v>
      </c>
    </row>
    <row r="322" spans="1:18" x14ac:dyDescent="0.25">
      <c r="A322" t="s">
        <v>396</v>
      </c>
      <c r="B322" t="s">
        <v>52</v>
      </c>
      <c r="C322" t="s">
        <v>395</v>
      </c>
      <c r="D322" t="s">
        <v>52</v>
      </c>
      <c r="E322" t="s">
        <v>78</v>
      </c>
      <c r="F322" t="s">
        <v>252</v>
      </c>
      <c r="G322">
        <v>6.1679396000000004</v>
      </c>
      <c r="H322">
        <v>-75.578613000000004</v>
      </c>
      <c r="J322">
        <v>11</v>
      </c>
      <c r="M322">
        <v>277</v>
      </c>
      <c r="N322">
        <v>59</v>
      </c>
      <c r="O322">
        <v>38</v>
      </c>
      <c r="P322">
        <v>52</v>
      </c>
      <c r="Q322">
        <v>62</v>
      </c>
      <c r="R322">
        <v>89</v>
      </c>
    </row>
    <row r="323" spans="1:18" x14ac:dyDescent="0.25">
      <c r="A323" t="s">
        <v>397</v>
      </c>
      <c r="B323" t="s">
        <v>52</v>
      </c>
      <c r="C323" t="s">
        <v>395</v>
      </c>
      <c r="D323" t="s">
        <v>52</v>
      </c>
      <c r="E323" t="s">
        <v>78</v>
      </c>
      <c r="F323" t="s">
        <v>252</v>
      </c>
      <c r="G323">
        <v>6.1679396000000004</v>
      </c>
      <c r="H323">
        <v>-75.578613000000004</v>
      </c>
      <c r="J323">
        <v>11</v>
      </c>
      <c r="M323">
        <v>262</v>
      </c>
      <c r="N323">
        <v>61</v>
      </c>
      <c r="O323">
        <v>32</v>
      </c>
      <c r="P323">
        <v>54</v>
      </c>
      <c r="Q323">
        <v>60</v>
      </c>
      <c r="R323">
        <v>60</v>
      </c>
    </row>
    <row r="324" spans="1:18" x14ac:dyDescent="0.25">
      <c r="A324" t="s">
        <v>398</v>
      </c>
      <c r="B324" t="s">
        <v>52</v>
      </c>
      <c r="C324" t="s">
        <v>395</v>
      </c>
      <c r="D324" t="s">
        <v>52</v>
      </c>
      <c r="E324" t="s">
        <v>78</v>
      </c>
      <c r="F324" t="s">
        <v>252</v>
      </c>
      <c r="G324">
        <v>6.1679396000000004</v>
      </c>
      <c r="H324">
        <v>-75.578613000000004</v>
      </c>
      <c r="J324">
        <v>11</v>
      </c>
      <c r="M324">
        <v>247</v>
      </c>
      <c r="N324">
        <v>76</v>
      </c>
      <c r="O324">
        <v>30</v>
      </c>
      <c r="P324">
        <v>58</v>
      </c>
      <c r="Q324">
        <v>38</v>
      </c>
      <c r="R324">
        <v>38</v>
      </c>
    </row>
    <row r="325" spans="1:18" x14ac:dyDescent="0.25">
      <c r="A325" t="s">
        <v>399</v>
      </c>
      <c r="B325" t="s">
        <v>52</v>
      </c>
      <c r="C325" t="s">
        <v>395</v>
      </c>
      <c r="D325" t="s">
        <v>52</v>
      </c>
      <c r="E325" t="s">
        <v>78</v>
      </c>
      <c r="F325" t="s">
        <v>252</v>
      </c>
      <c r="G325">
        <v>6.1679396000000004</v>
      </c>
      <c r="H325">
        <v>-75.578613000000004</v>
      </c>
      <c r="J325">
        <v>11</v>
      </c>
      <c r="M325">
        <v>231</v>
      </c>
      <c r="N325">
        <v>66</v>
      </c>
      <c r="O325">
        <v>28</v>
      </c>
      <c r="P325">
        <v>50</v>
      </c>
      <c r="Q325">
        <v>36</v>
      </c>
      <c r="R325">
        <v>60</v>
      </c>
    </row>
    <row r="326" spans="1:18" x14ac:dyDescent="0.25">
      <c r="A326" t="s">
        <v>400</v>
      </c>
      <c r="B326" t="s">
        <v>52</v>
      </c>
      <c r="C326" t="s">
        <v>395</v>
      </c>
      <c r="D326" t="s">
        <v>52</v>
      </c>
      <c r="E326" t="s">
        <v>78</v>
      </c>
      <c r="F326" t="s">
        <v>252</v>
      </c>
      <c r="G326">
        <v>6.1679396000000004</v>
      </c>
      <c r="H326">
        <v>-75.578613000000004</v>
      </c>
      <c r="J326">
        <v>11</v>
      </c>
      <c r="M326">
        <v>228</v>
      </c>
      <c r="N326">
        <v>61</v>
      </c>
      <c r="O326">
        <v>48</v>
      </c>
      <c r="P326">
        <v>28</v>
      </c>
      <c r="Q326">
        <v>38</v>
      </c>
      <c r="R326">
        <v>69</v>
      </c>
    </row>
    <row r="327" spans="1:18" x14ac:dyDescent="0.25">
      <c r="A327" t="s">
        <v>401</v>
      </c>
      <c r="B327" t="s">
        <v>52</v>
      </c>
      <c r="C327" t="s">
        <v>395</v>
      </c>
      <c r="D327" t="s">
        <v>52</v>
      </c>
      <c r="E327" t="s">
        <v>78</v>
      </c>
      <c r="F327" t="s">
        <v>252</v>
      </c>
      <c r="G327">
        <v>6.1679396000000004</v>
      </c>
      <c r="H327">
        <v>-75.578613000000004</v>
      </c>
      <c r="J327">
        <v>11</v>
      </c>
      <c r="M327">
        <v>220</v>
      </c>
      <c r="N327">
        <v>39</v>
      </c>
      <c r="O327">
        <v>32</v>
      </c>
      <c r="P327">
        <v>52</v>
      </c>
      <c r="Q327">
        <v>43</v>
      </c>
      <c r="R327">
        <v>75</v>
      </c>
    </row>
    <row r="328" spans="1:18" x14ac:dyDescent="0.25">
      <c r="A328" t="s">
        <v>402</v>
      </c>
      <c r="B328" t="s">
        <v>52</v>
      </c>
      <c r="C328" t="s">
        <v>395</v>
      </c>
      <c r="D328" t="s">
        <v>52</v>
      </c>
      <c r="E328" t="s">
        <v>78</v>
      </c>
      <c r="F328" t="s">
        <v>252</v>
      </c>
      <c r="G328">
        <v>6.1679396000000004</v>
      </c>
      <c r="H328">
        <v>-75.578613000000004</v>
      </c>
      <c r="J328">
        <v>11</v>
      </c>
      <c r="M328">
        <v>214</v>
      </c>
      <c r="N328">
        <v>54</v>
      </c>
      <c r="O328">
        <v>34</v>
      </c>
      <c r="P328">
        <v>48</v>
      </c>
      <c r="Q328">
        <v>36</v>
      </c>
      <c r="R328">
        <v>42</v>
      </c>
    </row>
    <row r="329" spans="1:18" x14ac:dyDescent="0.25">
      <c r="A329" t="s">
        <v>403</v>
      </c>
      <c r="B329" t="s">
        <v>52</v>
      </c>
      <c r="C329" t="s">
        <v>395</v>
      </c>
      <c r="D329" t="s">
        <v>52</v>
      </c>
      <c r="E329" t="s">
        <v>78</v>
      </c>
      <c r="F329" t="s">
        <v>252</v>
      </c>
      <c r="G329">
        <v>6.1679396000000004</v>
      </c>
      <c r="H329">
        <v>-75.578613000000004</v>
      </c>
      <c r="J329">
        <v>11</v>
      </c>
      <c r="M329">
        <v>214</v>
      </c>
      <c r="N329">
        <v>54</v>
      </c>
      <c r="O329">
        <v>32</v>
      </c>
      <c r="P329">
        <v>50</v>
      </c>
      <c r="Q329">
        <v>36</v>
      </c>
      <c r="R329">
        <v>42</v>
      </c>
    </row>
    <row r="330" spans="1:18" x14ac:dyDescent="0.25">
      <c r="A330" t="s">
        <v>404</v>
      </c>
      <c r="B330" t="s">
        <v>52</v>
      </c>
      <c r="C330" t="s">
        <v>395</v>
      </c>
      <c r="D330" t="s">
        <v>52</v>
      </c>
      <c r="E330" t="s">
        <v>78</v>
      </c>
      <c r="F330" t="s">
        <v>252</v>
      </c>
      <c r="G330">
        <v>6.1679396000000004</v>
      </c>
      <c r="H330">
        <v>-75.578613000000004</v>
      </c>
      <c r="J330">
        <v>11</v>
      </c>
      <c r="M330">
        <v>211</v>
      </c>
      <c r="N330">
        <v>46</v>
      </c>
      <c r="O330">
        <v>26</v>
      </c>
      <c r="P330">
        <v>52</v>
      </c>
      <c r="Q330">
        <v>45</v>
      </c>
      <c r="R330">
        <v>42</v>
      </c>
    </row>
    <row r="331" spans="1:18" x14ac:dyDescent="0.25">
      <c r="A331" t="s">
        <v>405</v>
      </c>
      <c r="B331" t="s">
        <v>52</v>
      </c>
      <c r="C331" t="s">
        <v>395</v>
      </c>
      <c r="D331" t="s">
        <v>52</v>
      </c>
      <c r="E331" t="s">
        <v>78</v>
      </c>
      <c r="F331" t="s">
        <v>252</v>
      </c>
      <c r="G331">
        <v>6.1679396000000004</v>
      </c>
      <c r="H331">
        <v>-75.578613000000004</v>
      </c>
      <c r="J331">
        <v>11</v>
      </c>
      <c r="M331">
        <v>208</v>
      </c>
      <c r="N331">
        <v>51</v>
      </c>
      <c r="O331">
        <v>26</v>
      </c>
      <c r="P331">
        <v>44</v>
      </c>
      <c r="Q331">
        <v>41</v>
      </c>
      <c r="R331">
        <v>53</v>
      </c>
    </row>
    <row r="332" spans="1:18" x14ac:dyDescent="0.25">
      <c r="A332" t="s">
        <v>406</v>
      </c>
      <c r="B332" t="s">
        <v>52</v>
      </c>
      <c r="C332" t="s">
        <v>395</v>
      </c>
      <c r="D332" t="s">
        <v>52</v>
      </c>
      <c r="E332" t="s">
        <v>78</v>
      </c>
      <c r="F332" t="s">
        <v>252</v>
      </c>
      <c r="G332">
        <v>6.1679396000000004</v>
      </c>
      <c r="H332">
        <v>-75.578613000000004</v>
      </c>
      <c r="J332">
        <v>11</v>
      </c>
      <c r="M332">
        <v>195</v>
      </c>
      <c r="N332">
        <v>49</v>
      </c>
      <c r="O332">
        <v>38</v>
      </c>
      <c r="P332">
        <v>28</v>
      </c>
      <c r="Q332">
        <v>43</v>
      </c>
      <c r="R332">
        <v>33</v>
      </c>
    </row>
    <row r="333" spans="1:18" x14ac:dyDescent="0.25">
      <c r="A333" t="s">
        <v>407</v>
      </c>
      <c r="B333" t="s">
        <v>52</v>
      </c>
      <c r="C333" t="s">
        <v>395</v>
      </c>
      <c r="D333" t="s">
        <v>52</v>
      </c>
      <c r="E333" t="s">
        <v>78</v>
      </c>
      <c r="F333" t="s">
        <v>252</v>
      </c>
      <c r="G333">
        <v>6.1679396000000004</v>
      </c>
      <c r="H333">
        <v>-75.578613000000004</v>
      </c>
      <c r="J333">
        <v>11</v>
      </c>
      <c r="M333">
        <v>184</v>
      </c>
      <c r="N333">
        <v>44</v>
      </c>
      <c r="O333">
        <v>32</v>
      </c>
      <c r="P333">
        <v>50</v>
      </c>
      <c r="Q333">
        <v>22</v>
      </c>
      <c r="R333">
        <v>33</v>
      </c>
    </row>
    <row r="334" spans="1:18" x14ac:dyDescent="0.25">
      <c r="A334" t="s">
        <v>408</v>
      </c>
      <c r="B334" t="s">
        <v>52</v>
      </c>
      <c r="C334" t="s">
        <v>409</v>
      </c>
      <c r="D334" t="s">
        <v>52</v>
      </c>
      <c r="E334" t="s">
        <v>78</v>
      </c>
      <c r="F334" t="s">
        <v>252</v>
      </c>
      <c r="G334">
        <v>6.1715726000000002</v>
      </c>
      <c r="H334">
        <v>-75.590899399999998</v>
      </c>
      <c r="J334">
        <v>11</v>
      </c>
      <c r="M334">
        <v>341</v>
      </c>
      <c r="N334">
        <v>80</v>
      </c>
      <c r="O334">
        <v>46</v>
      </c>
      <c r="P334">
        <v>88</v>
      </c>
      <c r="Q334">
        <v>52</v>
      </c>
      <c r="R334">
        <v>89</v>
      </c>
    </row>
    <row r="335" spans="1:18" x14ac:dyDescent="0.25">
      <c r="A335" t="s">
        <v>410</v>
      </c>
      <c r="B335" t="s">
        <v>52</v>
      </c>
      <c r="C335" t="s">
        <v>409</v>
      </c>
      <c r="D335" t="s">
        <v>52</v>
      </c>
      <c r="E335" t="s">
        <v>78</v>
      </c>
      <c r="F335" t="s">
        <v>252</v>
      </c>
      <c r="G335">
        <v>6.1715726000000002</v>
      </c>
      <c r="H335">
        <v>-75.590899399999998</v>
      </c>
      <c r="J335">
        <v>11</v>
      </c>
      <c r="M335">
        <v>341</v>
      </c>
      <c r="N335">
        <v>83</v>
      </c>
      <c r="O335">
        <v>46</v>
      </c>
      <c r="P335">
        <v>82</v>
      </c>
      <c r="Q335">
        <v>55</v>
      </c>
      <c r="R335">
        <v>89</v>
      </c>
    </row>
    <row r="336" spans="1:18" x14ac:dyDescent="0.25">
      <c r="A336" t="s">
        <v>411</v>
      </c>
      <c r="B336" t="s">
        <v>52</v>
      </c>
      <c r="C336" t="s">
        <v>409</v>
      </c>
      <c r="D336" t="s">
        <v>52</v>
      </c>
      <c r="E336" t="s">
        <v>78</v>
      </c>
      <c r="F336" t="s">
        <v>252</v>
      </c>
      <c r="G336">
        <v>6.1715726000000002</v>
      </c>
      <c r="H336">
        <v>-75.590899399999998</v>
      </c>
      <c r="J336">
        <v>11</v>
      </c>
      <c r="M336">
        <v>332</v>
      </c>
      <c r="N336">
        <v>66</v>
      </c>
      <c r="O336">
        <v>40</v>
      </c>
      <c r="P336">
        <v>88</v>
      </c>
      <c r="Q336">
        <v>64</v>
      </c>
      <c r="R336">
        <v>91</v>
      </c>
    </row>
    <row r="337" spans="1:18" x14ac:dyDescent="0.25">
      <c r="A337" t="s">
        <v>412</v>
      </c>
      <c r="B337" t="s">
        <v>52</v>
      </c>
      <c r="C337" t="s">
        <v>409</v>
      </c>
      <c r="D337" t="s">
        <v>52</v>
      </c>
      <c r="E337" t="s">
        <v>78</v>
      </c>
      <c r="F337" t="s">
        <v>252</v>
      </c>
      <c r="G337">
        <v>6.1715726000000002</v>
      </c>
      <c r="H337">
        <v>-75.590899399999998</v>
      </c>
      <c r="J337">
        <v>11</v>
      </c>
      <c r="M337">
        <v>328</v>
      </c>
      <c r="N337">
        <v>80</v>
      </c>
      <c r="O337">
        <v>22</v>
      </c>
      <c r="P337">
        <v>70</v>
      </c>
      <c r="Q337">
        <v>88</v>
      </c>
      <c r="R337">
        <v>71</v>
      </c>
    </row>
    <row r="338" spans="1:18" x14ac:dyDescent="0.25">
      <c r="A338" t="s">
        <v>413</v>
      </c>
      <c r="B338" t="s">
        <v>52</v>
      </c>
      <c r="C338" t="s">
        <v>409</v>
      </c>
      <c r="D338" t="s">
        <v>52</v>
      </c>
      <c r="E338" t="s">
        <v>78</v>
      </c>
      <c r="F338" t="s">
        <v>252</v>
      </c>
      <c r="G338">
        <v>6.1715726000000002</v>
      </c>
      <c r="H338">
        <v>-75.590899399999998</v>
      </c>
      <c r="J338">
        <v>11</v>
      </c>
      <c r="M338">
        <v>327</v>
      </c>
      <c r="N338">
        <v>73</v>
      </c>
      <c r="O338">
        <v>32</v>
      </c>
      <c r="P338">
        <v>80</v>
      </c>
      <c r="Q338">
        <v>69</v>
      </c>
      <c r="R338">
        <v>87</v>
      </c>
    </row>
    <row r="339" spans="1:18" x14ac:dyDescent="0.25">
      <c r="A339" t="s">
        <v>414</v>
      </c>
      <c r="B339" t="s">
        <v>52</v>
      </c>
      <c r="C339" t="s">
        <v>409</v>
      </c>
      <c r="D339" t="s">
        <v>52</v>
      </c>
      <c r="E339" t="s">
        <v>78</v>
      </c>
      <c r="F339" t="s">
        <v>252</v>
      </c>
      <c r="G339">
        <v>6.1715726000000002</v>
      </c>
      <c r="H339">
        <v>-75.590899399999998</v>
      </c>
      <c r="J339">
        <v>11</v>
      </c>
      <c r="M339">
        <v>320</v>
      </c>
      <c r="N339">
        <v>63</v>
      </c>
      <c r="O339">
        <v>54</v>
      </c>
      <c r="P339">
        <v>70</v>
      </c>
      <c r="Q339">
        <v>60</v>
      </c>
      <c r="R339">
        <v>89</v>
      </c>
    </row>
    <row r="340" spans="1:18" x14ac:dyDescent="0.25">
      <c r="A340" t="s">
        <v>415</v>
      </c>
      <c r="B340" t="s">
        <v>52</v>
      </c>
      <c r="C340" t="s">
        <v>409</v>
      </c>
      <c r="D340" t="s">
        <v>52</v>
      </c>
      <c r="E340" t="s">
        <v>78</v>
      </c>
      <c r="F340" t="s">
        <v>252</v>
      </c>
      <c r="G340">
        <v>6.1715726000000002</v>
      </c>
      <c r="H340">
        <v>-75.590899399999998</v>
      </c>
      <c r="J340">
        <v>11</v>
      </c>
      <c r="M340">
        <v>310</v>
      </c>
      <c r="N340">
        <v>66</v>
      </c>
      <c r="O340">
        <v>42</v>
      </c>
      <c r="P340">
        <v>74</v>
      </c>
      <c r="Q340">
        <v>67</v>
      </c>
      <c r="R340">
        <v>58</v>
      </c>
    </row>
    <row r="341" spans="1:18" x14ac:dyDescent="0.25">
      <c r="A341" t="s">
        <v>416</v>
      </c>
      <c r="B341" t="s">
        <v>52</v>
      </c>
      <c r="C341" t="s">
        <v>409</v>
      </c>
      <c r="D341" t="s">
        <v>52</v>
      </c>
      <c r="E341" t="s">
        <v>78</v>
      </c>
      <c r="F341" t="s">
        <v>252</v>
      </c>
      <c r="G341">
        <v>6.1715726000000002</v>
      </c>
      <c r="H341">
        <v>-75.590899399999998</v>
      </c>
      <c r="J341">
        <v>11</v>
      </c>
      <c r="M341">
        <v>307</v>
      </c>
      <c r="N341">
        <v>66</v>
      </c>
      <c r="O341">
        <v>40</v>
      </c>
      <c r="P341">
        <v>88</v>
      </c>
      <c r="Q341">
        <v>55</v>
      </c>
      <c r="R341">
        <v>51</v>
      </c>
    </row>
    <row r="342" spans="1:18" x14ac:dyDescent="0.25">
      <c r="A342" t="s">
        <v>417</v>
      </c>
      <c r="B342" t="s">
        <v>52</v>
      </c>
      <c r="C342" t="s">
        <v>409</v>
      </c>
      <c r="D342" t="s">
        <v>52</v>
      </c>
      <c r="E342" t="s">
        <v>78</v>
      </c>
      <c r="F342" t="s">
        <v>252</v>
      </c>
      <c r="G342">
        <v>6.1715726000000002</v>
      </c>
      <c r="H342">
        <v>-75.590899399999998</v>
      </c>
      <c r="J342">
        <v>11</v>
      </c>
      <c r="M342">
        <v>301</v>
      </c>
      <c r="N342">
        <v>68</v>
      </c>
      <c r="O342">
        <v>40</v>
      </c>
      <c r="P342">
        <v>70</v>
      </c>
      <c r="Q342">
        <v>60</v>
      </c>
      <c r="R342">
        <v>67</v>
      </c>
    </row>
    <row r="343" spans="1:18" x14ac:dyDescent="0.25">
      <c r="A343" t="s">
        <v>418</v>
      </c>
      <c r="B343" t="s">
        <v>52</v>
      </c>
      <c r="C343" t="s">
        <v>409</v>
      </c>
      <c r="D343" t="s">
        <v>52</v>
      </c>
      <c r="E343" t="s">
        <v>78</v>
      </c>
      <c r="F343" t="s">
        <v>252</v>
      </c>
      <c r="G343">
        <v>6.1715726000000002</v>
      </c>
      <c r="H343">
        <v>-75.590899399999998</v>
      </c>
      <c r="J343">
        <v>11</v>
      </c>
      <c r="M343">
        <v>300</v>
      </c>
      <c r="N343">
        <v>68</v>
      </c>
      <c r="O343">
        <v>40</v>
      </c>
      <c r="P343">
        <v>72</v>
      </c>
      <c r="Q343">
        <v>55</v>
      </c>
      <c r="R343">
        <v>73</v>
      </c>
    </row>
    <row r="344" spans="1:18" x14ac:dyDescent="0.25">
      <c r="A344" t="s">
        <v>419</v>
      </c>
      <c r="B344" t="s">
        <v>52</v>
      </c>
      <c r="C344" t="s">
        <v>409</v>
      </c>
      <c r="D344" t="s">
        <v>52</v>
      </c>
      <c r="E344" t="s">
        <v>78</v>
      </c>
      <c r="F344" t="s">
        <v>252</v>
      </c>
      <c r="G344">
        <v>6.1715726000000002</v>
      </c>
      <c r="H344">
        <v>-75.590899399999998</v>
      </c>
      <c r="J344">
        <v>11</v>
      </c>
      <c r="M344">
        <v>292</v>
      </c>
      <c r="N344">
        <v>73</v>
      </c>
      <c r="O344">
        <v>38</v>
      </c>
      <c r="P344">
        <v>68</v>
      </c>
      <c r="Q344">
        <v>48</v>
      </c>
      <c r="R344">
        <v>76</v>
      </c>
    </row>
    <row r="345" spans="1:18" x14ac:dyDescent="0.25">
      <c r="A345" t="s">
        <v>420</v>
      </c>
      <c r="B345" t="s">
        <v>52</v>
      </c>
      <c r="C345" t="s">
        <v>409</v>
      </c>
      <c r="D345" t="s">
        <v>52</v>
      </c>
      <c r="E345" t="s">
        <v>78</v>
      </c>
      <c r="F345" t="s">
        <v>252</v>
      </c>
      <c r="G345">
        <v>6.1715726000000002</v>
      </c>
      <c r="H345">
        <v>-75.590899399999998</v>
      </c>
      <c r="J345">
        <v>11</v>
      </c>
      <c r="M345">
        <v>286</v>
      </c>
      <c r="N345">
        <v>76</v>
      </c>
      <c r="O345">
        <v>30</v>
      </c>
      <c r="P345">
        <v>72</v>
      </c>
      <c r="Q345">
        <v>50</v>
      </c>
      <c r="R345">
        <v>60</v>
      </c>
    </row>
    <row r="346" spans="1:18" x14ac:dyDescent="0.25">
      <c r="A346" t="s">
        <v>421</v>
      </c>
      <c r="B346" t="s">
        <v>52</v>
      </c>
      <c r="C346" t="s">
        <v>409</v>
      </c>
      <c r="D346" t="s">
        <v>52</v>
      </c>
      <c r="E346" t="s">
        <v>78</v>
      </c>
      <c r="F346" t="s">
        <v>252</v>
      </c>
      <c r="G346">
        <v>6.1715726000000002</v>
      </c>
      <c r="H346">
        <v>-75.590899399999998</v>
      </c>
      <c r="J346">
        <v>11</v>
      </c>
      <c r="M346">
        <v>267</v>
      </c>
      <c r="N346">
        <v>59</v>
      </c>
      <c r="O346">
        <v>36</v>
      </c>
      <c r="P346">
        <v>74</v>
      </c>
      <c r="Q346">
        <v>52</v>
      </c>
      <c r="R346">
        <v>33</v>
      </c>
    </row>
    <row r="347" spans="1:18" x14ac:dyDescent="0.25">
      <c r="A347" t="s">
        <v>422</v>
      </c>
      <c r="B347" t="s">
        <v>52</v>
      </c>
      <c r="C347" t="s">
        <v>409</v>
      </c>
      <c r="D347" t="s">
        <v>52</v>
      </c>
      <c r="E347" t="s">
        <v>78</v>
      </c>
      <c r="F347" t="s">
        <v>252</v>
      </c>
      <c r="G347">
        <v>6.1715726000000002</v>
      </c>
      <c r="H347">
        <v>-75.590899399999998</v>
      </c>
      <c r="J347">
        <v>11</v>
      </c>
      <c r="M347">
        <v>267</v>
      </c>
      <c r="N347">
        <v>68</v>
      </c>
      <c r="O347">
        <v>48</v>
      </c>
      <c r="P347">
        <v>34</v>
      </c>
      <c r="Q347">
        <v>52</v>
      </c>
      <c r="R347">
        <v>87</v>
      </c>
    </row>
    <row r="348" spans="1:18" x14ac:dyDescent="0.25">
      <c r="A348" t="s">
        <v>423</v>
      </c>
      <c r="B348" t="s">
        <v>52</v>
      </c>
      <c r="C348" t="s">
        <v>409</v>
      </c>
      <c r="D348" t="s">
        <v>52</v>
      </c>
      <c r="E348" t="s">
        <v>78</v>
      </c>
      <c r="F348" t="s">
        <v>252</v>
      </c>
      <c r="G348">
        <v>6.1715726000000002</v>
      </c>
      <c r="H348">
        <v>-75.590899399999998</v>
      </c>
      <c r="J348">
        <v>11</v>
      </c>
      <c r="M348">
        <v>266</v>
      </c>
      <c r="N348">
        <v>49</v>
      </c>
      <c r="O348">
        <v>44</v>
      </c>
      <c r="P348">
        <v>70</v>
      </c>
      <c r="Q348">
        <v>50</v>
      </c>
      <c r="R348">
        <v>53</v>
      </c>
    </row>
    <row r="349" spans="1:18" x14ac:dyDescent="0.25">
      <c r="A349" t="s">
        <v>424</v>
      </c>
      <c r="B349" t="s">
        <v>52</v>
      </c>
      <c r="C349" t="s">
        <v>409</v>
      </c>
      <c r="D349" t="s">
        <v>52</v>
      </c>
      <c r="E349" t="s">
        <v>78</v>
      </c>
      <c r="F349" t="s">
        <v>252</v>
      </c>
      <c r="G349">
        <v>6.1715726000000002</v>
      </c>
      <c r="H349">
        <v>-75.590899399999998</v>
      </c>
      <c r="J349">
        <v>11</v>
      </c>
      <c r="M349">
        <v>265</v>
      </c>
      <c r="N349">
        <v>37</v>
      </c>
      <c r="O349">
        <v>38</v>
      </c>
      <c r="P349">
        <v>74</v>
      </c>
      <c r="Q349">
        <v>52</v>
      </c>
      <c r="R349">
        <v>89</v>
      </c>
    </row>
    <row r="350" spans="1:18" x14ac:dyDescent="0.25">
      <c r="A350" t="s">
        <v>425</v>
      </c>
      <c r="B350" t="s">
        <v>52</v>
      </c>
      <c r="C350" t="s">
        <v>409</v>
      </c>
      <c r="D350" t="s">
        <v>52</v>
      </c>
      <c r="E350" t="s">
        <v>78</v>
      </c>
      <c r="F350" t="s">
        <v>252</v>
      </c>
      <c r="G350">
        <v>6.1715726000000002</v>
      </c>
      <c r="H350">
        <v>-75.590899399999998</v>
      </c>
      <c r="J350">
        <v>11</v>
      </c>
      <c r="M350">
        <v>256</v>
      </c>
      <c r="N350">
        <v>41</v>
      </c>
      <c r="O350">
        <v>44</v>
      </c>
      <c r="P350">
        <v>56</v>
      </c>
      <c r="Q350">
        <v>53</v>
      </c>
      <c r="R350">
        <v>80</v>
      </c>
    </row>
    <row r="351" spans="1:18" x14ac:dyDescent="0.25">
      <c r="A351" t="s">
        <v>426</v>
      </c>
      <c r="B351" t="s">
        <v>52</v>
      </c>
      <c r="C351" t="s">
        <v>409</v>
      </c>
      <c r="D351" t="s">
        <v>52</v>
      </c>
      <c r="E351" t="s">
        <v>78</v>
      </c>
      <c r="F351" t="s">
        <v>252</v>
      </c>
      <c r="G351">
        <v>6.1715726000000002</v>
      </c>
      <c r="H351">
        <v>-75.590899399999998</v>
      </c>
      <c r="J351">
        <v>11</v>
      </c>
      <c r="M351">
        <v>255</v>
      </c>
      <c r="N351">
        <v>68</v>
      </c>
      <c r="O351">
        <v>36</v>
      </c>
      <c r="P351">
        <v>60</v>
      </c>
      <c r="Q351">
        <v>31</v>
      </c>
      <c r="R351">
        <v>76</v>
      </c>
    </row>
    <row r="352" spans="1:18" x14ac:dyDescent="0.25">
      <c r="A352" t="s">
        <v>427</v>
      </c>
      <c r="B352" t="s">
        <v>52</v>
      </c>
      <c r="C352" t="s">
        <v>409</v>
      </c>
      <c r="D352" t="s">
        <v>52</v>
      </c>
      <c r="E352" t="s">
        <v>78</v>
      </c>
      <c r="F352" t="s">
        <v>252</v>
      </c>
      <c r="G352">
        <v>6.1715726000000002</v>
      </c>
      <c r="H352">
        <v>-75.590899399999998</v>
      </c>
      <c r="J352">
        <v>11</v>
      </c>
      <c r="M352">
        <v>253</v>
      </c>
      <c r="N352">
        <v>54</v>
      </c>
      <c r="O352">
        <v>44</v>
      </c>
      <c r="P352">
        <v>40</v>
      </c>
      <c r="Q352">
        <v>52</v>
      </c>
      <c r="R352">
        <v>89</v>
      </c>
    </row>
    <row r="353" spans="1:18" x14ac:dyDescent="0.25">
      <c r="A353" t="s">
        <v>428</v>
      </c>
      <c r="B353" t="s">
        <v>52</v>
      </c>
      <c r="C353" t="s">
        <v>409</v>
      </c>
      <c r="D353" t="s">
        <v>52</v>
      </c>
      <c r="E353" t="s">
        <v>78</v>
      </c>
      <c r="F353" t="s">
        <v>252</v>
      </c>
      <c r="G353">
        <v>6.1715726000000002</v>
      </c>
      <c r="H353">
        <v>-75.590899399999998</v>
      </c>
      <c r="J353">
        <v>11</v>
      </c>
      <c r="M353">
        <v>252</v>
      </c>
      <c r="N353">
        <v>66</v>
      </c>
      <c r="O353">
        <v>24</v>
      </c>
      <c r="P353">
        <v>58</v>
      </c>
      <c r="Q353">
        <v>48</v>
      </c>
      <c r="R353">
        <v>67</v>
      </c>
    </row>
    <row r="354" spans="1:18" x14ac:dyDescent="0.25">
      <c r="A354" t="s">
        <v>429</v>
      </c>
      <c r="B354" t="s">
        <v>52</v>
      </c>
      <c r="C354" t="s">
        <v>409</v>
      </c>
      <c r="D354" t="s">
        <v>52</v>
      </c>
      <c r="E354" t="s">
        <v>78</v>
      </c>
      <c r="F354" t="s">
        <v>252</v>
      </c>
      <c r="G354">
        <v>6.1715726000000002</v>
      </c>
      <c r="H354">
        <v>-75.590899399999998</v>
      </c>
      <c r="J354">
        <v>11</v>
      </c>
      <c r="M354">
        <v>247</v>
      </c>
      <c r="N354">
        <v>54</v>
      </c>
      <c r="O354">
        <v>34</v>
      </c>
      <c r="P354">
        <v>50</v>
      </c>
      <c r="Q354">
        <v>48</v>
      </c>
      <c r="R354">
        <v>85</v>
      </c>
    </row>
    <row r="355" spans="1:18" x14ac:dyDescent="0.25">
      <c r="A355" t="s">
        <v>430</v>
      </c>
      <c r="B355" t="s">
        <v>52</v>
      </c>
      <c r="C355" t="s">
        <v>409</v>
      </c>
      <c r="D355" t="s">
        <v>52</v>
      </c>
      <c r="E355" t="s">
        <v>78</v>
      </c>
      <c r="F355" t="s">
        <v>252</v>
      </c>
      <c r="G355">
        <v>6.1715726000000002</v>
      </c>
      <c r="H355">
        <v>-75.590899399999998</v>
      </c>
      <c r="J355">
        <v>11</v>
      </c>
      <c r="M355">
        <v>247</v>
      </c>
      <c r="N355">
        <v>63</v>
      </c>
      <c r="O355">
        <v>28</v>
      </c>
      <c r="P355">
        <v>48</v>
      </c>
      <c r="Q355">
        <v>55</v>
      </c>
      <c r="R355">
        <v>58</v>
      </c>
    </row>
    <row r="356" spans="1:18" x14ac:dyDescent="0.25">
      <c r="A356" t="s">
        <v>431</v>
      </c>
      <c r="B356" t="s">
        <v>52</v>
      </c>
      <c r="C356" t="s">
        <v>409</v>
      </c>
      <c r="D356" t="s">
        <v>52</v>
      </c>
      <c r="E356" t="s">
        <v>78</v>
      </c>
      <c r="F356" t="s">
        <v>252</v>
      </c>
      <c r="G356">
        <v>6.1715726000000002</v>
      </c>
      <c r="H356">
        <v>-75.590899399999998</v>
      </c>
      <c r="J356">
        <v>11</v>
      </c>
      <c r="M356">
        <v>240</v>
      </c>
      <c r="N356">
        <v>56</v>
      </c>
      <c r="O356">
        <v>42</v>
      </c>
      <c r="P356">
        <v>52</v>
      </c>
      <c r="Q356">
        <v>38</v>
      </c>
      <c r="R356">
        <v>60</v>
      </c>
    </row>
    <row r="357" spans="1:18" x14ac:dyDescent="0.25">
      <c r="A357" t="s">
        <v>432</v>
      </c>
      <c r="B357" t="s">
        <v>52</v>
      </c>
      <c r="C357" t="s">
        <v>409</v>
      </c>
      <c r="D357" t="s">
        <v>52</v>
      </c>
      <c r="E357" t="s">
        <v>78</v>
      </c>
      <c r="F357" t="s">
        <v>252</v>
      </c>
      <c r="G357">
        <v>6.1715726000000002</v>
      </c>
      <c r="H357">
        <v>-75.590899399999998</v>
      </c>
      <c r="J357">
        <v>11</v>
      </c>
      <c r="M357">
        <v>239</v>
      </c>
      <c r="N357">
        <v>63</v>
      </c>
      <c r="O357">
        <v>30</v>
      </c>
      <c r="P357">
        <v>50</v>
      </c>
      <c r="Q357">
        <v>36</v>
      </c>
      <c r="R357">
        <v>82</v>
      </c>
    </row>
    <row r="358" spans="1:18" x14ac:dyDescent="0.25">
      <c r="A358" t="s">
        <v>433</v>
      </c>
      <c r="B358" t="s">
        <v>52</v>
      </c>
      <c r="C358" t="s">
        <v>409</v>
      </c>
      <c r="D358" t="s">
        <v>52</v>
      </c>
      <c r="E358" t="s">
        <v>78</v>
      </c>
      <c r="F358" t="s">
        <v>252</v>
      </c>
      <c r="G358">
        <v>6.1715726000000002</v>
      </c>
      <c r="H358">
        <v>-75.590899399999998</v>
      </c>
      <c r="J358">
        <v>11</v>
      </c>
      <c r="M358">
        <v>238</v>
      </c>
      <c r="N358">
        <v>61</v>
      </c>
      <c r="O358">
        <v>44</v>
      </c>
      <c r="P358">
        <v>42</v>
      </c>
      <c r="Q358">
        <v>33</v>
      </c>
      <c r="R358">
        <v>80</v>
      </c>
    </row>
    <row r="359" spans="1:18" x14ac:dyDescent="0.25">
      <c r="A359" t="s">
        <v>434</v>
      </c>
      <c r="B359" t="s">
        <v>52</v>
      </c>
      <c r="C359" t="s">
        <v>409</v>
      </c>
      <c r="D359" t="s">
        <v>52</v>
      </c>
      <c r="E359" t="s">
        <v>78</v>
      </c>
      <c r="F359" t="s">
        <v>252</v>
      </c>
      <c r="G359">
        <v>6.1715726000000002</v>
      </c>
      <c r="H359">
        <v>-75.590899399999998</v>
      </c>
      <c r="J359">
        <v>11</v>
      </c>
      <c r="M359">
        <v>238</v>
      </c>
      <c r="N359">
        <v>46</v>
      </c>
      <c r="O359">
        <v>44</v>
      </c>
      <c r="P359">
        <v>52</v>
      </c>
      <c r="Q359">
        <v>45</v>
      </c>
      <c r="R359">
        <v>56</v>
      </c>
    </row>
    <row r="360" spans="1:18" x14ac:dyDescent="0.25">
      <c r="A360" t="s">
        <v>435</v>
      </c>
      <c r="B360" t="s">
        <v>52</v>
      </c>
      <c r="C360" t="s">
        <v>409</v>
      </c>
      <c r="D360" t="s">
        <v>52</v>
      </c>
      <c r="E360" t="s">
        <v>78</v>
      </c>
      <c r="F360" t="s">
        <v>252</v>
      </c>
      <c r="G360">
        <v>6.1715726000000002</v>
      </c>
      <c r="H360">
        <v>-75.590899399999998</v>
      </c>
      <c r="J360">
        <v>11</v>
      </c>
      <c r="M360">
        <v>234</v>
      </c>
      <c r="N360">
        <v>59</v>
      </c>
      <c r="O360">
        <v>32</v>
      </c>
      <c r="P360">
        <v>46</v>
      </c>
      <c r="Q360">
        <v>47</v>
      </c>
      <c r="R360">
        <v>58</v>
      </c>
    </row>
    <row r="361" spans="1:18" x14ac:dyDescent="0.25">
      <c r="A361" t="s">
        <v>436</v>
      </c>
      <c r="B361" t="s">
        <v>52</v>
      </c>
      <c r="C361" t="s">
        <v>409</v>
      </c>
      <c r="D361" t="s">
        <v>52</v>
      </c>
      <c r="E361" t="s">
        <v>78</v>
      </c>
      <c r="F361" t="s">
        <v>252</v>
      </c>
      <c r="G361">
        <v>6.1715726000000002</v>
      </c>
      <c r="H361">
        <v>-75.590899399999998</v>
      </c>
      <c r="J361">
        <v>11</v>
      </c>
      <c r="M361">
        <v>232</v>
      </c>
      <c r="N361">
        <v>61</v>
      </c>
      <c r="O361">
        <v>34</v>
      </c>
      <c r="P361">
        <v>34</v>
      </c>
      <c r="Q361">
        <v>48</v>
      </c>
      <c r="R361">
        <v>71</v>
      </c>
    </row>
    <row r="362" spans="1:18" x14ac:dyDescent="0.25">
      <c r="A362" t="s">
        <v>437</v>
      </c>
      <c r="B362" t="s">
        <v>52</v>
      </c>
      <c r="C362" t="s">
        <v>409</v>
      </c>
      <c r="D362" t="s">
        <v>52</v>
      </c>
      <c r="E362" t="s">
        <v>78</v>
      </c>
      <c r="F362" t="s">
        <v>252</v>
      </c>
      <c r="G362">
        <v>6.1715726000000002</v>
      </c>
      <c r="H362">
        <v>-75.590899399999998</v>
      </c>
      <c r="J362">
        <v>11</v>
      </c>
      <c r="M362">
        <v>232</v>
      </c>
      <c r="N362">
        <v>32</v>
      </c>
      <c r="O362">
        <v>42</v>
      </c>
      <c r="P362">
        <v>64</v>
      </c>
      <c r="Q362">
        <v>43</v>
      </c>
      <c r="R362">
        <v>60</v>
      </c>
    </row>
    <row r="363" spans="1:18" x14ac:dyDescent="0.25">
      <c r="A363" t="s">
        <v>438</v>
      </c>
      <c r="B363" t="s">
        <v>52</v>
      </c>
      <c r="C363" t="s">
        <v>409</v>
      </c>
      <c r="D363" t="s">
        <v>52</v>
      </c>
      <c r="E363" t="s">
        <v>78</v>
      </c>
      <c r="F363" t="s">
        <v>252</v>
      </c>
      <c r="G363">
        <v>6.1715726000000002</v>
      </c>
      <c r="H363">
        <v>-75.590899399999998</v>
      </c>
      <c r="J363">
        <v>11</v>
      </c>
      <c r="M363">
        <v>232</v>
      </c>
      <c r="N363">
        <v>51</v>
      </c>
      <c r="O363">
        <v>46</v>
      </c>
      <c r="P363">
        <v>36</v>
      </c>
      <c r="Q363">
        <v>40</v>
      </c>
      <c r="R363">
        <v>84</v>
      </c>
    </row>
    <row r="364" spans="1:18" x14ac:dyDescent="0.25">
      <c r="A364" t="s">
        <v>439</v>
      </c>
      <c r="B364" t="s">
        <v>52</v>
      </c>
      <c r="C364" t="s">
        <v>409</v>
      </c>
      <c r="D364" t="s">
        <v>52</v>
      </c>
      <c r="E364" t="s">
        <v>78</v>
      </c>
      <c r="F364" t="s">
        <v>252</v>
      </c>
      <c r="G364">
        <v>6.1715726000000002</v>
      </c>
      <c r="H364">
        <v>-75.590899399999998</v>
      </c>
      <c r="J364">
        <v>11</v>
      </c>
      <c r="M364">
        <v>228</v>
      </c>
      <c r="N364">
        <v>37</v>
      </c>
      <c r="O364">
        <v>28</v>
      </c>
      <c r="P364">
        <v>66</v>
      </c>
      <c r="Q364">
        <v>55</v>
      </c>
      <c r="R364">
        <v>36</v>
      </c>
    </row>
    <row r="365" spans="1:18" x14ac:dyDescent="0.25">
      <c r="A365" t="s">
        <v>440</v>
      </c>
      <c r="B365" t="s">
        <v>52</v>
      </c>
      <c r="C365" t="s">
        <v>409</v>
      </c>
      <c r="D365" t="s">
        <v>52</v>
      </c>
      <c r="E365" t="s">
        <v>78</v>
      </c>
      <c r="F365" t="s">
        <v>252</v>
      </c>
      <c r="G365">
        <v>6.1715726000000002</v>
      </c>
      <c r="H365">
        <v>-75.590899399999998</v>
      </c>
      <c r="J365">
        <v>11</v>
      </c>
      <c r="M365">
        <v>227</v>
      </c>
      <c r="N365">
        <v>44</v>
      </c>
      <c r="O365">
        <v>38</v>
      </c>
      <c r="P365">
        <v>36</v>
      </c>
      <c r="Q365">
        <v>50</v>
      </c>
      <c r="R365">
        <v>85</v>
      </c>
    </row>
    <row r="366" spans="1:18" x14ac:dyDescent="0.25">
      <c r="A366" t="s">
        <v>441</v>
      </c>
      <c r="B366" t="s">
        <v>52</v>
      </c>
      <c r="C366" t="s">
        <v>409</v>
      </c>
      <c r="D366" t="s">
        <v>52</v>
      </c>
      <c r="E366" t="s">
        <v>78</v>
      </c>
      <c r="F366" t="s">
        <v>252</v>
      </c>
      <c r="G366">
        <v>6.1715726000000002</v>
      </c>
      <c r="H366">
        <v>-75.590899399999998</v>
      </c>
      <c r="J366">
        <v>11</v>
      </c>
      <c r="M366">
        <v>225</v>
      </c>
      <c r="N366">
        <v>66</v>
      </c>
      <c r="O366">
        <v>32</v>
      </c>
      <c r="P366">
        <v>38</v>
      </c>
      <c r="Q366">
        <v>34</v>
      </c>
      <c r="R366">
        <v>73</v>
      </c>
    </row>
    <row r="367" spans="1:18" x14ac:dyDescent="0.25">
      <c r="A367" t="s">
        <v>442</v>
      </c>
      <c r="B367" t="s">
        <v>52</v>
      </c>
      <c r="C367" t="s">
        <v>409</v>
      </c>
      <c r="D367" t="s">
        <v>52</v>
      </c>
      <c r="E367" t="s">
        <v>78</v>
      </c>
      <c r="F367" t="s">
        <v>252</v>
      </c>
      <c r="G367">
        <v>6.1715726000000002</v>
      </c>
      <c r="H367">
        <v>-75.590899399999998</v>
      </c>
      <c r="J367">
        <v>11</v>
      </c>
      <c r="M367">
        <v>223</v>
      </c>
      <c r="N367">
        <v>49</v>
      </c>
      <c r="O367">
        <v>24</v>
      </c>
      <c r="P367">
        <v>58</v>
      </c>
      <c r="Q367">
        <v>48</v>
      </c>
      <c r="R367">
        <v>44</v>
      </c>
    </row>
    <row r="368" spans="1:18" x14ac:dyDescent="0.25">
      <c r="A368" t="s">
        <v>443</v>
      </c>
      <c r="B368" t="s">
        <v>52</v>
      </c>
      <c r="C368" t="s">
        <v>409</v>
      </c>
      <c r="D368" t="s">
        <v>52</v>
      </c>
      <c r="E368" t="s">
        <v>78</v>
      </c>
      <c r="F368" t="s">
        <v>252</v>
      </c>
      <c r="G368">
        <v>6.1715726000000002</v>
      </c>
      <c r="H368">
        <v>-75.590899399999998</v>
      </c>
      <c r="J368">
        <v>11</v>
      </c>
      <c r="M368">
        <v>223</v>
      </c>
      <c r="N368">
        <v>51</v>
      </c>
      <c r="O368">
        <v>44</v>
      </c>
      <c r="P368">
        <v>36</v>
      </c>
      <c r="Q368">
        <v>31</v>
      </c>
      <c r="R368">
        <v>93</v>
      </c>
    </row>
    <row r="369" spans="1:18" x14ac:dyDescent="0.25">
      <c r="A369" t="s">
        <v>444</v>
      </c>
      <c r="B369" t="s">
        <v>52</v>
      </c>
      <c r="C369" t="s">
        <v>409</v>
      </c>
      <c r="D369" t="s">
        <v>52</v>
      </c>
      <c r="E369" t="s">
        <v>78</v>
      </c>
      <c r="F369" t="s">
        <v>252</v>
      </c>
      <c r="G369">
        <v>6.1715726000000002</v>
      </c>
      <c r="H369">
        <v>-75.590899399999998</v>
      </c>
      <c r="J369">
        <v>11</v>
      </c>
      <c r="M369">
        <v>223</v>
      </c>
      <c r="N369">
        <v>71</v>
      </c>
      <c r="O369">
        <v>34</v>
      </c>
      <c r="P369">
        <v>38</v>
      </c>
      <c r="Q369">
        <v>26</v>
      </c>
      <c r="R369">
        <v>73</v>
      </c>
    </row>
    <row r="370" spans="1:18" x14ac:dyDescent="0.25">
      <c r="A370" t="s">
        <v>445</v>
      </c>
      <c r="B370" t="s">
        <v>52</v>
      </c>
      <c r="C370" t="s">
        <v>409</v>
      </c>
      <c r="D370" t="s">
        <v>52</v>
      </c>
      <c r="E370" t="s">
        <v>78</v>
      </c>
      <c r="F370" t="s">
        <v>252</v>
      </c>
      <c r="G370">
        <v>6.1715726000000002</v>
      </c>
      <c r="H370">
        <v>-75.590899399999998</v>
      </c>
      <c r="J370">
        <v>11</v>
      </c>
      <c r="M370">
        <v>220</v>
      </c>
      <c r="N370">
        <v>63</v>
      </c>
      <c r="O370">
        <v>38</v>
      </c>
      <c r="P370">
        <v>34</v>
      </c>
      <c r="Q370">
        <v>40</v>
      </c>
      <c r="R370">
        <v>47</v>
      </c>
    </row>
    <row r="371" spans="1:18" x14ac:dyDescent="0.25">
      <c r="A371" t="s">
        <v>446</v>
      </c>
      <c r="B371" t="s">
        <v>52</v>
      </c>
      <c r="C371" t="s">
        <v>409</v>
      </c>
      <c r="D371" t="s">
        <v>52</v>
      </c>
      <c r="E371" t="s">
        <v>78</v>
      </c>
      <c r="F371" t="s">
        <v>252</v>
      </c>
      <c r="G371">
        <v>6.1715726000000002</v>
      </c>
      <c r="H371">
        <v>-75.590899399999998</v>
      </c>
      <c r="J371">
        <v>11</v>
      </c>
      <c r="M371">
        <v>219</v>
      </c>
      <c r="N371">
        <v>59</v>
      </c>
      <c r="O371">
        <v>28</v>
      </c>
      <c r="P371">
        <v>42</v>
      </c>
      <c r="Q371">
        <v>38</v>
      </c>
      <c r="R371">
        <v>71</v>
      </c>
    </row>
    <row r="372" spans="1:18" x14ac:dyDescent="0.25">
      <c r="A372" t="s">
        <v>447</v>
      </c>
      <c r="B372" t="s">
        <v>52</v>
      </c>
      <c r="C372" t="s">
        <v>409</v>
      </c>
      <c r="D372" t="s">
        <v>52</v>
      </c>
      <c r="E372" t="s">
        <v>78</v>
      </c>
      <c r="F372" t="s">
        <v>252</v>
      </c>
      <c r="G372">
        <v>6.1715726000000002</v>
      </c>
      <c r="H372">
        <v>-75.590899399999998</v>
      </c>
      <c r="J372">
        <v>11</v>
      </c>
      <c r="M372">
        <v>217</v>
      </c>
      <c r="N372">
        <v>56</v>
      </c>
      <c r="O372">
        <v>42</v>
      </c>
      <c r="P372">
        <v>30</v>
      </c>
      <c r="Q372">
        <v>29</v>
      </c>
      <c r="R372">
        <v>91</v>
      </c>
    </row>
    <row r="373" spans="1:18" x14ac:dyDescent="0.25">
      <c r="A373" t="s">
        <v>448</v>
      </c>
      <c r="B373" t="s">
        <v>52</v>
      </c>
      <c r="C373" t="s">
        <v>409</v>
      </c>
      <c r="D373" t="s">
        <v>52</v>
      </c>
      <c r="E373" t="s">
        <v>78</v>
      </c>
      <c r="F373" t="s">
        <v>252</v>
      </c>
      <c r="G373">
        <v>6.1715726000000002</v>
      </c>
      <c r="H373">
        <v>-75.590899399999998</v>
      </c>
      <c r="J373">
        <v>11</v>
      </c>
      <c r="M373">
        <v>215</v>
      </c>
      <c r="N373">
        <v>68</v>
      </c>
      <c r="O373">
        <v>34</v>
      </c>
      <c r="P373">
        <v>44</v>
      </c>
      <c r="Q373">
        <v>14</v>
      </c>
      <c r="R373">
        <v>80</v>
      </c>
    </row>
    <row r="374" spans="1:18" x14ac:dyDescent="0.25">
      <c r="A374" t="s">
        <v>449</v>
      </c>
      <c r="B374" t="s">
        <v>52</v>
      </c>
      <c r="C374" t="s">
        <v>409</v>
      </c>
      <c r="D374" t="s">
        <v>52</v>
      </c>
      <c r="E374" t="s">
        <v>78</v>
      </c>
      <c r="F374" t="s">
        <v>252</v>
      </c>
      <c r="G374">
        <v>6.1715726000000002</v>
      </c>
      <c r="H374">
        <v>-75.590899399999998</v>
      </c>
      <c r="J374">
        <v>11</v>
      </c>
      <c r="M374">
        <v>215</v>
      </c>
      <c r="N374">
        <v>49</v>
      </c>
      <c r="O374">
        <v>26</v>
      </c>
      <c r="P374">
        <v>40</v>
      </c>
      <c r="Q374">
        <v>45</v>
      </c>
      <c r="R374">
        <v>80</v>
      </c>
    </row>
    <row r="375" spans="1:18" x14ac:dyDescent="0.25">
      <c r="A375" t="s">
        <v>450</v>
      </c>
      <c r="B375" t="s">
        <v>52</v>
      </c>
      <c r="C375" t="s">
        <v>409</v>
      </c>
      <c r="D375" t="s">
        <v>52</v>
      </c>
      <c r="E375" t="s">
        <v>78</v>
      </c>
      <c r="F375" t="s">
        <v>252</v>
      </c>
      <c r="G375">
        <v>6.1715726000000002</v>
      </c>
      <c r="H375">
        <v>-75.590899399999998</v>
      </c>
      <c r="J375">
        <v>11</v>
      </c>
      <c r="M375">
        <v>214</v>
      </c>
      <c r="N375">
        <v>68</v>
      </c>
      <c r="O375">
        <v>32</v>
      </c>
      <c r="P375">
        <v>36</v>
      </c>
      <c r="Q375">
        <v>38</v>
      </c>
      <c r="R375">
        <v>35</v>
      </c>
    </row>
    <row r="376" spans="1:18" x14ac:dyDescent="0.25">
      <c r="A376" t="s">
        <v>451</v>
      </c>
      <c r="B376" t="s">
        <v>52</v>
      </c>
      <c r="C376" t="s">
        <v>409</v>
      </c>
      <c r="D376" t="s">
        <v>52</v>
      </c>
      <c r="E376" t="s">
        <v>78</v>
      </c>
      <c r="F376" t="s">
        <v>252</v>
      </c>
      <c r="G376">
        <v>6.1715726000000002</v>
      </c>
      <c r="H376">
        <v>-75.590899399999998</v>
      </c>
      <c r="J376">
        <v>11</v>
      </c>
      <c r="M376">
        <v>213</v>
      </c>
      <c r="N376">
        <v>29</v>
      </c>
      <c r="O376">
        <v>36</v>
      </c>
      <c r="P376">
        <v>66</v>
      </c>
      <c r="Q376">
        <v>34</v>
      </c>
      <c r="R376">
        <v>56</v>
      </c>
    </row>
    <row r="377" spans="1:18" x14ac:dyDescent="0.25">
      <c r="A377" t="s">
        <v>452</v>
      </c>
      <c r="B377" t="s">
        <v>52</v>
      </c>
      <c r="C377" t="s">
        <v>409</v>
      </c>
      <c r="D377" t="s">
        <v>52</v>
      </c>
      <c r="E377" t="s">
        <v>78</v>
      </c>
      <c r="F377" t="s">
        <v>252</v>
      </c>
      <c r="G377">
        <v>6.1715726000000002</v>
      </c>
      <c r="H377">
        <v>-75.590899399999998</v>
      </c>
      <c r="J377">
        <v>11</v>
      </c>
      <c r="M377">
        <v>212</v>
      </c>
      <c r="N377">
        <v>54</v>
      </c>
      <c r="O377">
        <v>26</v>
      </c>
      <c r="P377">
        <v>58</v>
      </c>
      <c r="Q377">
        <v>33</v>
      </c>
      <c r="R377">
        <v>40</v>
      </c>
    </row>
    <row r="378" spans="1:18" x14ac:dyDescent="0.25">
      <c r="A378" t="s">
        <v>453</v>
      </c>
      <c r="B378" t="s">
        <v>52</v>
      </c>
      <c r="C378" t="s">
        <v>409</v>
      </c>
      <c r="D378" t="s">
        <v>52</v>
      </c>
      <c r="E378" t="s">
        <v>78</v>
      </c>
      <c r="F378" t="s">
        <v>252</v>
      </c>
      <c r="G378">
        <v>6.1715726000000002</v>
      </c>
      <c r="H378">
        <v>-75.590899399999998</v>
      </c>
      <c r="J378">
        <v>11</v>
      </c>
      <c r="M378">
        <v>212</v>
      </c>
      <c r="N378">
        <v>61</v>
      </c>
      <c r="O378">
        <v>36</v>
      </c>
      <c r="P378">
        <v>38</v>
      </c>
      <c r="Q378">
        <v>33</v>
      </c>
      <c r="R378">
        <v>47</v>
      </c>
    </row>
    <row r="379" spans="1:18" x14ac:dyDescent="0.25">
      <c r="A379" t="s">
        <v>454</v>
      </c>
      <c r="B379" t="s">
        <v>52</v>
      </c>
      <c r="C379" t="s">
        <v>409</v>
      </c>
      <c r="D379" t="s">
        <v>52</v>
      </c>
      <c r="E379" t="s">
        <v>78</v>
      </c>
      <c r="F379" t="s">
        <v>252</v>
      </c>
      <c r="G379">
        <v>6.1715726000000002</v>
      </c>
      <c r="H379">
        <v>-75.590899399999998</v>
      </c>
      <c r="J379">
        <v>11</v>
      </c>
      <c r="M379">
        <v>211</v>
      </c>
      <c r="N379">
        <v>41</v>
      </c>
      <c r="O379">
        <v>30</v>
      </c>
      <c r="P379">
        <v>36</v>
      </c>
      <c r="Q379">
        <v>45</v>
      </c>
      <c r="R379">
        <v>93</v>
      </c>
    </row>
    <row r="380" spans="1:18" x14ac:dyDescent="0.25">
      <c r="A380" t="s">
        <v>455</v>
      </c>
      <c r="B380" t="s">
        <v>52</v>
      </c>
      <c r="C380" t="s">
        <v>409</v>
      </c>
      <c r="D380" t="s">
        <v>52</v>
      </c>
      <c r="E380" t="s">
        <v>78</v>
      </c>
      <c r="F380" t="s">
        <v>252</v>
      </c>
      <c r="G380">
        <v>6.1715726000000002</v>
      </c>
      <c r="H380">
        <v>-75.590899399999998</v>
      </c>
      <c r="J380">
        <v>11</v>
      </c>
      <c r="M380">
        <v>209</v>
      </c>
      <c r="N380">
        <v>61</v>
      </c>
      <c r="O380">
        <v>28</v>
      </c>
      <c r="P380">
        <v>48</v>
      </c>
      <c r="Q380">
        <v>24</v>
      </c>
      <c r="R380">
        <v>60</v>
      </c>
    </row>
    <row r="381" spans="1:18" x14ac:dyDescent="0.25">
      <c r="A381" t="s">
        <v>456</v>
      </c>
      <c r="B381" t="s">
        <v>52</v>
      </c>
      <c r="C381" t="s">
        <v>409</v>
      </c>
      <c r="D381" t="s">
        <v>52</v>
      </c>
      <c r="E381" t="s">
        <v>78</v>
      </c>
      <c r="F381" t="s">
        <v>252</v>
      </c>
      <c r="G381">
        <v>6.1715726000000002</v>
      </c>
      <c r="H381">
        <v>-75.590899399999998</v>
      </c>
      <c r="J381">
        <v>11</v>
      </c>
      <c r="M381">
        <v>202</v>
      </c>
      <c r="N381">
        <v>59</v>
      </c>
      <c r="O381">
        <v>28</v>
      </c>
      <c r="P381">
        <v>30</v>
      </c>
      <c r="Q381">
        <v>43</v>
      </c>
      <c r="R381">
        <v>45</v>
      </c>
    </row>
    <row r="382" spans="1:18" x14ac:dyDescent="0.25">
      <c r="A382" t="s">
        <v>457</v>
      </c>
      <c r="B382" t="s">
        <v>52</v>
      </c>
      <c r="C382" t="s">
        <v>409</v>
      </c>
      <c r="D382" t="s">
        <v>52</v>
      </c>
      <c r="E382" t="s">
        <v>78</v>
      </c>
      <c r="F382" t="s">
        <v>252</v>
      </c>
      <c r="G382">
        <v>6.1715726000000002</v>
      </c>
      <c r="H382">
        <v>-75.590899399999998</v>
      </c>
      <c r="J382">
        <v>11</v>
      </c>
      <c r="M382">
        <v>201</v>
      </c>
      <c r="N382">
        <v>56</v>
      </c>
      <c r="O382">
        <v>26</v>
      </c>
      <c r="P382">
        <v>44</v>
      </c>
      <c r="Q382">
        <v>36</v>
      </c>
      <c r="R382">
        <v>36</v>
      </c>
    </row>
    <row r="383" spans="1:18" x14ac:dyDescent="0.25">
      <c r="A383" t="s">
        <v>458</v>
      </c>
      <c r="B383" t="s">
        <v>52</v>
      </c>
      <c r="C383" t="s">
        <v>409</v>
      </c>
      <c r="D383" t="s">
        <v>52</v>
      </c>
      <c r="E383" t="s">
        <v>78</v>
      </c>
      <c r="F383" t="s">
        <v>252</v>
      </c>
      <c r="G383">
        <v>6.1715726000000002</v>
      </c>
      <c r="H383">
        <v>-75.590899399999998</v>
      </c>
      <c r="J383">
        <v>11</v>
      </c>
      <c r="M383">
        <v>201</v>
      </c>
      <c r="N383">
        <v>59</v>
      </c>
      <c r="O383">
        <v>24</v>
      </c>
      <c r="P383">
        <v>30</v>
      </c>
      <c r="Q383">
        <v>36</v>
      </c>
      <c r="R383">
        <v>76</v>
      </c>
    </row>
    <row r="384" spans="1:18" x14ac:dyDescent="0.25">
      <c r="A384" t="s">
        <v>459</v>
      </c>
      <c r="B384" t="s">
        <v>52</v>
      </c>
      <c r="C384" t="s">
        <v>409</v>
      </c>
      <c r="D384" t="s">
        <v>52</v>
      </c>
      <c r="E384" t="s">
        <v>78</v>
      </c>
      <c r="F384" t="s">
        <v>252</v>
      </c>
      <c r="G384">
        <v>6.1715726000000002</v>
      </c>
      <c r="H384">
        <v>-75.590899399999998</v>
      </c>
      <c r="J384">
        <v>11</v>
      </c>
      <c r="M384">
        <v>199</v>
      </c>
      <c r="N384">
        <v>46</v>
      </c>
      <c r="O384">
        <v>42</v>
      </c>
      <c r="P384">
        <v>32</v>
      </c>
      <c r="Q384">
        <v>26</v>
      </c>
      <c r="R384">
        <v>80</v>
      </c>
    </row>
    <row r="385" spans="1:18" x14ac:dyDescent="0.25">
      <c r="A385" t="s">
        <v>460</v>
      </c>
      <c r="B385" t="s">
        <v>52</v>
      </c>
      <c r="C385" t="s">
        <v>409</v>
      </c>
      <c r="D385" t="s">
        <v>52</v>
      </c>
      <c r="E385" t="s">
        <v>78</v>
      </c>
      <c r="F385" t="s">
        <v>252</v>
      </c>
      <c r="G385">
        <v>6.1715726000000002</v>
      </c>
      <c r="H385">
        <v>-75.590899399999998</v>
      </c>
      <c r="J385">
        <v>11</v>
      </c>
      <c r="M385">
        <v>195</v>
      </c>
      <c r="N385">
        <v>44</v>
      </c>
      <c r="O385">
        <v>26</v>
      </c>
      <c r="P385">
        <v>38</v>
      </c>
      <c r="Q385">
        <v>40</v>
      </c>
      <c r="R385">
        <v>64</v>
      </c>
    </row>
    <row r="386" spans="1:18" x14ac:dyDescent="0.25">
      <c r="A386" t="s">
        <v>461</v>
      </c>
      <c r="B386" t="s">
        <v>52</v>
      </c>
      <c r="C386" t="s">
        <v>409</v>
      </c>
      <c r="D386" t="s">
        <v>52</v>
      </c>
      <c r="E386" t="s">
        <v>78</v>
      </c>
      <c r="F386" t="s">
        <v>252</v>
      </c>
      <c r="G386">
        <v>6.1715726000000002</v>
      </c>
      <c r="H386">
        <v>-75.590899399999998</v>
      </c>
      <c r="J386">
        <v>11</v>
      </c>
      <c r="M386">
        <v>195</v>
      </c>
      <c r="N386">
        <v>59</v>
      </c>
      <c r="O386">
        <v>36</v>
      </c>
      <c r="P386">
        <v>38</v>
      </c>
      <c r="Q386">
        <v>14</v>
      </c>
      <c r="R386">
        <v>67</v>
      </c>
    </row>
    <row r="387" spans="1:18" x14ac:dyDescent="0.25">
      <c r="A387" t="s">
        <v>462</v>
      </c>
      <c r="B387" t="s">
        <v>52</v>
      </c>
      <c r="C387" t="s">
        <v>409</v>
      </c>
      <c r="D387" t="s">
        <v>52</v>
      </c>
      <c r="E387" t="s">
        <v>78</v>
      </c>
      <c r="F387" t="s">
        <v>252</v>
      </c>
      <c r="G387">
        <v>6.1715726000000002</v>
      </c>
      <c r="H387">
        <v>-75.590899399999998</v>
      </c>
      <c r="J387">
        <v>11</v>
      </c>
      <c r="M387">
        <v>194</v>
      </c>
      <c r="N387">
        <v>54</v>
      </c>
      <c r="O387">
        <v>26</v>
      </c>
      <c r="P387">
        <v>26</v>
      </c>
      <c r="Q387">
        <v>41</v>
      </c>
      <c r="R387">
        <v>64</v>
      </c>
    </row>
    <row r="388" spans="1:18" x14ac:dyDescent="0.25">
      <c r="A388" t="s">
        <v>463</v>
      </c>
      <c r="B388" t="s">
        <v>52</v>
      </c>
      <c r="C388" t="s">
        <v>409</v>
      </c>
      <c r="D388" t="s">
        <v>52</v>
      </c>
      <c r="E388" t="s">
        <v>78</v>
      </c>
      <c r="F388" t="s">
        <v>252</v>
      </c>
      <c r="G388">
        <v>6.1715726000000002</v>
      </c>
      <c r="H388">
        <v>-75.590899399999998</v>
      </c>
      <c r="J388">
        <v>11</v>
      </c>
      <c r="M388">
        <v>193</v>
      </c>
      <c r="N388">
        <v>61</v>
      </c>
      <c r="O388">
        <v>26</v>
      </c>
      <c r="P388">
        <v>30</v>
      </c>
      <c r="Q388">
        <v>28</v>
      </c>
      <c r="R388">
        <v>69</v>
      </c>
    </row>
    <row r="389" spans="1:18" x14ac:dyDescent="0.25">
      <c r="A389" t="s">
        <v>464</v>
      </c>
      <c r="B389" t="s">
        <v>52</v>
      </c>
      <c r="C389" t="s">
        <v>409</v>
      </c>
      <c r="D389" t="s">
        <v>52</v>
      </c>
      <c r="E389" t="s">
        <v>78</v>
      </c>
      <c r="F389" t="s">
        <v>252</v>
      </c>
      <c r="G389">
        <v>6.1715726000000002</v>
      </c>
      <c r="H389">
        <v>-75.590899399999998</v>
      </c>
      <c r="J389">
        <v>11</v>
      </c>
      <c r="M389">
        <v>193</v>
      </c>
      <c r="N389">
        <v>56</v>
      </c>
      <c r="O389">
        <v>20</v>
      </c>
      <c r="P389">
        <v>38</v>
      </c>
      <c r="Q389">
        <v>31</v>
      </c>
      <c r="R389">
        <v>65</v>
      </c>
    </row>
    <row r="390" spans="1:18" x14ac:dyDescent="0.25">
      <c r="A390" t="s">
        <v>465</v>
      </c>
      <c r="B390" t="s">
        <v>52</v>
      </c>
      <c r="C390" t="s">
        <v>409</v>
      </c>
      <c r="D390" t="s">
        <v>52</v>
      </c>
      <c r="E390" t="s">
        <v>78</v>
      </c>
      <c r="F390" t="s">
        <v>252</v>
      </c>
      <c r="G390">
        <v>6.1715726000000002</v>
      </c>
      <c r="H390">
        <v>-75.590899399999998</v>
      </c>
      <c r="J390">
        <v>11</v>
      </c>
      <c r="M390">
        <v>192</v>
      </c>
      <c r="N390">
        <v>34</v>
      </c>
      <c r="O390">
        <v>46</v>
      </c>
      <c r="P390">
        <v>34</v>
      </c>
      <c r="Q390">
        <v>34</v>
      </c>
      <c r="R390">
        <v>55</v>
      </c>
    </row>
    <row r="391" spans="1:18" x14ac:dyDescent="0.25">
      <c r="A391" t="s">
        <v>466</v>
      </c>
      <c r="B391" t="s">
        <v>52</v>
      </c>
      <c r="C391" t="s">
        <v>409</v>
      </c>
      <c r="D391" t="s">
        <v>52</v>
      </c>
      <c r="E391" t="s">
        <v>78</v>
      </c>
      <c r="F391" t="s">
        <v>252</v>
      </c>
      <c r="G391">
        <v>6.1715726000000002</v>
      </c>
      <c r="H391">
        <v>-75.590899399999998</v>
      </c>
      <c r="J391">
        <v>11</v>
      </c>
      <c r="M391">
        <v>192</v>
      </c>
      <c r="N391">
        <v>39</v>
      </c>
      <c r="O391">
        <v>34</v>
      </c>
      <c r="P391">
        <v>28</v>
      </c>
      <c r="Q391">
        <v>43</v>
      </c>
      <c r="R391">
        <v>67</v>
      </c>
    </row>
    <row r="392" spans="1:18" x14ac:dyDescent="0.25">
      <c r="A392" t="s">
        <v>467</v>
      </c>
      <c r="B392" t="s">
        <v>52</v>
      </c>
      <c r="C392" t="s">
        <v>409</v>
      </c>
      <c r="D392" t="s">
        <v>52</v>
      </c>
      <c r="E392" t="s">
        <v>78</v>
      </c>
      <c r="F392" t="s">
        <v>252</v>
      </c>
      <c r="G392">
        <v>6.1715726000000002</v>
      </c>
      <c r="H392">
        <v>-75.590899399999998</v>
      </c>
      <c r="J392">
        <v>11</v>
      </c>
      <c r="M392">
        <v>185</v>
      </c>
      <c r="N392">
        <v>17</v>
      </c>
      <c r="O392">
        <v>28</v>
      </c>
      <c r="P392">
        <v>54</v>
      </c>
      <c r="Q392">
        <v>40</v>
      </c>
      <c r="R392">
        <v>64</v>
      </c>
    </row>
    <row r="393" spans="1:18" x14ac:dyDescent="0.25">
      <c r="A393" t="s">
        <v>468</v>
      </c>
      <c r="B393" t="s">
        <v>52</v>
      </c>
      <c r="C393" t="s">
        <v>409</v>
      </c>
      <c r="D393" t="s">
        <v>52</v>
      </c>
      <c r="E393" t="s">
        <v>78</v>
      </c>
      <c r="F393" t="s">
        <v>252</v>
      </c>
      <c r="G393">
        <v>6.1715726000000002</v>
      </c>
      <c r="H393">
        <v>-75.590899399999998</v>
      </c>
      <c r="J393">
        <v>11</v>
      </c>
      <c r="M393">
        <v>183</v>
      </c>
      <c r="N393">
        <v>46</v>
      </c>
      <c r="O393">
        <v>22</v>
      </c>
      <c r="P393">
        <v>32</v>
      </c>
      <c r="Q393">
        <v>36</v>
      </c>
      <c r="R393">
        <v>67</v>
      </c>
    </row>
    <row r="394" spans="1:18" x14ac:dyDescent="0.25">
      <c r="A394" t="s">
        <v>469</v>
      </c>
      <c r="B394" t="s">
        <v>52</v>
      </c>
      <c r="C394" t="s">
        <v>409</v>
      </c>
      <c r="D394" t="s">
        <v>52</v>
      </c>
      <c r="E394" t="s">
        <v>78</v>
      </c>
      <c r="F394" t="s">
        <v>252</v>
      </c>
      <c r="G394">
        <v>6.1715726000000002</v>
      </c>
      <c r="H394">
        <v>-75.590899399999998</v>
      </c>
      <c r="J394">
        <v>11</v>
      </c>
      <c r="M394">
        <v>180</v>
      </c>
      <c r="N394">
        <v>39</v>
      </c>
      <c r="O394">
        <v>32</v>
      </c>
      <c r="P394">
        <v>36</v>
      </c>
      <c r="Q394">
        <v>36</v>
      </c>
      <c r="R394">
        <v>38</v>
      </c>
    </row>
    <row r="395" spans="1:18" x14ac:dyDescent="0.25">
      <c r="A395" t="s">
        <v>470</v>
      </c>
      <c r="B395" t="s">
        <v>52</v>
      </c>
      <c r="C395" t="s">
        <v>409</v>
      </c>
      <c r="D395" t="s">
        <v>52</v>
      </c>
      <c r="E395" t="s">
        <v>78</v>
      </c>
      <c r="F395" t="s">
        <v>252</v>
      </c>
      <c r="G395">
        <v>6.1715726000000002</v>
      </c>
      <c r="H395">
        <v>-75.590899399999998</v>
      </c>
      <c r="J395">
        <v>11</v>
      </c>
      <c r="M395">
        <v>179</v>
      </c>
      <c r="N395">
        <v>56</v>
      </c>
      <c r="O395">
        <v>32</v>
      </c>
      <c r="P395">
        <v>28</v>
      </c>
      <c r="Q395">
        <v>22</v>
      </c>
      <c r="R395">
        <v>49</v>
      </c>
    </row>
    <row r="396" spans="1:18" x14ac:dyDescent="0.25">
      <c r="A396" t="s">
        <v>471</v>
      </c>
      <c r="B396" t="s">
        <v>52</v>
      </c>
      <c r="C396" t="s">
        <v>409</v>
      </c>
      <c r="D396" t="s">
        <v>52</v>
      </c>
      <c r="E396" t="s">
        <v>78</v>
      </c>
      <c r="F396" t="s">
        <v>252</v>
      </c>
      <c r="G396">
        <v>6.1715726000000002</v>
      </c>
      <c r="H396">
        <v>-75.590899399999998</v>
      </c>
      <c r="J396">
        <v>11</v>
      </c>
      <c r="M396">
        <v>179</v>
      </c>
      <c r="N396">
        <v>32</v>
      </c>
      <c r="O396">
        <v>28</v>
      </c>
      <c r="P396">
        <v>22</v>
      </c>
      <c r="Q396">
        <v>48</v>
      </c>
      <c r="R396">
        <v>75</v>
      </c>
    </row>
    <row r="397" spans="1:18" x14ac:dyDescent="0.25">
      <c r="A397" t="s">
        <v>472</v>
      </c>
      <c r="B397" t="s">
        <v>52</v>
      </c>
      <c r="C397" t="s">
        <v>409</v>
      </c>
      <c r="D397" t="s">
        <v>52</v>
      </c>
      <c r="E397" t="s">
        <v>78</v>
      </c>
      <c r="F397" t="s">
        <v>252</v>
      </c>
      <c r="G397">
        <v>6.1715726000000002</v>
      </c>
      <c r="H397">
        <v>-75.590899399999998</v>
      </c>
      <c r="J397">
        <v>11</v>
      </c>
      <c r="M397">
        <v>177</v>
      </c>
      <c r="N397">
        <v>44</v>
      </c>
      <c r="O397">
        <v>36</v>
      </c>
      <c r="P397">
        <v>26</v>
      </c>
      <c r="Q397">
        <v>33</v>
      </c>
      <c r="R397">
        <v>45</v>
      </c>
    </row>
    <row r="398" spans="1:18" x14ac:dyDescent="0.25">
      <c r="A398" t="s">
        <v>473</v>
      </c>
      <c r="B398" t="s">
        <v>52</v>
      </c>
      <c r="C398" t="s">
        <v>409</v>
      </c>
      <c r="D398" t="s">
        <v>52</v>
      </c>
      <c r="E398" t="s">
        <v>78</v>
      </c>
      <c r="F398" t="s">
        <v>252</v>
      </c>
      <c r="G398">
        <v>6.1715726000000002</v>
      </c>
      <c r="H398">
        <v>-75.590899399999998</v>
      </c>
      <c r="J398">
        <v>11</v>
      </c>
      <c r="M398">
        <v>176</v>
      </c>
      <c r="N398">
        <v>54</v>
      </c>
      <c r="O398">
        <v>34</v>
      </c>
      <c r="P398">
        <v>16</v>
      </c>
      <c r="Q398">
        <v>21</v>
      </c>
      <c r="R398">
        <v>85</v>
      </c>
    </row>
    <row r="399" spans="1:18" x14ac:dyDescent="0.25">
      <c r="A399" t="s">
        <v>474</v>
      </c>
      <c r="B399" t="s">
        <v>52</v>
      </c>
      <c r="C399" t="s">
        <v>409</v>
      </c>
      <c r="D399" t="s">
        <v>52</v>
      </c>
      <c r="E399" t="s">
        <v>78</v>
      </c>
      <c r="F399" t="s">
        <v>252</v>
      </c>
      <c r="G399">
        <v>6.1715726000000002</v>
      </c>
      <c r="H399">
        <v>-75.590899399999998</v>
      </c>
      <c r="J399">
        <v>11</v>
      </c>
      <c r="M399">
        <v>176</v>
      </c>
      <c r="N399">
        <v>29</v>
      </c>
      <c r="O399">
        <v>26</v>
      </c>
      <c r="P399">
        <v>38</v>
      </c>
      <c r="Q399">
        <v>34</v>
      </c>
      <c r="R399">
        <v>75</v>
      </c>
    </row>
    <row r="400" spans="1:18" x14ac:dyDescent="0.25">
      <c r="A400" t="s">
        <v>475</v>
      </c>
      <c r="B400" t="s">
        <v>52</v>
      </c>
      <c r="C400" t="s">
        <v>409</v>
      </c>
      <c r="D400" t="s">
        <v>52</v>
      </c>
      <c r="E400" t="s">
        <v>78</v>
      </c>
      <c r="F400" t="s">
        <v>252</v>
      </c>
      <c r="G400">
        <v>6.1715726000000002</v>
      </c>
      <c r="H400">
        <v>-75.590899399999998</v>
      </c>
      <c r="J400">
        <v>11</v>
      </c>
      <c r="M400">
        <v>170</v>
      </c>
      <c r="N400">
        <v>41</v>
      </c>
      <c r="O400">
        <v>26</v>
      </c>
      <c r="P400">
        <v>32</v>
      </c>
      <c r="Q400">
        <v>34</v>
      </c>
      <c r="R400">
        <v>40</v>
      </c>
    </row>
    <row r="401" spans="1:18" x14ac:dyDescent="0.25">
      <c r="A401" t="s">
        <v>476</v>
      </c>
      <c r="B401" t="s">
        <v>52</v>
      </c>
      <c r="C401" t="s">
        <v>409</v>
      </c>
      <c r="D401" t="s">
        <v>52</v>
      </c>
      <c r="E401" t="s">
        <v>78</v>
      </c>
      <c r="F401" t="s">
        <v>252</v>
      </c>
      <c r="G401">
        <v>6.1715726000000002</v>
      </c>
      <c r="H401">
        <v>-75.590899399999998</v>
      </c>
      <c r="J401">
        <v>11</v>
      </c>
      <c r="M401">
        <v>169</v>
      </c>
      <c r="N401">
        <v>39</v>
      </c>
      <c r="O401">
        <v>16</v>
      </c>
      <c r="P401">
        <v>30</v>
      </c>
      <c r="Q401">
        <v>47</v>
      </c>
      <c r="R401">
        <v>45</v>
      </c>
    </row>
    <row r="402" spans="1:18" x14ac:dyDescent="0.25">
      <c r="A402" t="s">
        <v>477</v>
      </c>
      <c r="B402" t="s">
        <v>52</v>
      </c>
      <c r="C402" t="s">
        <v>409</v>
      </c>
      <c r="D402" t="s">
        <v>52</v>
      </c>
      <c r="E402" t="s">
        <v>78</v>
      </c>
      <c r="F402" t="s">
        <v>252</v>
      </c>
      <c r="G402">
        <v>6.1715726000000002</v>
      </c>
      <c r="H402">
        <v>-75.590899399999998</v>
      </c>
      <c r="J402">
        <v>11</v>
      </c>
      <c r="M402">
        <v>168</v>
      </c>
      <c r="N402">
        <v>44</v>
      </c>
      <c r="O402">
        <v>30</v>
      </c>
      <c r="P402">
        <v>28</v>
      </c>
      <c r="Q402">
        <v>28</v>
      </c>
      <c r="R402">
        <v>47</v>
      </c>
    </row>
    <row r="403" spans="1:18" x14ac:dyDescent="0.25">
      <c r="A403" t="s">
        <v>478</v>
      </c>
      <c r="B403" t="s">
        <v>52</v>
      </c>
      <c r="C403" t="s">
        <v>409</v>
      </c>
      <c r="D403" t="s">
        <v>52</v>
      </c>
      <c r="E403" t="s">
        <v>78</v>
      </c>
      <c r="F403" t="s">
        <v>252</v>
      </c>
      <c r="G403">
        <v>6.1715726000000002</v>
      </c>
      <c r="H403">
        <v>-75.590899399999998</v>
      </c>
      <c r="J403">
        <v>11</v>
      </c>
      <c r="M403">
        <v>166</v>
      </c>
      <c r="N403">
        <v>39</v>
      </c>
      <c r="O403">
        <v>20</v>
      </c>
      <c r="P403">
        <v>36</v>
      </c>
      <c r="Q403">
        <v>33</v>
      </c>
      <c r="R403">
        <v>47</v>
      </c>
    </row>
    <row r="404" spans="1:18" x14ac:dyDescent="0.25">
      <c r="A404" t="s">
        <v>479</v>
      </c>
      <c r="B404" t="s">
        <v>52</v>
      </c>
      <c r="C404" t="s">
        <v>409</v>
      </c>
      <c r="D404" t="s">
        <v>52</v>
      </c>
      <c r="E404" t="s">
        <v>78</v>
      </c>
      <c r="F404" t="s">
        <v>252</v>
      </c>
      <c r="G404">
        <v>6.1715726000000002</v>
      </c>
      <c r="H404">
        <v>-75.590899399999998</v>
      </c>
      <c r="J404">
        <v>11</v>
      </c>
      <c r="M404">
        <v>166</v>
      </c>
      <c r="N404">
        <v>37</v>
      </c>
      <c r="O404">
        <v>30</v>
      </c>
      <c r="P404">
        <v>28</v>
      </c>
      <c r="Q404">
        <v>26</v>
      </c>
      <c r="R404">
        <v>69</v>
      </c>
    </row>
    <row r="405" spans="1:18" x14ac:dyDescent="0.25">
      <c r="A405" t="s">
        <v>480</v>
      </c>
      <c r="B405" t="s">
        <v>52</v>
      </c>
      <c r="C405" t="s">
        <v>409</v>
      </c>
      <c r="D405" t="s">
        <v>52</v>
      </c>
      <c r="E405" t="s">
        <v>78</v>
      </c>
      <c r="F405" t="s">
        <v>252</v>
      </c>
      <c r="G405">
        <v>6.1715726000000002</v>
      </c>
      <c r="H405">
        <v>-75.590899399999998</v>
      </c>
      <c r="J405">
        <v>11</v>
      </c>
      <c r="M405">
        <v>165</v>
      </c>
      <c r="N405">
        <v>34</v>
      </c>
      <c r="O405">
        <v>32</v>
      </c>
      <c r="P405">
        <v>42</v>
      </c>
      <c r="Q405">
        <v>22</v>
      </c>
      <c r="R405">
        <v>38</v>
      </c>
    </row>
    <row r="406" spans="1:18" x14ac:dyDescent="0.25">
      <c r="A406" t="s">
        <v>481</v>
      </c>
      <c r="B406" t="s">
        <v>52</v>
      </c>
      <c r="C406" t="s">
        <v>409</v>
      </c>
      <c r="D406" t="s">
        <v>52</v>
      </c>
      <c r="E406" t="s">
        <v>78</v>
      </c>
      <c r="F406" t="s">
        <v>252</v>
      </c>
      <c r="G406">
        <v>6.1715726000000002</v>
      </c>
      <c r="H406">
        <v>-75.590899399999998</v>
      </c>
      <c r="J406">
        <v>11</v>
      </c>
      <c r="M406">
        <v>163</v>
      </c>
      <c r="N406">
        <v>51</v>
      </c>
      <c r="O406">
        <v>24</v>
      </c>
      <c r="P406">
        <v>28</v>
      </c>
      <c r="Q406">
        <v>29</v>
      </c>
      <c r="R406">
        <v>27</v>
      </c>
    </row>
    <row r="407" spans="1:18" x14ac:dyDescent="0.25">
      <c r="A407" t="s">
        <v>482</v>
      </c>
      <c r="B407" t="s">
        <v>52</v>
      </c>
      <c r="C407" t="s">
        <v>409</v>
      </c>
      <c r="D407" t="s">
        <v>52</v>
      </c>
      <c r="E407" t="s">
        <v>78</v>
      </c>
      <c r="F407" t="s">
        <v>252</v>
      </c>
      <c r="G407">
        <v>6.1715726000000002</v>
      </c>
      <c r="H407">
        <v>-75.590899399999998</v>
      </c>
      <c r="J407">
        <v>11</v>
      </c>
      <c r="M407">
        <v>161</v>
      </c>
      <c r="N407">
        <v>34</v>
      </c>
      <c r="O407">
        <v>32</v>
      </c>
      <c r="P407">
        <v>30</v>
      </c>
      <c r="Q407">
        <v>26</v>
      </c>
      <c r="R407">
        <v>53</v>
      </c>
    </row>
    <row r="408" spans="1:18" x14ac:dyDescent="0.25">
      <c r="A408" t="s">
        <v>483</v>
      </c>
      <c r="B408" t="s">
        <v>52</v>
      </c>
      <c r="C408" t="s">
        <v>409</v>
      </c>
      <c r="D408" t="s">
        <v>52</v>
      </c>
      <c r="E408" t="s">
        <v>78</v>
      </c>
      <c r="F408" t="s">
        <v>252</v>
      </c>
      <c r="G408">
        <v>6.1715726000000002</v>
      </c>
      <c r="H408">
        <v>-75.590899399999998</v>
      </c>
      <c r="J408">
        <v>11</v>
      </c>
      <c r="M408">
        <v>160</v>
      </c>
      <c r="N408">
        <v>22</v>
      </c>
      <c r="O408">
        <v>36</v>
      </c>
      <c r="P408">
        <v>40</v>
      </c>
      <c r="Q408">
        <v>24</v>
      </c>
      <c r="R408">
        <v>51</v>
      </c>
    </row>
    <row r="409" spans="1:18" x14ac:dyDescent="0.25">
      <c r="A409" t="s">
        <v>484</v>
      </c>
      <c r="B409" t="s">
        <v>52</v>
      </c>
      <c r="C409" t="s">
        <v>409</v>
      </c>
      <c r="D409" t="s">
        <v>52</v>
      </c>
      <c r="E409" t="s">
        <v>78</v>
      </c>
      <c r="F409" t="s">
        <v>252</v>
      </c>
      <c r="G409">
        <v>6.1715726000000002</v>
      </c>
      <c r="H409">
        <v>-75.590899399999998</v>
      </c>
      <c r="J409">
        <v>11</v>
      </c>
      <c r="M409">
        <v>160</v>
      </c>
      <c r="N409">
        <v>29</v>
      </c>
      <c r="O409">
        <v>32</v>
      </c>
      <c r="P409">
        <v>32</v>
      </c>
      <c r="Q409">
        <v>28</v>
      </c>
      <c r="R409">
        <v>53</v>
      </c>
    </row>
    <row r="410" spans="1:18" x14ac:dyDescent="0.25">
      <c r="A410" t="s">
        <v>485</v>
      </c>
      <c r="B410" t="s">
        <v>52</v>
      </c>
      <c r="C410" t="s">
        <v>409</v>
      </c>
      <c r="D410" t="s">
        <v>52</v>
      </c>
      <c r="E410" t="s">
        <v>78</v>
      </c>
      <c r="F410" t="s">
        <v>252</v>
      </c>
      <c r="G410">
        <v>6.1715726000000002</v>
      </c>
      <c r="H410">
        <v>-75.590899399999998</v>
      </c>
      <c r="J410">
        <v>11</v>
      </c>
      <c r="M410">
        <v>160</v>
      </c>
      <c r="N410">
        <v>27</v>
      </c>
      <c r="O410">
        <v>34</v>
      </c>
      <c r="P410">
        <v>36</v>
      </c>
      <c r="Q410">
        <v>28</v>
      </c>
      <c r="R410">
        <v>42</v>
      </c>
    </row>
    <row r="411" spans="1:18" x14ac:dyDescent="0.25">
      <c r="A411" t="s">
        <v>486</v>
      </c>
      <c r="B411" t="s">
        <v>52</v>
      </c>
      <c r="C411" t="s">
        <v>409</v>
      </c>
      <c r="D411" t="s">
        <v>52</v>
      </c>
      <c r="E411" t="s">
        <v>78</v>
      </c>
      <c r="F411" t="s">
        <v>252</v>
      </c>
      <c r="G411">
        <v>6.1715726000000002</v>
      </c>
      <c r="H411">
        <v>-75.590899399999998</v>
      </c>
      <c r="J411">
        <v>11</v>
      </c>
      <c r="M411">
        <v>158</v>
      </c>
      <c r="N411">
        <v>34</v>
      </c>
      <c r="O411">
        <v>30</v>
      </c>
      <c r="P411">
        <v>20</v>
      </c>
      <c r="Q411">
        <v>34</v>
      </c>
      <c r="R411">
        <v>55</v>
      </c>
    </row>
    <row r="412" spans="1:18" x14ac:dyDescent="0.25">
      <c r="A412" t="s">
        <v>487</v>
      </c>
      <c r="B412" t="s">
        <v>52</v>
      </c>
      <c r="C412" t="s">
        <v>409</v>
      </c>
      <c r="D412" t="s">
        <v>52</v>
      </c>
      <c r="E412" t="s">
        <v>78</v>
      </c>
      <c r="F412" t="s">
        <v>252</v>
      </c>
      <c r="G412">
        <v>6.1715726000000002</v>
      </c>
      <c r="H412">
        <v>-75.590899399999998</v>
      </c>
      <c r="J412">
        <v>11</v>
      </c>
      <c r="M412">
        <v>157</v>
      </c>
      <c r="N412">
        <v>32</v>
      </c>
      <c r="O412">
        <v>36</v>
      </c>
      <c r="P412">
        <v>22</v>
      </c>
      <c r="Q412">
        <v>21</v>
      </c>
      <c r="R412">
        <v>76</v>
      </c>
    </row>
    <row r="413" spans="1:18" x14ac:dyDescent="0.25">
      <c r="A413" t="s">
        <v>488</v>
      </c>
      <c r="B413" t="s">
        <v>52</v>
      </c>
      <c r="C413" t="s">
        <v>409</v>
      </c>
      <c r="D413" t="s">
        <v>52</v>
      </c>
      <c r="E413" t="s">
        <v>78</v>
      </c>
      <c r="F413" t="s">
        <v>252</v>
      </c>
      <c r="G413">
        <v>6.1715726000000002</v>
      </c>
      <c r="H413">
        <v>-75.590899399999998</v>
      </c>
      <c r="J413">
        <v>11</v>
      </c>
      <c r="M413">
        <v>152</v>
      </c>
      <c r="N413">
        <v>37</v>
      </c>
      <c r="O413">
        <v>18</v>
      </c>
      <c r="P413">
        <v>28</v>
      </c>
      <c r="Q413">
        <v>22</v>
      </c>
      <c r="R413">
        <v>80</v>
      </c>
    </row>
    <row r="414" spans="1:18" x14ac:dyDescent="0.25">
      <c r="A414" t="s">
        <v>489</v>
      </c>
      <c r="B414" t="s">
        <v>52</v>
      </c>
      <c r="C414" t="s">
        <v>409</v>
      </c>
      <c r="D414" t="s">
        <v>52</v>
      </c>
      <c r="E414" t="s">
        <v>78</v>
      </c>
      <c r="F414" t="s">
        <v>252</v>
      </c>
      <c r="G414">
        <v>6.1715726000000002</v>
      </c>
      <c r="H414">
        <v>-75.590899399999998</v>
      </c>
      <c r="J414">
        <v>11</v>
      </c>
      <c r="M414">
        <v>149</v>
      </c>
      <c r="N414">
        <v>32</v>
      </c>
      <c r="O414">
        <v>26</v>
      </c>
      <c r="P414">
        <v>30</v>
      </c>
      <c r="Q414">
        <v>24</v>
      </c>
      <c r="R414">
        <v>51</v>
      </c>
    </row>
    <row r="415" spans="1:18" x14ac:dyDescent="0.25">
      <c r="A415" t="s">
        <v>490</v>
      </c>
      <c r="B415" t="s">
        <v>52</v>
      </c>
      <c r="C415" t="s">
        <v>409</v>
      </c>
      <c r="D415" t="s">
        <v>52</v>
      </c>
      <c r="E415" t="s">
        <v>78</v>
      </c>
      <c r="F415" t="s">
        <v>252</v>
      </c>
      <c r="G415">
        <v>6.1715726000000002</v>
      </c>
      <c r="H415">
        <v>-75.590899399999998</v>
      </c>
      <c r="J415">
        <v>11</v>
      </c>
      <c r="M415">
        <v>147</v>
      </c>
      <c r="N415">
        <v>37</v>
      </c>
      <c r="O415">
        <v>38</v>
      </c>
      <c r="P415">
        <v>30</v>
      </c>
      <c r="Q415">
        <v>10</v>
      </c>
      <c r="R415">
        <v>38</v>
      </c>
    </row>
    <row r="416" spans="1:18" x14ac:dyDescent="0.25">
      <c r="A416" t="s">
        <v>491</v>
      </c>
      <c r="B416" t="s">
        <v>52</v>
      </c>
      <c r="C416" t="s">
        <v>409</v>
      </c>
      <c r="D416" t="s">
        <v>52</v>
      </c>
      <c r="E416" t="s">
        <v>78</v>
      </c>
      <c r="F416" t="s">
        <v>252</v>
      </c>
      <c r="G416">
        <v>6.1715726000000002</v>
      </c>
      <c r="H416">
        <v>-75.590899399999998</v>
      </c>
      <c r="J416">
        <v>11</v>
      </c>
      <c r="M416">
        <v>143</v>
      </c>
      <c r="N416">
        <v>27</v>
      </c>
      <c r="O416">
        <v>20</v>
      </c>
      <c r="P416">
        <v>40</v>
      </c>
      <c r="Q416">
        <v>28</v>
      </c>
      <c r="R416">
        <v>29</v>
      </c>
    </row>
    <row r="417" spans="1:18" x14ac:dyDescent="0.25">
      <c r="A417" t="s">
        <v>492</v>
      </c>
      <c r="B417" t="s">
        <v>52</v>
      </c>
      <c r="C417" t="s">
        <v>409</v>
      </c>
      <c r="D417" t="s">
        <v>52</v>
      </c>
      <c r="E417" t="s">
        <v>78</v>
      </c>
      <c r="F417" t="s">
        <v>252</v>
      </c>
      <c r="G417">
        <v>6.1715726000000002</v>
      </c>
      <c r="H417">
        <v>-75.590899399999998</v>
      </c>
      <c r="J417">
        <v>11</v>
      </c>
      <c r="M417">
        <v>137</v>
      </c>
      <c r="N417">
        <v>0</v>
      </c>
      <c r="O417">
        <v>20</v>
      </c>
      <c r="P417">
        <v>40</v>
      </c>
      <c r="Q417">
        <v>38</v>
      </c>
      <c r="R417">
        <v>62</v>
      </c>
    </row>
    <row r="418" spans="1:18" x14ac:dyDescent="0.25">
      <c r="A418" t="s">
        <v>493</v>
      </c>
      <c r="B418" t="s">
        <v>52</v>
      </c>
      <c r="C418" t="s">
        <v>409</v>
      </c>
      <c r="D418" t="s">
        <v>52</v>
      </c>
      <c r="E418" t="s">
        <v>78</v>
      </c>
      <c r="F418" t="s">
        <v>252</v>
      </c>
      <c r="G418">
        <v>6.1715726000000002</v>
      </c>
      <c r="H418">
        <v>-75.590899399999998</v>
      </c>
      <c r="J418">
        <v>11</v>
      </c>
      <c r="M418">
        <v>126</v>
      </c>
      <c r="N418">
        <v>17</v>
      </c>
      <c r="O418">
        <v>28</v>
      </c>
      <c r="P418">
        <v>24</v>
      </c>
      <c r="Q418">
        <v>26</v>
      </c>
      <c r="R418">
        <v>44</v>
      </c>
    </row>
    <row r="419" spans="1:18" x14ac:dyDescent="0.25">
      <c r="A419" t="s">
        <v>494</v>
      </c>
      <c r="B419" t="s">
        <v>52</v>
      </c>
      <c r="C419" t="s">
        <v>409</v>
      </c>
      <c r="D419" t="s">
        <v>52</v>
      </c>
      <c r="E419" t="s">
        <v>78</v>
      </c>
      <c r="F419" t="s">
        <v>252</v>
      </c>
      <c r="G419">
        <v>6.1715726000000002</v>
      </c>
      <c r="H419">
        <v>-75.590899399999998</v>
      </c>
      <c r="J419">
        <v>11</v>
      </c>
      <c r="M419">
        <v>125</v>
      </c>
      <c r="N419">
        <v>51</v>
      </c>
      <c r="O419">
        <v>18</v>
      </c>
      <c r="P419">
        <v>18</v>
      </c>
      <c r="Q419">
        <v>21</v>
      </c>
      <c r="R419">
        <v>0</v>
      </c>
    </row>
    <row r="420" spans="1:18" x14ac:dyDescent="0.25">
      <c r="A420" t="s">
        <v>495</v>
      </c>
      <c r="B420" t="s">
        <v>52</v>
      </c>
      <c r="C420" t="s">
        <v>409</v>
      </c>
      <c r="D420" t="s">
        <v>52</v>
      </c>
      <c r="E420" t="s">
        <v>78</v>
      </c>
      <c r="F420" t="s">
        <v>252</v>
      </c>
      <c r="G420">
        <v>6.1715726000000002</v>
      </c>
      <c r="H420">
        <v>-75.590899399999998</v>
      </c>
      <c r="J420">
        <v>11</v>
      </c>
      <c r="M420">
        <v>117</v>
      </c>
      <c r="N420">
        <v>34</v>
      </c>
      <c r="O420">
        <v>18</v>
      </c>
      <c r="P420">
        <v>16</v>
      </c>
      <c r="Q420">
        <v>17</v>
      </c>
      <c r="R420">
        <v>49</v>
      </c>
    </row>
    <row r="421" spans="1:18" x14ac:dyDescent="0.25">
      <c r="A421" t="s">
        <v>496</v>
      </c>
      <c r="B421" t="s">
        <v>52</v>
      </c>
      <c r="C421" t="s">
        <v>409</v>
      </c>
      <c r="D421" t="s">
        <v>52</v>
      </c>
      <c r="E421" t="s">
        <v>78</v>
      </c>
      <c r="F421" t="s">
        <v>252</v>
      </c>
      <c r="G421">
        <v>6.1715726000000002</v>
      </c>
      <c r="H421">
        <v>-75.590899399999998</v>
      </c>
      <c r="J421">
        <v>11</v>
      </c>
      <c r="M421">
        <v>113</v>
      </c>
      <c r="N421">
        <v>54</v>
      </c>
      <c r="O421">
        <v>20</v>
      </c>
      <c r="P421">
        <v>12</v>
      </c>
      <c r="Q421">
        <v>12</v>
      </c>
      <c r="R421">
        <v>0</v>
      </c>
    </row>
    <row r="422" spans="1:18" x14ac:dyDescent="0.25">
      <c r="A422" t="s">
        <v>497</v>
      </c>
      <c r="B422" t="s">
        <v>52</v>
      </c>
      <c r="C422" t="s">
        <v>409</v>
      </c>
      <c r="D422" t="s">
        <v>52</v>
      </c>
      <c r="E422" t="s">
        <v>78</v>
      </c>
      <c r="F422" t="s">
        <v>252</v>
      </c>
      <c r="G422">
        <v>6.1715726000000002</v>
      </c>
      <c r="H422">
        <v>-75.590899399999998</v>
      </c>
      <c r="J422">
        <v>11</v>
      </c>
      <c r="M422">
        <v>103</v>
      </c>
      <c r="N422">
        <v>0</v>
      </c>
      <c r="O422">
        <v>16</v>
      </c>
      <c r="P422">
        <v>32</v>
      </c>
      <c r="Q422">
        <v>14</v>
      </c>
      <c r="R422">
        <v>84</v>
      </c>
    </row>
    <row r="423" spans="1:18" x14ac:dyDescent="0.25">
      <c r="A423" t="s">
        <v>498</v>
      </c>
      <c r="B423" t="s">
        <v>52</v>
      </c>
      <c r="C423" t="s">
        <v>409</v>
      </c>
      <c r="D423" t="s">
        <v>52</v>
      </c>
      <c r="E423" t="s">
        <v>78</v>
      </c>
      <c r="F423" t="s">
        <v>252</v>
      </c>
      <c r="G423">
        <v>6.1715726000000002</v>
      </c>
      <c r="H423">
        <v>-75.590899399999998</v>
      </c>
      <c r="J423">
        <v>11</v>
      </c>
      <c r="M423">
        <v>80</v>
      </c>
      <c r="N423">
        <v>0</v>
      </c>
      <c r="O423">
        <v>16</v>
      </c>
      <c r="P423">
        <v>18</v>
      </c>
      <c r="Q423">
        <v>14</v>
      </c>
      <c r="R423">
        <v>65</v>
      </c>
    </row>
    <row r="424" spans="1:18" x14ac:dyDescent="0.25">
      <c r="A424" t="s">
        <v>499</v>
      </c>
      <c r="B424" t="s">
        <v>52</v>
      </c>
      <c r="C424" t="s">
        <v>409</v>
      </c>
      <c r="D424" t="s">
        <v>52</v>
      </c>
      <c r="E424" t="s">
        <v>78</v>
      </c>
      <c r="F424" t="s">
        <v>252</v>
      </c>
      <c r="G424">
        <v>6.1715726000000002</v>
      </c>
      <c r="H424">
        <v>-75.590899399999998</v>
      </c>
      <c r="J424">
        <v>11</v>
      </c>
      <c r="M424">
        <v>61</v>
      </c>
      <c r="N424">
        <v>0</v>
      </c>
      <c r="O424">
        <v>14</v>
      </c>
      <c r="P424">
        <v>14</v>
      </c>
      <c r="Q424">
        <v>14</v>
      </c>
      <c r="R424">
        <v>33</v>
      </c>
    </row>
    <row r="425" spans="1:18" x14ac:dyDescent="0.25">
      <c r="A425" t="s">
        <v>500</v>
      </c>
      <c r="B425" t="s">
        <v>52</v>
      </c>
      <c r="C425" t="s">
        <v>501</v>
      </c>
      <c r="D425" t="s">
        <v>52</v>
      </c>
      <c r="E425" t="s">
        <v>78</v>
      </c>
      <c r="F425" t="s">
        <v>252</v>
      </c>
      <c r="G425">
        <v>6.1726758999999998</v>
      </c>
      <c r="H425">
        <v>-75.581229500000006</v>
      </c>
      <c r="J425">
        <v>11</v>
      </c>
      <c r="M425">
        <v>378</v>
      </c>
      <c r="N425">
        <v>88</v>
      </c>
      <c r="O425">
        <v>56</v>
      </c>
      <c r="P425">
        <v>90</v>
      </c>
      <c r="Q425">
        <v>64</v>
      </c>
      <c r="R425">
        <v>89</v>
      </c>
    </row>
    <row r="426" spans="1:18" x14ac:dyDescent="0.25">
      <c r="A426" t="s">
        <v>502</v>
      </c>
      <c r="B426" t="s">
        <v>52</v>
      </c>
      <c r="C426" t="s">
        <v>501</v>
      </c>
      <c r="D426" t="s">
        <v>52</v>
      </c>
      <c r="E426" t="s">
        <v>78</v>
      </c>
      <c r="F426" t="s">
        <v>252</v>
      </c>
      <c r="G426">
        <v>6.1726758999999998</v>
      </c>
      <c r="H426">
        <v>-75.581229500000006</v>
      </c>
      <c r="J426">
        <v>11</v>
      </c>
      <c r="M426">
        <v>310</v>
      </c>
      <c r="N426">
        <v>68</v>
      </c>
      <c r="O426">
        <v>28</v>
      </c>
      <c r="P426">
        <v>82</v>
      </c>
      <c r="Q426">
        <v>60</v>
      </c>
      <c r="R426">
        <v>91</v>
      </c>
    </row>
    <row r="427" spans="1:18" x14ac:dyDescent="0.25">
      <c r="A427" t="s">
        <v>503</v>
      </c>
      <c r="B427" t="s">
        <v>52</v>
      </c>
      <c r="C427" t="s">
        <v>501</v>
      </c>
      <c r="D427" t="s">
        <v>52</v>
      </c>
      <c r="E427" t="s">
        <v>78</v>
      </c>
      <c r="F427" t="s">
        <v>252</v>
      </c>
      <c r="G427">
        <v>6.1726758999999998</v>
      </c>
      <c r="H427">
        <v>-75.581229500000006</v>
      </c>
      <c r="J427">
        <v>11</v>
      </c>
      <c r="M427">
        <v>304</v>
      </c>
      <c r="N427">
        <v>83</v>
      </c>
      <c r="O427">
        <v>34</v>
      </c>
      <c r="P427">
        <v>72</v>
      </c>
      <c r="Q427">
        <v>52</v>
      </c>
      <c r="R427">
        <v>67</v>
      </c>
    </row>
    <row r="428" spans="1:18" x14ac:dyDescent="0.25">
      <c r="A428" t="s">
        <v>504</v>
      </c>
      <c r="B428" t="s">
        <v>52</v>
      </c>
      <c r="C428" t="s">
        <v>501</v>
      </c>
      <c r="D428" t="s">
        <v>52</v>
      </c>
      <c r="E428" t="s">
        <v>78</v>
      </c>
      <c r="F428" t="s">
        <v>252</v>
      </c>
      <c r="G428">
        <v>6.1726758999999998</v>
      </c>
      <c r="H428">
        <v>-75.581229500000006</v>
      </c>
      <c r="J428">
        <v>11</v>
      </c>
      <c r="M428">
        <v>284</v>
      </c>
      <c r="N428">
        <v>59</v>
      </c>
      <c r="O428">
        <v>44</v>
      </c>
      <c r="P428">
        <v>66</v>
      </c>
      <c r="Q428">
        <v>48</v>
      </c>
      <c r="R428">
        <v>89</v>
      </c>
    </row>
    <row r="429" spans="1:18" x14ac:dyDescent="0.25">
      <c r="A429" t="s">
        <v>505</v>
      </c>
      <c r="B429" t="s">
        <v>52</v>
      </c>
      <c r="C429" t="s">
        <v>501</v>
      </c>
      <c r="D429" t="s">
        <v>52</v>
      </c>
      <c r="E429" t="s">
        <v>78</v>
      </c>
      <c r="F429" t="s">
        <v>252</v>
      </c>
      <c r="G429">
        <v>6.1726758999999998</v>
      </c>
      <c r="H429">
        <v>-75.581229500000006</v>
      </c>
      <c r="J429">
        <v>11</v>
      </c>
      <c r="M429">
        <v>270</v>
      </c>
      <c r="N429">
        <v>68</v>
      </c>
      <c r="O429">
        <v>32</v>
      </c>
      <c r="P429">
        <v>66</v>
      </c>
      <c r="Q429">
        <v>50</v>
      </c>
      <c r="R429">
        <v>53</v>
      </c>
    </row>
    <row r="430" spans="1:18" x14ac:dyDescent="0.25">
      <c r="A430" t="s">
        <v>506</v>
      </c>
      <c r="B430" t="s">
        <v>52</v>
      </c>
      <c r="C430" t="s">
        <v>501</v>
      </c>
      <c r="D430" t="s">
        <v>52</v>
      </c>
      <c r="E430" t="s">
        <v>78</v>
      </c>
      <c r="F430" t="s">
        <v>252</v>
      </c>
      <c r="G430">
        <v>6.1726758999999998</v>
      </c>
      <c r="H430">
        <v>-75.581229500000006</v>
      </c>
      <c r="J430">
        <v>11</v>
      </c>
      <c r="M430">
        <v>261</v>
      </c>
      <c r="N430">
        <v>59</v>
      </c>
      <c r="O430">
        <v>44</v>
      </c>
      <c r="P430">
        <v>60</v>
      </c>
      <c r="Q430">
        <v>52</v>
      </c>
      <c r="R430">
        <v>35</v>
      </c>
    </row>
    <row r="431" spans="1:18" x14ac:dyDescent="0.25">
      <c r="A431" t="s">
        <v>507</v>
      </c>
      <c r="B431" t="s">
        <v>52</v>
      </c>
      <c r="C431" t="s">
        <v>501</v>
      </c>
      <c r="D431" t="s">
        <v>52</v>
      </c>
      <c r="E431" t="s">
        <v>78</v>
      </c>
      <c r="F431" t="s">
        <v>252</v>
      </c>
      <c r="G431">
        <v>6.1726758999999998</v>
      </c>
      <c r="H431">
        <v>-75.581229500000006</v>
      </c>
      <c r="J431">
        <v>11</v>
      </c>
      <c r="M431">
        <v>260</v>
      </c>
      <c r="N431">
        <v>63</v>
      </c>
      <c r="O431">
        <v>40</v>
      </c>
      <c r="P431">
        <v>58</v>
      </c>
      <c r="Q431">
        <v>43</v>
      </c>
      <c r="R431">
        <v>64</v>
      </c>
    </row>
    <row r="432" spans="1:18" x14ac:dyDescent="0.25">
      <c r="A432" t="s">
        <v>508</v>
      </c>
      <c r="B432" t="s">
        <v>52</v>
      </c>
      <c r="C432" t="s">
        <v>501</v>
      </c>
      <c r="D432" t="s">
        <v>52</v>
      </c>
      <c r="E432" t="s">
        <v>78</v>
      </c>
      <c r="F432" t="s">
        <v>252</v>
      </c>
      <c r="G432">
        <v>6.1726758999999998</v>
      </c>
      <c r="H432">
        <v>-75.581229500000006</v>
      </c>
      <c r="J432">
        <v>11</v>
      </c>
      <c r="M432">
        <v>253</v>
      </c>
      <c r="N432">
        <v>71</v>
      </c>
      <c r="O432">
        <v>20</v>
      </c>
      <c r="P432">
        <v>66</v>
      </c>
      <c r="Q432">
        <v>34</v>
      </c>
      <c r="R432">
        <v>84</v>
      </c>
    </row>
    <row r="433" spans="1:18" x14ac:dyDescent="0.25">
      <c r="A433" t="s">
        <v>509</v>
      </c>
      <c r="B433" t="s">
        <v>52</v>
      </c>
      <c r="C433" t="s">
        <v>501</v>
      </c>
      <c r="D433" t="s">
        <v>52</v>
      </c>
      <c r="E433" t="s">
        <v>78</v>
      </c>
      <c r="F433" t="s">
        <v>252</v>
      </c>
      <c r="G433">
        <v>6.1726758999999998</v>
      </c>
      <c r="H433">
        <v>-75.581229500000006</v>
      </c>
      <c r="J433">
        <v>11</v>
      </c>
      <c r="M433">
        <v>237</v>
      </c>
      <c r="N433">
        <v>63</v>
      </c>
      <c r="O433">
        <v>32</v>
      </c>
      <c r="P433">
        <v>56</v>
      </c>
      <c r="Q433">
        <v>41</v>
      </c>
      <c r="R433">
        <v>38</v>
      </c>
    </row>
    <row r="434" spans="1:18" x14ac:dyDescent="0.25">
      <c r="A434" t="s">
        <v>510</v>
      </c>
      <c r="B434" t="s">
        <v>52</v>
      </c>
      <c r="C434" t="s">
        <v>501</v>
      </c>
      <c r="D434" t="s">
        <v>52</v>
      </c>
      <c r="E434" t="s">
        <v>78</v>
      </c>
      <c r="F434" t="s">
        <v>252</v>
      </c>
      <c r="G434">
        <v>6.1726758999999998</v>
      </c>
      <c r="H434">
        <v>-75.581229500000006</v>
      </c>
      <c r="J434">
        <v>11</v>
      </c>
      <c r="M434">
        <v>236</v>
      </c>
      <c r="N434">
        <v>54</v>
      </c>
      <c r="O434">
        <v>30</v>
      </c>
      <c r="P434">
        <v>60</v>
      </c>
      <c r="Q434">
        <v>52</v>
      </c>
      <c r="R434">
        <v>27</v>
      </c>
    </row>
    <row r="435" spans="1:18" x14ac:dyDescent="0.25">
      <c r="A435" t="s">
        <v>511</v>
      </c>
      <c r="B435" t="s">
        <v>52</v>
      </c>
      <c r="C435" t="s">
        <v>501</v>
      </c>
      <c r="D435" t="s">
        <v>52</v>
      </c>
      <c r="E435" t="s">
        <v>78</v>
      </c>
      <c r="F435" t="s">
        <v>252</v>
      </c>
      <c r="G435">
        <v>6.1726758999999998</v>
      </c>
      <c r="H435">
        <v>-75.581229500000006</v>
      </c>
      <c r="J435">
        <v>11</v>
      </c>
      <c r="M435">
        <v>230</v>
      </c>
      <c r="N435">
        <v>56</v>
      </c>
      <c r="O435">
        <v>32</v>
      </c>
      <c r="P435">
        <v>54</v>
      </c>
      <c r="Q435">
        <v>45</v>
      </c>
      <c r="R435">
        <v>38</v>
      </c>
    </row>
    <row r="436" spans="1:18" x14ac:dyDescent="0.25">
      <c r="A436" t="s">
        <v>512</v>
      </c>
      <c r="B436" t="s">
        <v>52</v>
      </c>
      <c r="C436" t="s">
        <v>501</v>
      </c>
      <c r="D436" t="s">
        <v>52</v>
      </c>
      <c r="E436" t="s">
        <v>78</v>
      </c>
      <c r="F436" t="s">
        <v>252</v>
      </c>
      <c r="G436">
        <v>6.1726758999999998</v>
      </c>
      <c r="H436">
        <v>-75.581229500000006</v>
      </c>
      <c r="J436">
        <v>11</v>
      </c>
      <c r="M436">
        <v>229</v>
      </c>
      <c r="N436">
        <v>80</v>
      </c>
      <c r="O436">
        <v>44</v>
      </c>
      <c r="P436">
        <v>34</v>
      </c>
      <c r="Q436">
        <v>16</v>
      </c>
      <c r="R436">
        <v>73</v>
      </c>
    </row>
    <row r="437" spans="1:18" x14ac:dyDescent="0.25">
      <c r="A437" t="s">
        <v>513</v>
      </c>
      <c r="B437" t="s">
        <v>52</v>
      </c>
      <c r="C437" t="s">
        <v>501</v>
      </c>
      <c r="D437" t="s">
        <v>52</v>
      </c>
      <c r="E437" t="s">
        <v>78</v>
      </c>
      <c r="F437" t="s">
        <v>252</v>
      </c>
      <c r="G437">
        <v>6.1726758999999998</v>
      </c>
      <c r="H437">
        <v>-75.581229500000006</v>
      </c>
      <c r="J437">
        <v>11</v>
      </c>
      <c r="M437">
        <v>224</v>
      </c>
      <c r="N437">
        <v>63</v>
      </c>
      <c r="O437">
        <v>36</v>
      </c>
      <c r="P437">
        <v>50</v>
      </c>
      <c r="Q437">
        <v>29</v>
      </c>
      <c r="R437">
        <v>47</v>
      </c>
    </row>
    <row r="438" spans="1:18" x14ac:dyDescent="0.25">
      <c r="A438" t="s">
        <v>514</v>
      </c>
      <c r="B438" t="s">
        <v>52</v>
      </c>
      <c r="C438" t="s">
        <v>501</v>
      </c>
      <c r="D438" t="s">
        <v>52</v>
      </c>
      <c r="E438" t="s">
        <v>78</v>
      </c>
      <c r="F438" t="s">
        <v>252</v>
      </c>
      <c r="G438">
        <v>6.1726758999999998</v>
      </c>
      <c r="H438">
        <v>-75.581229500000006</v>
      </c>
      <c r="J438">
        <v>11</v>
      </c>
      <c r="M438">
        <v>224</v>
      </c>
      <c r="N438">
        <v>61</v>
      </c>
      <c r="O438">
        <v>30</v>
      </c>
      <c r="P438">
        <v>44</v>
      </c>
      <c r="Q438">
        <v>43</v>
      </c>
      <c r="R438">
        <v>49</v>
      </c>
    </row>
    <row r="439" spans="1:18" x14ac:dyDescent="0.25">
      <c r="A439" t="s">
        <v>515</v>
      </c>
      <c r="B439" t="s">
        <v>52</v>
      </c>
      <c r="C439" t="s">
        <v>501</v>
      </c>
      <c r="D439" t="s">
        <v>52</v>
      </c>
      <c r="E439" t="s">
        <v>78</v>
      </c>
      <c r="F439" t="s">
        <v>252</v>
      </c>
      <c r="G439">
        <v>6.1726758999999998</v>
      </c>
      <c r="H439">
        <v>-75.581229500000006</v>
      </c>
      <c r="J439">
        <v>11</v>
      </c>
      <c r="M439">
        <v>222</v>
      </c>
      <c r="N439">
        <v>63</v>
      </c>
      <c r="O439">
        <v>26</v>
      </c>
      <c r="P439">
        <v>50</v>
      </c>
      <c r="Q439">
        <v>40</v>
      </c>
      <c r="R439">
        <v>40</v>
      </c>
    </row>
    <row r="440" spans="1:18" x14ac:dyDescent="0.25">
      <c r="A440" t="s">
        <v>516</v>
      </c>
      <c r="B440" t="s">
        <v>52</v>
      </c>
      <c r="C440" t="s">
        <v>501</v>
      </c>
      <c r="D440" t="s">
        <v>52</v>
      </c>
      <c r="E440" t="s">
        <v>78</v>
      </c>
      <c r="F440" t="s">
        <v>252</v>
      </c>
      <c r="G440">
        <v>6.1726758999999998</v>
      </c>
      <c r="H440">
        <v>-75.581229500000006</v>
      </c>
      <c r="J440">
        <v>11</v>
      </c>
      <c r="M440">
        <v>218</v>
      </c>
      <c r="N440">
        <v>59</v>
      </c>
      <c r="O440">
        <v>34</v>
      </c>
      <c r="P440">
        <v>42</v>
      </c>
      <c r="Q440">
        <v>33</v>
      </c>
      <c r="R440">
        <v>65</v>
      </c>
    </row>
    <row r="441" spans="1:18" x14ac:dyDescent="0.25">
      <c r="A441" t="s">
        <v>517</v>
      </c>
      <c r="B441" t="s">
        <v>52</v>
      </c>
      <c r="C441" t="s">
        <v>501</v>
      </c>
      <c r="D441" t="s">
        <v>52</v>
      </c>
      <c r="E441" t="s">
        <v>78</v>
      </c>
      <c r="F441" t="s">
        <v>252</v>
      </c>
      <c r="G441">
        <v>6.1726758999999998</v>
      </c>
      <c r="H441">
        <v>-75.581229500000006</v>
      </c>
      <c r="J441">
        <v>11</v>
      </c>
      <c r="M441">
        <v>216</v>
      </c>
      <c r="N441">
        <v>59</v>
      </c>
      <c r="O441">
        <v>24</v>
      </c>
      <c r="P441">
        <v>60</v>
      </c>
      <c r="Q441">
        <v>29</v>
      </c>
      <c r="R441">
        <v>47</v>
      </c>
    </row>
    <row r="442" spans="1:18" x14ac:dyDescent="0.25">
      <c r="A442" t="s">
        <v>518</v>
      </c>
      <c r="B442" t="s">
        <v>52</v>
      </c>
      <c r="C442" t="s">
        <v>501</v>
      </c>
      <c r="D442" t="s">
        <v>52</v>
      </c>
      <c r="E442" t="s">
        <v>78</v>
      </c>
      <c r="F442" t="s">
        <v>252</v>
      </c>
      <c r="G442">
        <v>6.1726758999999998</v>
      </c>
      <c r="H442">
        <v>-75.581229500000006</v>
      </c>
      <c r="J442">
        <v>11</v>
      </c>
      <c r="M442">
        <v>214</v>
      </c>
      <c r="N442">
        <v>51</v>
      </c>
      <c r="O442">
        <v>38</v>
      </c>
      <c r="P442">
        <v>32</v>
      </c>
      <c r="Q442">
        <v>48</v>
      </c>
      <c r="R442">
        <v>49</v>
      </c>
    </row>
    <row r="443" spans="1:18" x14ac:dyDescent="0.25">
      <c r="A443" t="s">
        <v>519</v>
      </c>
      <c r="B443" t="s">
        <v>52</v>
      </c>
      <c r="C443" t="s">
        <v>501</v>
      </c>
      <c r="D443" t="s">
        <v>52</v>
      </c>
      <c r="E443" t="s">
        <v>78</v>
      </c>
      <c r="F443" t="s">
        <v>252</v>
      </c>
      <c r="G443">
        <v>6.1726758999999998</v>
      </c>
      <c r="H443">
        <v>-75.581229500000006</v>
      </c>
      <c r="J443">
        <v>11</v>
      </c>
      <c r="M443">
        <v>214</v>
      </c>
      <c r="N443">
        <v>66</v>
      </c>
      <c r="O443">
        <v>26</v>
      </c>
      <c r="P443">
        <v>40</v>
      </c>
      <c r="Q443">
        <v>38</v>
      </c>
      <c r="R443">
        <v>47</v>
      </c>
    </row>
    <row r="444" spans="1:18" x14ac:dyDescent="0.25">
      <c r="A444" t="s">
        <v>520</v>
      </c>
      <c r="B444" t="s">
        <v>52</v>
      </c>
      <c r="C444" t="s">
        <v>501</v>
      </c>
      <c r="D444" t="s">
        <v>52</v>
      </c>
      <c r="E444" t="s">
        <v>78</v>
      </c>
      <c r="F444" t="s">
        <v>252</v>
      </c>
      <c r="G444">
        <v>6.1726758999999998</v>
      </c>
      <c r="H444">
        <v>-75.581229500000006</v>
      </c>
      <c r="J444">
        <v>11</v>
      </c>
      <c r="M444">
        <v>210</v>
      </c>
      <c r="N444">
        <v>44</v>
      </c>
      <c r="O444">
        <v>30</v>
      </c>
      <c r="P444">
        <v>50</v>
      </c>
      <c r="Q444">
        <v>43</v>
      </c>
      <c r="R444">
        <v>45</v>
      </c>
    </row>
    <row r="445" spans="1:18" x14ac:dyDescent="0.25">
      <c r="A445" t="s">
        <v>521</v>
      </c>
      <c r="B445" t="s">
        <v>52</v>
      </c>
      <c r="C445" t="s">
        <v>501</v>
      </c>
      <c r="D445" t="s">
        <v>52</v>
      </c>
      <c r="E445" t="s">
        <v>78</v>
      </c>
      <c r="F445" t="s">
        <v>252</v>
      </c>
      <c r="G445">
        <v>6.1726758999999998</v>
      </c>
      <c r="H445">
        <v>-75.581229500000006</v>
      </c>
      <c r="J445">
        <v>11</v>
      </c>
      <c r="M445">
        <v>204</v>
      </c>
      <c r="N445">
        <v>51</v>
      </c>
      <c r="O445">
        <v>26</v>
      </c>
      <c r="P445">
        <v>48</v>
      </c>
      <c r="Q445">
        <v>36</v>
      </c>
      <c r="R445">
        <v>47</v>
      </c>
    </row>
    <row r="446" spans="1:18" x14ac:dyDescent="0.25">
      <c r="A446" t="s">
        <v>522</v>
      </c>
      <c r="B446" t="s">
        <v>52</v>
      </c>
      <c r="C446" t="s">
        <v>501</v>
      </c>
      <c r="D446" t="s">
        <v>52</v>
      </c>
      <c r="E446" t="s">
        <v>78</v>
      </c>
      <c r="F446" t="s">
        <v>252</v>
      </c>
      <c r="G446">
        <v>6.1726758999999998</v>
      </c>
      <c r="H446">
        <v>-75.581229500000006</v>
      </c>
      <c r="J446">
        <v>11</v>
      </c>
      <c r="M446">
        <v>204</v>
      </c>
      <c r="N446">
        <v>44</v>
      </c>
      <c r="O446">
        <v>36</v>
      </c>
      <c r="P446">
        <v>42</v>
      </c>
      <c r="Q446">
        <v>33</v>
      </c>
      <c r="R446">
        <v>67</v>
      </c>
    </row>
    <row r="447" spans="1:18" x14ac:dyDescent="0.25">
      <c r="A447" t="s">
        <v>523</v>
      </c>
      <c r="B447" t="s">
        <v>52</v>
      </c>
      <c r="C447" t="s">
        <v>501</v>
      </c>
      <c r="D447" t="s">
        <v>52</v>
      </c>
      <c r="E447" t="s">
        <v>78</v>
      </c>
      <c r="F447" t="s">
        <v>252</v>
      </c>
      <c r="G447">
        <v>6.1726758999999998</v>
      </c>
      <c r="H447">
        <v>-75.581229500000006</v>
      </c>
      <c r="J447">
        <v>11</v>
      </c>
      <c r="M447">
        <v>198</v>
      </c>
      <c r="N447">
        <v>54</v>
      </c>
      <c r="O447">
        <v>28</v>
      </c>
      <c r="P447">
        <v>46</v>
      </c>
      <c r="Q447">
        <v>31</v>
      </c>
      <c r="R447">
        <v>40</v>
      </c>
    </row>
    <row r="448" spans="1:18" x14ac:dyDescent="0.25">
      <c r="A448" t="s">
        <v>524</v>
      </c>
      <c r="B448" t="s">
        <v>52</v>
      </c>
      <c r="C448" t="s">
        <v>501</v>
      </c>
      <c r="D448" t="s">
        <v>52</v>
      </c>
      <c r="E448" t="s">
        <v>78</v>
      </c>
      <c r="F448" t="s">
        <v>252</v>
      </c>
      <c r="G448">
        <v>6.1726758999999998</v>
      </c>
      <c r="H448">
        <v>-75.581229500000006</v>
      </c>
      <c r="J448">
        <v>11</v>
      </c>
      <c r="M448">
        <v>194</v>
      </c>
      <c r="N448">
        <v>66</v>
      </c>
      <c r="O448">
        <v>36</v>
      </c>
      <c r="P448">
        <v>38</v>
      </c>
      <c r="Q448">
        <v>19</v>
      </c>
      <c r="R448">
        <v>29</v>
      </c>
    </row>
    <row r="449" spans="1:18" x14ac:dyDescent="0.25">
      <c r="A449" t="s">
        <v>525</v>
      </c>
      <c r="B449" t="s">
        <v>52</v>
      </c>
      <c r="C449" t="s">
        <v>501</v>
      </c>
      <c r="D449" t="s">
        <v>52</v>
      </c>
      <c r="E449" t="s">
        <v>78</v>
      </c>
      <c r="F449" t="s">
        <v>252</v>
      </c>
      <c r="G449">
        <v>6.1726758999999998</v>
      </c>
      <c r="H449">
        <v>-75.581229500000006</v>
      </c>
      <c r="J449">
        <v>11</v>
      </c>
      <c r="M449">
        <v>191</v>
      </c>
      <c r="N449">
        <v>44</v>
      </c>
      <c r="O449">
        <v>44</v>
      </c>
      <c r="P449">
        <v>28</v>
      </c>
      <c r="Q449">
        <v>33</v>
      </c>
      <c r="R449">
        <v>51</v>
      </c>
    </row>
    <row r="450" spans="1:18" x14ac:dyDescent="0.25">
      <c r="A450" t="s">
        <v>526</v>
      </c>
      <c r="B450" t="s">
        <v>52</v>
      </c>
      <c r="C450" t="s">
        <v>501</v>
      </c>
      <c r="D450" t="s">
        <v>52</v>
      </c>
      <c r="E450" t="s">
        <v>78</v>
      </c>
      <c r="F450" t="s">
        <v>252</v>
      </c>
      <c r="G450">
        <v>6.1726758999999998</v>
      </c>
      <c r="H450">
        <v>-75.581229500000006</v>
      </c>
      <c r="J450">
        <v>11</v>
      </c>
      <c r="M450">
        <v>191</v>
      </c>
      <c r="N450">
        <v>46</v>
      </c>
      <c r="O450">
        <v>28</v>
      </c>
      <c r="P450">
        <v>44</v>
      </c>
      <c r="Q450">
        <v>29</v>
      </c>
      <c r="R450">
        <v>53</v>
      </c>
    </row>
    <row r="451" spans="1:18" x14ac:dyDescent="0.25">
      <c r="A451" t="s">
        <v>527</v>
      </c>
      <c r="B451" t="s">
        <v>52</v>
      </c>
      <c r="C451" t="s">
        <v>501</v>
      </c>
      <c r="D451" t="s">
        <v>52</v>
      </c>
      <c r="E451" t="s">
        <v>78</v>
      </c>
      <c r="F451" t="s">
        <v>252</v>
      </c>
      <c r="G451">
        <v>6.1726758999999998</v>
      </c>
      <c r="H451">
        <v>-75.581229500000006</v>
      </c>
      <c r="J451">
        <v>11</v>
      </c>
      <c r="M451">
        <v>187</v>
      </c>
      <c r="N451">
        <v>56</v>
      </c>
      <c r="O451">
        <v>32</v>
      </c>
      <c r="P451">
        <v>34</v>
      </c>
      <c r="Q451">
        <v>28</v>
      </c>
      <c r="R451">
        <v>38</v>
      </c>
    </row>
    <row r="452" spans="1:18" x14ac:dyDescent="0.25">
      <c r="A452" t="s">
        <v>528</v>
      </c>
      <c r="B452" t="s">
        <v>52</v>
      </c>
      <c r="C452" t="s">
        <v>501</v>
      </c>
      <c r="D452" t="s">
        <v>52</v>
      </c>
      <c r="E452" t="s">
        <v>78</v>
      </c>
      <c r="F452" t="s">
        <v>252</v>
      </c>
      <c r="G452">
        <v>6.1726758999999998</v>
      </c>
      <c r="H452">
        <v>-75.581229500000006</v>
      </c>
      <c r="J452">
        <v>11</v>
      </c>
      <c r="M452">
        <v>184</v>
      </c>
      <c r="N452">
        <v>44</v>
      </c>
      <c r="O452">
        <v>30</v>
      </c>
      <c r="P452">
        <v>40</v>
      </c>
      <c r="Q452">
        <v>33</v>
      </c>
      <c r="R452">
        <v>38</v>
      </c>
    </row>
    <row r="453" spans="1:18" x14ac:dyDescent="0.25">
      <c r="A453" t="s">
        <v>529</v>
      </c>
      <c r="B453" t="s">
        <v>52</v>
      </c>
      <c r="C453" t="s">
        <v>501</v>
      </c>
      <c r="D453" t="s">
        <v>52</v>
      </c>
      <c r="E453" t="s">
        <v>78</v>
      </c>
      <c r="F453" t="s">
        <v>252</v>
      </c>
      <c r="G453">
        <v>6.1726758999999998</v>
      </c>
      <c r="H453">
        <v>-75.581229500000006</v>
      </c>
      <c r="J453">
        <v>11</v>
      </c>
      <c r="M453">
        <v>180</v>
      </c>
      <c r="N453">
        <v>49</v>
      </c>
      <c r="O453">
        <v>30</v>
      </c>
      <c r="P453">
        <v>42</v>
      </c>
      <c r="Q453">
        <v>24</v>
      </c>
      <c r="R453">
        <v>33</v>
      </c>
    </row>
    <row r="454" spans="1:18" x14ac:dyDescent="0.25">
      <c r="A454" t="s">
        <v>530</v>
      </c>
      <c r="B454" t="s">
        <v>52</v>
      </c>
      <c r="C454" t="s">
        <v>501</v>
      </c>
      <c r="D454" t="s">
        <v>52</v>
      </c>
      <c r="E454" t="s">
        <v>78</v>
      </c>
      <c r="F454" t="s">
        <v>252</v>
      </c>
      <c r="G454">
        <v>6.1726758999999998</v>
      </c>
      <c r="H454">
        <v>-75.581229500000006</v>
      </c>
      <c r="J454">
        <v>11</v>
      </c>
      <c r="M454">
        <v>177</v>
      </c>
      <c r="N454">
        <v>44</v>
      </c>
      <c r="O454">
        <v>42</v>
      </c>
      <c r="P454">
        <v>28</v>
      </c>
      <c r="Q454">
        <v>24</v>
      </c>
      <c r="R454">
        <v>45</v>
      </c>
    </row>
    <row r="455" spans="1:18" x14ac:dyDescent="0.25">
      <c r="A455" t="s">
        <v>531</v>
      </c>
      <c r="B455" t="s">
        <v>52</v>
      </c>
      <c r="C455" t="s">
        <v>501</v>
      </c>
      <c r="D455" t="s">
        <v>52</v>
      </c>
      <c r="E455" t="s">
        <v>78</v>
      </c>
      <c r="F455" t="s">
        <v>252</v>
      </c>
      <c r="G455">
        <v>6.1726758999999998</v>
      </c>
      <c r="H455">
        <v>-75.581229500000006</v>
      </c>
      <c r="J455">
        <v>11</v>
      </c>
      <c r="M455">
        <v>169</v>
      </c>
      <c r="N455">
        <v>51</v>
      </c>
      <c r="O455">
        <v>28</v>
      </c>
      <c r="P455">
        <v>18</v>
      </c>
      <c r="Q455">
        <v>34</v>
      </c>
      <c r="R455">
        <v>44</v>
      </c>
    </row>
    <row r="456" spans="1:18" x14ac:dyDescent="0.25">
      <c r="A456" t="s">
        <v>532</v>
      </c>
      <c r="B456" t="s">
        <v>52</v>
      </c>
      <c r="C456" t="s">
        <v>501</v>
      </c>
      <c r="D456" t="s">
        <v>52</v>
      </c>
      <c r="E456" t="s">
        <v>78</v>
      </c>
      <c r="F456" t="s">
        <v>252</v>
      </c>
      <c r="G456">
        <v>6.1726758999999998</v>
      </c>
      <c r="H456">
        <v>-75.581229500000006</v>
      </c>
      <c r="J456">
        <v>11</v>
      </c>
      <c r="M456">
        <v>169</v>
      </c>
      <c r="N456">
        <v>34</v>
      </c>
      <c r="O456">
        <v>24</v>
      </c>
      <c r="P456">
        <v>36</v>
      </c>
      <c r="Q456">
        <v>36</v>
      </c>
      <c r="R456">
        <v>47</v>
      </c>
    </row>
    <row r="457" spans="1:18" x14ac:dyDescent="0.25">
      <c r="A457" t="s">
        <v>533</v>
      </c>
      <c r="B457" t="s">
        <v>52</v>
      </c>
      <c r="C457" t="s">
        <v>501</v>
      </c>
      <c r="D457" t="s">
        <v>52</v>
      </c>
      <c r="E457" t="s">
        <v>78</v>
      </c>
      <c r="F457" t="s">
        <v>252</v>
      </c>
      <c r="G457">
        <v>6.1726758999999998</v>
      </c>
      <c r="H457">
        <v>-75.581229500000006</v>
      </c>
      <c r="J457">
        <v>11</v>
      </c>
      <c r="M457">
        <v>166</v>
      </c>
      <c r="N457">
        <v>37</v>
      </c>
      <c r="O457">
        <v>42</v>
      </c>
      <c r="P457">
        <v>26</v>
      </c>
      <c r="Q457">
        <v>26</v>
      </c>
      <c r="R457">
        <v>40</v>
      </c>
    </row>
    <row r="458" spans="1:18" x14ac:dyDescent="0.25">
      <c r="A458" t="s">
        <v>534</v>
      </c>
      <c r="B458" t="s">
        <v>52</v>
      </c>
      <c r="C458" t="s">
        <v>501</v>
      </c>
      <c r="D458" t="s">
        <v>52</v>
      </c>
      <c r="E458" t="s">
        <v>78</v>
      </c>
      <c r="F458" t="s">
        <v>252</v>
      </c>
      <c r="G458">
        <v>6.1726758999999998</v>
      </c>
      <c r="H458">
        <v>-75.581229500000006</v>
      </c>
      <c r="J458">
        <v>11</v>
      </c>
      <c r="M458">
        <v>164</v>
      </c>
      <c r="N458">
        <v>34</v>
      </c>
      <c r="O458">
        <v>36</v>
      </c>
      <c r="P458">
        <v>24</v>
      </c>
      <c r="Q458">
        <v>38</v>
      </c>
      <c r="R458">
        <v>31</v>
      </c>
    </row>
    <row r="459" spans="1:18" x14ac:dyDescent="0.25">
      <c r="A459" t="s">
        <v>535</v>
      </c>
      <c r="B459" t="s">
        <v>52</v>
      </c>
      <c r="C459" t="s">
        <v>501</v>
      </c>
      <c r="D459" t="s">
        <v>52</v>
      </c>
      <c r="E459" t="s">
        <v>78</v>
      </c>
      <c r="F459" t="s">
        <v>252</v>
      </c>
      <c r="G459">
        <v>6.1726758999999998</v>
      </c>
      <c r="H459">
        <v>-75.581229500000006</v>
      </c>
      <c r="J459">
        <v>11</v>
      </c>
      <c r="M459">
        <v>162</v>
      </c>
      <c r="N459">
        <v>44</v>
      </c>
      <c r="O459">
        <v>34</v>
      </c>
      <c r="P459">
        <v>28</v>
      </c>
      <c r="Q459">
        <v>22</v>
      </c>
      <c r="R459">
        <v>36</v>
      </c>
    </row>
    <row r="460" spans="1:18" x14ac:dyDescent="0.25">
      <c r="A460" t="s">
        <v>536</v>
      </c>
      <c r="B460" t="s">
        <v>52</v>
      </c>
      <c r="C460" t="s">
        <v>501</v>
      </c>
      <c r="D460" t="s">
        <v>52</v>
      </c>
      <c r="E460" t="s">
        <v>78</v>
      </c>
      <c r="F460" t="s">
        <v>252</v>
      </c>
      <c r="G460">
        <v>6.1726758999999998</v>
      </c>
      <c r="H460">
        <v>-75.581229500000006</v>
      </c>
      <c r="J460">
        <v>11</v>
      </c>
      <c r="M460">
        <v>159</v>
      </c>
      <c r="N460">
        <v>29</v>
      </c>
      <c r="O460">
        <v>30</v>
      </c>
      <c r="P460">
        <v>40</v>
      </c>
      <c r="Q460">
        <v>24</v>
      </c>
      <c r="R460">
        <v>44</v>
      </c>
    </row>
    <row r="461" spans="1:18" x14ac:dyDescent="0.25">
      <c r="A461" t="s">
        <v>537</v>
      </c>
      <c r="B461" t="s">
        <v>52</v>
      </c>
      <c r="C461" t="s">
        <v>501</v>
      </c>
      <c r="D461" t="s">
        <v>52</v>
      </c>
      <c r="E461" t="s">
        <v>78</v>
      </c>
      <c r="F461" t="s">
        <v>252</v>
      </c>
      <c r="G461">
        <v>6.1726758999999998</v>
      </c>
      <c r="H461">
        <v>-75.581229500000006</v>
      </c>
      <c r="J461">
        <v>11</v>
      </c>
      <c r="M461">
        <v>157</v>
      </c>
      <c r="N461">
        <v>44</v>
      </c>
      <c r="O461">
        <v>36</v>
      </c>
      <c r="P461">
        <v>22</v>
      </c>
      <c r="Q461">
        <v>22</v>
      </c>
      <c r="R461">
        <v>36</v>
      </c>
    </row>
    <row r="462" spans="1:18" x14ac:dyDescent="0.25">
      <c r="A462" t="s">
        <v>538</v>
      </c>
      <c r="B462" t="s">
        <v>52</v>
      </c>
      <c r="C462" t="s">
        <v>501</v>
      </c>
      <c r="D462" t="s">
        <v>52</v>
      </c>
      <c r="E462" t="s">
        <v>78</v>
      </c>
      <c r="F462" t="s">
        <v>252</v>
      </c>
      <c r="G462">
        <v>6.1726758999999998</v>
      </c>
      <c r="H462">
        <v>-75.581229500000006</v>
      </c>
      <c r="J462">
        <v>11</v>
      </c>
      <c r="M462">
        <v>156</v>
      </c>
      <c r="N462">
        <v>29</v>
      </c>
      <c r="O462">
        <v>32</v>
      </c>
      <c r="P462">
        <v>34</v>
      </c>
      <c r="Q462">
        <v>28</v>
      </c>
      <c r="R462">
        <v>38</v>
      </c>
    </row>
    <row r="463" spans="1:18" x14ac:dyDescent="0.25">
      <c r="A463" t="s">
        <v>539</v>
      </c>
      <c r="B463" t="s">
        <v>52</v>
      </c>
      <c r="C463" t="s">
        <v>501</v>
      </c>
      <c r="D463" t="s">
        <v>52</v>
      </c>
      <c r="E463" t="s">
        <v>78</v>
      </c>
      <c r="F463" t="s">
        <v>252</v>
      </c>
      <c r="G463">
        <v>6.1726758999999998</v>
      </c>
      <c r="H463">
        <v>-75.581229500000006</v>
      </c>
      <c r="J463">
        <v>11</v>
      </c>
      <c r="M463">
        <v>155</v>
      </c>
      <c r="N463">
        <v>39</v>
      </c>
      <c r="O463">
        <v>32</v>
      </c>
      <c r="P463">
        <v>32</v>
      </c>
      <c r="Q463">
        <v>24</v>
      </c>
      <c r="R463">
        <v>22</v>
      </c>
    </row>
    <row r="464" spans="1:18" x14ac:dyDescent="0.25">
      <c r="A464" t="s">
        <v>540</v>
      </c>
      <c r="B464" t="s">
        <v>52</v>
      </c>
      <c r="C464" t="s">
        <v>501</v>
      </c>
      <c r="D464" t="s">
        <v>52</v>
      </c>
      <c r="E464" t="s">
        <v>78</v>
      </c>
      <c r="F464" t="s">
        <v>252</v>
      </c>
      <c r="G464">
        <v>6.1726758999999998</v>
      </c>
      <c r="H464">
        <v>-75.581229500000006</v>
      </c>
      <c r="J464">
        <v>11</v>
      </c>
      <c r="M464">
        <v>152</v>
      </c>
      <c r="N464">
        <v>37</v>
      </c>
      <c r="O464">
        <v>30</v>
      </c>
      <c r="P464">
        <v>32</v>
      </c>
      <c r="Q464">
        <v>22</v>
      </c>
      <c r="R464">
        <v>31</v>
      </c>
    </row>
    <row r="465" spans="1:18" x14ac:dyDescent="0.25">
      <c r="A465" t="s">
        <v>541</v>
      </c>
      <c r="B465" t="s">
        <v>52</v>
      </c>
      <c r="C465" t="s">
        <v>501</v>
      </c>
      <c r="D465" t="s">
        <v>52</v>
      </c>
      <c r="E465" t="s">
        <v>78</v>
      </c>
      <c r="F465" t="s">
        <v>252</v>
      </c>
      <c r="G465">
        <v>6.1726758999999998</v>
      </c>
      <c r="H465">
        <v>-75.581229500000006</v>
      </c>
      <c r="J465">
        <v>11</v>
      </c>
      <c r="M465">
        <v>150</v>
      </c>
      <c r="N465">
        <v>29</v>
      </c>
      <c r="O465">
        <v>32</v>
      </c>
      <c r="P465">
        <v>36</v>
      </c>
      <c r="Q465">
        <v>26</v>
      </c>
      <c r="R465">
        <v>22</v>
      </c>
    </row>
    <row r="466" spans="1:18" x14ac:dyDescent="0.25">
      <c r="A466" t="s">
        <v>542</v>
      </c>
      <c r="B466" t="s">
        <v>52</v>
      </c>
      <c r="C466" t="s">
        <v>501</v>
      </c>
      <c r="D466" t="s">
        <v>52</v>
      </c>
      <c r="E466" t="s">
        <v>78</v>
      </c>
      <c r="F466" t="s">
        <v>252</v>
      </c>
      <c r="G466">
        <v>6.1726758999999998</v>
      </c>
      <c r="H466">
        <v>-75.581229500000006</v>
      </c>
      <c r="J466">
        <v>11</v>
      </c>
      <c r="M466">
        <v>150</v>
      </c>
      <c r="N466">
        <v>24</v>
      </c>
      <c r="O466">
        <v>36</v>
      </c>
      <c r="P466">
        <v>22</v>
      </c>
      <c r="Q466">
        <v>31</v>
      </c>
      <c r="R466">
        <v>51</v>
      </c>
    </row>
    <row r="467" spans="1:18" x14ac:dyDescent="0.25">
      <c r="A467" t="s">
        <v>543</v>
      </c>
      <c r="B467" t="s">
        <v>52</v>
      </c>
      <c r="C467" t="s">
        <v>501</v>
      </c>
      <c r="D467" t="s">
        <v>52</v>
      </c>
      <c r="E467" t="s">
        <v>78</v>
      </c>
      <c r="F467" t="s">
        <v>252</v>
      </c>
      <c r="G467">
        <v>6.1726758999999998</v>
      </c>
      <c r="H467">
        <v>-75.581229500000006</v>
      </c>
      <c r="J467">
        <v>11</v>
      </c>
      <c r="M467">
        <v>146</v>
      </c>
      <c r="N467">
        <v>39</v>
      </c>
      <c r="O467">
        <v>20</v>
      </c>
      <c r="P467">
        <v>34</v>
      </c>
      <c r="Q467">
        <v>22</v>
      </c>
      <c r="R467">
        <v>33</v>
      </c>
    </row>
    <row r="468" spans="1:18" x14ac:dyDescent="0.25">
      <c r="A468" t="s">
        <v>544</v>
      </c>
      <c r="B468" t="s">
        <v>52</v>
      </c>
      <c r="C468" t="s">
        <v>501</v>
      </c>
      <c r="D468" t="s">
        <v>52</v>
      </c>
      <c r="E468" t="s">
        <v>78</v>
      </c>
      <c r="F468" t="s">
        <v>252</v>
      </c>
      <c r="G468">
        <v>6.1726758999999998</v>
      </c>
      <c r="H468">
        <v>-75.581229500000006</v>
      </c>
      <c r="J468">
        <v>11</v>
      </c>
      <c r="M468">
        <v>138</v>
      </c>
      <c r="N468">
        <v>29</v>
      </c>
      <c r="O468">
        <v>24</v>
      </c>
      <c r="P468">
        <v>26</v>
      </c>
      <c r="Q468">
        <v>26</v>
      </c>
      <c r="R468">
        <v>44</v>
      </c>
    </row>
    <row r="469" spans="1:18" x14ac:dyDescent="0.25">
      <c r="A469" t="s">
        <v>545</v>
      </c>
      <c r="B469" t="s">
        <v>52</v>
      </c>
      <c r="C469" t="s">
        <v>501</v>
      </c>
      <c r="D469" t="s">
        <v>52</v>
      </c>
      <c r="E469" t="s">
        <v>78</v>
      </c>
      <c r="F469" t="s">
        <v>252</v>
      </c>
      <c r="G469">
        <v>6.1726758999999998</v>
      </c>
      <c r="H469">
        <v>-75.581229500000006</v>
      </c>
      <c r="J469">
        <v>11</v>
      </c>
      <c r="M469">
        <v>138</v>
      </c>
      <c r="N469">
        <v>22</v>
      </c>
      <c r="O469">
        <v>38</v>
      </c>
      <c r="P469">
        <v>18</v>
      </c>
      <c r="Q469">
        <v>33</v>
      </c>
      <c r="R469">
        <v>25</v>
      </c>
    </row>
    <row r="470" spans="1:18" x14ac:dyDescent="0.25">
      <c r="A470" t="s">
        <v>546</v>
      </c>
      <c r="B470" t="s">
        <v>52</v>
      </c>
      <c r="C470" t="s">
        <v>501</v>
      </c>
      <c r="D470" t="s">
        <v>52</v>
      </c>
      <c r="E470" t="s">
        <v>78</v>
      </c>
      <c r="F470" t="s">
        <v>252</v>
      </c>
      <c r="G470">
        <v>6.1726758999999998</v>
      </c>
      <c r="H470">
        <v>-75.581229500000006</v>
      </c>
      <c r="J470">
        <v>11</v>
      </c>
      <c r="M470">
        <v>130</v>
      </c>
      <c r="N470">
        <v>24</v>
      </c>
      <c r="O470">
        <v>26</v>
      </c>
      <c r="P470">
        <v>24</v>
      </c>
      <c r="Q470">
        <v>24</v>
      </c>
      <c r="R470">
        <v>44</v>
      </c>
    </row>
    <row r="471" spans="1:18" x14ac:dyDescent="0.25">
      <c r="A471" t="s">
        <v>547</v>
      </c>
      <c r="B471" t="s">
        <v>52</v>
      </c>
      <c r="C471" t="s">
        <v>501</v>
      </c>
      <c r="D471" t="s">
        <v>52</v>
      </c>
      <c r="E471" t="s">
        <v>78</v>
      </c>
      <c r="F471" t="s">
        <v>252</v>
      </c>
      <c r="G471">
        <v>6.1726758999999998</v>
      </c>
      <c r="H471">
        <v>-75.581229500000006</v>
      </c>
      <c r="J471">
        <v>11</v>
      </c>
      <c r="M471">
        <v>117</v>
      </c>
      <c r="N471">
        <v>24</v>
      </c>
      <c r="O471">
        <v>20</v>
      </c>
      <c r="P471">
        <v>28</v>
      </c>
      <c r="Q471">
        <v>19</v>
      </c>
      <c r="R471">
        <v>29</v>
      </c>
    </row>
    <row r="472" spans="1:18" x14ac:dyDescent="0.25">
      <c r="A472" t="s">
        <v>548</v>
      </c>
      <c r="B472" t="s">
        <v>52</v>
      </c>
      <c r="C472" t="s">
        <v>501</v>
      </c>
      <c r="D472" t="s">
        <v>52</v>
      </c>
      <c r="E472" t="s">
        <v>78</v>
      </c>
      <c r="F472" t="s">
        <v>252</v>
      </c>
      <c r="G472">
        <v>6.1726758999999998</v>
      </c>
      <c r="H472">
        <v>-75.581229500000006</v>
      </c>
      <c r="J472">
        <v>11</v>
      </c>
      <c r="M472">
        <v>113</v>
      </c>
      <c r="N472">
        <v>37</v>
      </c>
      <c r="O472">
        <v>20</v>
      </c>
      <c r="P472">
        <v>12</v>
      </c>
      <c r="Q472">
        <v>21</v>
      </c>
      <c r="R472">
        <v>27</v>
      </c>
    </row>
    <row r="473" spans="1:18" x14ac:dyDescent="0.25">
      <c r="A473" t="s">
        <v>549</v>
      </c>
      <c r="B473" t="s">
        <v>52</v>
      </c>
      <c r="C473" t="s">
        <v>501</v>
      </c>
      <c r="D473" t="s">
        <v>52</v>
      </c>
      <c r="E473" t="s">
        <v>78</v>
      </c>
      <c r="F473" t="s">
        <v>252</v>
      </c>
      <c r="G473">
        <v>6.1726758999999998</v>
      </c>
      <c r="H473">
        <v>-75.581229500000006</v>
      </c>
      <c r="J473">
        <v>11</v>
      </c>
      <c r="M473">
        <v>91</v>
      </c>
      <c r="N473">
        <v>34</v>
      </c>
      <c r="O473">
        <v>12</v>
      </c>
      <c r="P473">
        <v>10</v>
      </c>
      <c r="Q473">
        <v>22</v>
      </c>
      <c r="R473">
        <v>0</v>
      </c>
    </row>
    <row r="474" spans="1:18" x14ac:dyDescent="0.25">
      <c r="A474" t="s">
        <v>550</v>
      </c>
      <c r="B474" t="s">
        <v>52</v>
      </c>
      <c r="C474" t="s">
        <v>551</v>
      </c>
      <c r="D474" t="s">
        <v>52</v>
      </c>
      <c r="E474" t="s">
        <v>78</v>
      </c>
      <c r="F474" t="s">
        <v>252</v>
      </c>
      <c r="G474">
        <v>6.1619843000000003</v>
      </c>
      <c r="H474">
        <v>-75.593804000000006</v>
      </c>
      <c r="J474">
        <v>11</v>
      </c>
      <c r="M474">
        <v>378</v>
      </c>
      <c r="N474">
        <v>83</v>
      </c>
      <c r="O474">
        <v>56</v>
      </c>
      <c r="P474">
        <v>82</v>
      </c>
      <c r="Q474">
        <v>74</v>
      </c>
      <c r="R474">
        <v>96</v>
      </c>
    </row>
    <row r="475" spans="1:18" x14ac:dyDescent="0.25">
      <c r="A475" t="s">
        <v>552</v>
      </c>
      <c r="B475" t="s">
        <v>52</v>
      </c>
      <c r="C475" t="s">
        <v>551</v>
      </c>
      <c r="D475" t="s">
        <v>52</v>
      </c>
      <c r="E475" t="s">
        <v>78</v>
      </c>
      <c r="F475" t="s">
        <v>252</v>
      </c>
      <c r="G475">
        <v>6.1619843000000003</v>
      </c>
      <c r="H475">
        <v>-75.593804000000006</v>
      </c>
      <c r="J475">
        <v>11</v>
      </c>
      <c r="M475">
        <v>347</v>
      </c>
      <c r="N475">
        <v>63</v>
      </c>
      <c r="O475">
        <v>54</v>
      </c>
      <c r="P475">
        <v>76</v>
      </c>
      <c r="Q475">
        <v>79</v>
      </c>
      <c r="R475">
        <v>84</v>
      </c>
    </row>
    <row r="476" spans="1:18" x14ac:dyDescent="0.25">
      <c r="A476" t="s">
        <v>553</v>
      </c>
      <c r="B476" t="s">
        <v>52</v>
      </c>
      <c r="C476" t="s">
        <v>551</v>
      </c>
      <c r="D476" t="s">
        <v>52</v>
      </c>
      <c r="E476" t="s">
        <v>78</v>
      </c>
      <c r="F476" t="s">
        <v>252</v>
      </c>
      <c r="G476">
        <v>6.1619843000000003</v>
      </c>
      <c r="H476">
        <v>-75.593804000000006</v>
      </c>
      <c r="J476">
        <v>11</v>
      </c>
      <c r="M476">
        <v>345</v>
      </c>
      <c r="N476">
        <v>68</v>
      </c>
      <c r="O476">
        <v>54</v>
      </c>
      <c r="P476">
        <v>80</v>
      </c>
      <c r="Q476">
        <v>67</v>
      </c>
      <c r="R476">
        <v>89</v>
      </c>
    </row>
    <row r="477" spans="1:18" x14ac:dyDescent="0.25">
      <c r="A477" t="s">
        <v>554</v>
      </c>
      <c r="B477" t="s">
        <v>52</v>
      </c>
      <c r="C477" t="s">
        <v>551</v>
      </c>
      <c r="D477" t="s">
        <v>52</v>
      </c>
      <c r="E477" t="s">
        <v>78</v>
      </c>
      <c r="F477" t="s">
        <v>252</v>
      </c>
      <c r="G477">
        <v>6.1619843000000003</v>
      </c>
      <c r="H477">
        <v>-75.593804000000006</v>
      </c>
      <c r="J477">
        <v>11</v>
      </c>
      <c r="M477">
        <v>338</v>
      </c>
      <c r="N477">
        <v>83</v>
      </c>
      <c r="O477">
        <v>48</v>
      </c>
      <c r="P477">
        <v>72</v>
      </c>
      <c r="Q477">
        <v>59</v>
      </c>
      <c r="R477">
        <v>95</v>
      </c>
    </row>
    <row r="478" spans="1:18" x14ac:dyDescent="0.25">
      <c r="A478" t="s">
        <v>555</v>
      </c>
      <c r="B478" t="s">
        <v>52</v>
      </c>
      <c r="C478" t="s">
        <v>551</v>
      </c>
      <c r="D478" t="s">
        <v>52</v>
      </c>
      <c r="E478" t="s">
        <v>78</v>
      </c>
      <c r="F478" t="s">
        <v>252</v>
      </c>
      <c r="G478">
        <v>6.1619843000000003</v>
      </c>
      <c r="H478">
        <v>-75.593804000000006</v>
      </c>
      <c r="J478">
        <v>11</v>
      </c>
      <c r="M478">
        <v>335</v>
      </c>
      <c r="N478">
        <v>76</v>
      </c>
      <c r="O478">
        <v>52</v>
      </c>
      <c r="P478">
        <v>72</v>
      </c>
      <c r="Q478">
        <v>66</v>
      </c>
      <c r="R478">
        <v>76</v>
      </c>
    </row>
    <row r="479" spans="1:18" x14ac:dyDescent="0.25">
      <c r="A479" t="s">
        <v>556</v>
      </c>
      <c r="B479" t="s">
        <v>52</v>
      </c>
      <c r="C479" t="s">
        <v>551</v>
      </c>
      <c r="D479" t="s">
        <v>52</v>
      </c>
      <c r="E479" t="s">
        <v>78</v>
      </c>
      <c r="F479" t="s">
        <v>252</v>
      </c>
      <c r="G479">
        <v>6.1619843000000003</v>
      </c>
      <c r="H479">
        <v>-75.593804000000006</v>
      </c>
      <c r="J479">
        <v>11</v>
      </c>
      <c r="M479">
        <v>326</v>
      </c>
      <c r="N479">
        <v>78</v>
      </c>
      <c r="O479">
        <v>28</v>
      </c>
      <c r="P479">
        <v>88</v>
      </c>
      <c r="Q479">
        <v>60</v>
      </c>
      <c r="R479">
        <v>85</v>
      </c>
    </row>
    <row r="480" spans="1:18" x14ac:dyDescent="0.25">
      <c r="A480" t="s">
        <v>557</v>
      </c>
      <c r="B480" t="s">
        <v>52</v>
      </c>
      <c r="C480" t="s">
        <v>551</v>
      </c>
      <c r="D480" t="s">
        <v>52</v>
      </c>
      <c r="E480" t="s">
        <v>78</v>
      </c>
      <c r="F480" t="s">
        <v>252</v>
      </c>
      <c r="G480">
        <v>6.1619843000000003</v>
      </c>
      <c r="H480">
        <v>-75.593804000000006</v>
      </c>
      <c r="J480">
        <v>11</v>
      </c>
      <c r="M480">
        <v>322</v>
      </c>
      <c r="N480">
        <v>68</v>
      </c>
      <c r="O480">
        <v>46</v>
      </c>
      <c r="P480">
        <v>70</v>
      </c>
      <c r="Q480">
        <v>64</v>
      </c>
      <c r="R480">
        <v>93</v>
      </c>
    </row>
    <row r="481" spans="1:18" x14ac:dyDescent="0.25">
      <c r="A481" t="s">
        <v>558</v>
      </c>
      <c r="B481" t="s">
        <v>52</v>
      </c>
      <c r="C481" t="s">
        <v>551</v>
      </c>
      <c r="D481" t="s">
        <v>52</v>
      </c>
      <c r="E481" t="s">
        <v>78</v>
      </c>
      <c r="F481" t="s">
        <v>252</v>
      </c>
      <c r="G481">
        <v>6.1619843000000003</v>
      </c>
      <c r="H481">
        <v>-75.593804000000006</v>
      </c>
      <c r="J481">
        <v>11</v>
      </c>
      <c r="M481">
        <v>314</v>
      </c>
      <c r="N481">
        <v>63</v>
      </c>
      <c r="O481">
        <v>42</v>
      </c>
      <c r="P481">
        <v>88</v>
      </c>
      <c r="Q481">
        <v>50</v>
      </c>
      <c r="R481">
        <v>85</v>
      </c>
    </row>
    <row r="482" spans="1:18" x14ac:dyDescent="0.25">
      <c r="A482" t="s">
        <v>559</v>
      </c>
      <c r="B482" t="s">
        <v>52</v>
      </c>
      <c r="C482" t="s">
        <v>551</v>
      </c>
      <c r="D482" t="s">
        <v>52</v>
      </c>
      <c r="E482" t="s">
        <v>78</v>
      </c>
      <c r="F482" t="s">
        <v>252</v>
      </c>
      <c r="G482">
        <v>6.1619843000000003</v>
      </c>
      <c r="H482">
        <v>-75.593804000000006</v>
      </c>
      <c r="J482">
        <v>11</v>
      </c>
      <c r="M482">
        <v>314</v>
      </c>
      <c r="N482">
        <v>73</v>
      </c>
      <c r="O482">
        <v>34</v>
      </c>
      <c r="P482">
        <v>78</v>
      </c>
      <c r="Q482">
        <v>57</v>
      </c>
      <c r="R482">
        <v>89</v>
      </c>
    </row>
    <row r="483" spans="1:18" x14ac:dyDescent="0.25">
      <c r="A483" t="s">
        <v>560</v>
      </c>
      <c r="B483" t="s">
        <v>52</v>
      </c>
      <c r="C483" t="s">
        <v>551</v>
      </c>
      <c r="D483" t="s">
        <v>52</v>
      </c>
      <c r="E483" t="s">
        <v>78</v>
      </c>
      <c r="F483" t="s">
        <v>252</v>
      </c>
      <c r="G483">
        <v>6.1619843000000003</v>
      </c>
      <c r="H483">
        <v>-75.593804000000006</v>
      </c>
      <c r="J483">
        <v>11</v>
      </c>
      <c r="M483">
        <v>310</v>
      </c>
      <c r="N483">
        <v>76</v>
      </c>
      <c r="O483">
        <v>46</v>
      </c>
      <c r="P483">
        <v>62</v>
      </c>
      <c r="Q483">
        <v>55</v>
      </c>
      <c r="R483">
        <v>89</v>
      </c>
    </row>
    <row r="484" spans="1:18" x14ac:dyDescent="0.25">
      <c r="A484" t="s">
        <v>561</v>
      </c>
      <c r="B484" t="s">
        <v>52</v>
      </c>
      <c r="C484" t="s">
        <v>551</v>
      </c>
      <c r="D484" t="s">
        <v>52</v>
      </c>
      <c r="E484" t="s">
        <v>78</v>
      </c>
      <c r="F484" t="s">
        <v>252</v>
      </c>
      <c r="G484">
        <v>6.1619843000000003</v>
      </c>
      <c r="H484">
        <v>-75.593804000000006</v>
      </c>
      <c r="J484">
        <v>11</v>
      </c>
      <c r="M484">
        <v>306</v>
      </c>
      <c r="N484">
        <v>76</v>
      </c>
      <c r="O484">
        <v>40</v>
      </c>
      <c r="P484">
        <v>60</v>
      </c>
      <c r="Q484">
        <v>64</v>
      </c>
      <c r="R484">
        <v>76</v>
      </c>
    </row>
    <row r="485" spans="1:18" x14ac:dyDescent="0.25">
      <c r="A485" t="s">
        <v>562</v>
      </c>
      <c r="B485" t="s">
        <v>52</v>
      </c>
      <c r="C485" t="s">
        <v>551</v>
      </c>
      <c r="D485" t="s">
        <v>52</v>
      </c>
      <c r="E485" t="s">
        <v>78</v>
      </c>
      <c r="F485" t="s">
        <v>252</v>
      </c>
      <c r="G485">
        <v>6.1619843000000003</v>
      </c>
      <c r="H485">
        <v>-75.593804000000006</v>
      </c>
      <c r="J485">
        <v>11</v>
      </c>
      <c r="M485">
        <v>300</v>
      </c>
      <c r="N485">
        <v>68</v>
      </c>
      <c r="O485">
        <v>34</v>
      </c>
      <c r="P485">
        <v>80</v>
      </c>
      <c r="Q485">
        <v>50</v>
      </c>
      <c r="R485">
        <v>84</v>
      </c>
    </row>
    <row r="486" spans="1:18" x14ac:dyDescent="0.25">
      <c r="A486" t="s">
        <v>563</v>
      </c>
      <c r="B486" t="s">
        <v>52</v>
      </c>
      <c r="C486" t="s">
        <v>551</v>
      </c>
      <c r="D486" t="s">
        <v>52</v>
      </c>
      <c r="E486" t="s">
        <v>78</v>
      </c>
      <c r="F486" t="s">
        <v>252</v>
      </c>
      <c r="G486">
        <v>6.1619843000000003</v>
      </c>
      <c r="H486">
        <v>-75.593804000000006</v>
      </c>
      <c r="J486">
        <v>11</v>
      </c>
      <c r="M486">
        <v>298</v>
      </c>
      <c r="N486">
        <v>83</v>
      </c>
      <c r="O486">
        <v>42</v>
      </c>
      <c r="P486">
        <v>70</v>
      </c>
      <c r="Q486">
        <v>34</v>
      </c>
      <c r="R486">
        <v>87</v>
      </c>
    </row>
    <row r="487" spans="1:18" x14ac:dyDescent="0.25">
      <c r="A487" t="s">
        <v>564</v>
      </c>
      <c r="B487" t="s">
        <v>52</v>
      </c>
      <c r="C487" t="s">
        <v>551</v>
      </c>
      <c r="D487" t="s">
        <v>52</v>
      </c>
      <c r="E487" t="s">
        <v>78</v>
      </c>
      <c r="F487" t="s">
        <v>252</v>
      </c>
      <c r="G487">
        <v>6.1619843000000003</v>
      </c>
      <c r="H487">
        <v>-75.593804000000006</v>
      </c>
      <c r="J487">
        <v>11</v>
      </c>
      <c r="M487">
        <v>298</v>
      </c>
      <c r="N487">
        <v>68</v>
      </c>
      <c r="O487">
        <v>40</v>
      </c>
      <c r="P487">
        <v>72</v>
      </c>
      <c r="Q487">
        <v>55</v>
      </c>
      <c r="R487">
        <v>69</v>
      </c>
    </row>
    <row r="488" spans="1:18" x14ac:dyDescent="0.25">
      <c r="A488" t="s">
        <v>565</v>
      </c>
      <c r="B488" t="s">
        <v>52</v>
      </c>
      <c r="C488" t="s">
        <v>551</v>
      </c>
      <c r="D488" t="s">
        <v>52</v>
      </c>
      <c r="E488" t="s">
        <v>78</v>
      </c>
      <c r="F488" t="s">
        <v>252</v>
      </c>
      <c r="G488">
        <v>6.1619843000000003</v>
      </c>
      <c r="H488">
        <v>-75.593804000000006</v>
      </c>
      <c r="J488">
        <v>11</v>
      </c>
      <c r="M488">
        <v>295</v>
      </c>
      <c r="N488">
        <v>78</v>
      </c>
      <c r="O488">
        <v>44</v>
      </c>
      <c r="P488">
        <v>66</v>
      </c>
      <c r="Q488">
        <v>45</v>
      </c>
      <c r="R488">
        <v>69</v>
      </c>
    </row>
    <row r="489" spans="1:18" x14ac:dyDescent="0.25">
      <c r="A489" t="s">
        <v>566</v>
      </c>
      <c r="B489" t="s">
        <v>52</v>
      </c>
      <c r="C489" t="s">
        <v>551</v>
      </c>
      <c r="D489" t="s">
        <v>52</v>
      </c>
      <c r="E489" t="s">
        <v>78</v>
      </c>
      <c r="F489" t="s">
        <v>252</v>
      </c>
      <c r="G489">
        <v>6.1619843000000003</v>
      </c>
      <c r="H489">
        <v>-75.593804000000006</v>
      </c>
      <c r="J489">
        <v>11</v>
      </c>
      <c r="M489">
        <v>294</v>
      </c>
      <c r="N489">
        <v>78</v>
      </c>
      <c r="O489">
        <v>34</v>
      </c>
      <c r="P489">
        <v>60</v>
      </c>
      <c r="Q489">
        <v>55</v>
      </c>
      <c r="R489">
        <v>84</v>
      </c>
    </row>
    <row r="490" spans="1:18" x14ac:dyDescent="0.25">
      <c r="A490" t="s">
        <v>567</v>
      </c>
      <c r="B490" t="s">
        <v>52</v>
      </c>
      <c r="C490" t="s">
        <v>551</v>
      </c>
      <c r="D490" t="s">
        <v>52</v>
      </c>
      <c r="E490" t="s">
        <v>78</v>
      </c>
      <c r="F490" t="s">
        <v>252</v>
      </c>
      <c r="G490">
        <v>6.1619843000000003</v>
      </c>
      <c r="H490">
        <v>-75.593804000000006</v>
      </c>
      <c r="J490">
        <v>11</v>
      </c>
      <c r="M490">
        <v>292</v>
      </c>
      <c r="N490">
        <v>76</v>
      </c>
      <c r="O490">
        <v>48</v>
      </c>
      <c r="P490">
        <v>48</v>
      </c>
      <c r="Q490">
        <v>64</v>
      </c>
      <c r="R490">
        <v>53</v>
      </c>
    </row>
    <row r="491" spans="1:18" x14ac:dyDescent="0.25">
      <c r="A491" t="s">
        <v>568</v>
      </c>
      <c r="B491" t="s">
        <v>52</v>
      </c>
      <c r="C491" t="s">
        <v>551</v>
      </c>
      <c r="D491" t="s">
        <v>52</v>
      </c>
      <c r="E491" t="s">
        <v>78</v>
      </c>
      <c r="F491" t="s">
        <v>252</v>
      </c>
      <c r="G491">
        <v>6.1619843000000003</v>
      </c>
      <c r="H491">
        <v>-75.593804000000006</v>
      </c>
      <c r="J491">
        <v>11</v>
      </c>
      <c r="M491">
        <v>290</v>
      </c>
      <c r="N491">
        <v>66</v>
      </c>
      <c r="O491">
        <v>48</v>
      </c>
      <c r="P491">
        <v>64</v>
      </c>
      <c r="Q491">
        <v>50</v>
      </c>
      <c r="R491">
        <v>71</v>
      </c>
    </row>
    <row r="492" spans="1:18" x14ac:dyDescent="0.25">
      <c r="A492" t="s">
        <v>569</v>
      </c>
      <c r="B492" t="s">
        <v>52</v>
      </c>
      <c r="C492" t="s">
        <v>551</v>
      </c>
      <c r="D492" t="s">
        <v>52</v>
      </c>
      <c r="E492" t="s">
        <v>78</v>
      </c>
      <c r="F492" t="s">
        <v>252</v>
      </c>
      <c r="G492">
        <v>6.1619843000000003</v>
      </c>
      <c r="H492">
        <v>-75.593804000000006</v>
      </c>
      <c r="J492">
        <v>11</v>
      </c>
      <c r="M492">
        <v>287</v>
      </c>
      <c r="N492">
        <v>68</v>
      </c>
      <c r="O492">
        <v>44</v>
      </c>
      <c r="P492">
        <v>54</v>
      </c>
      <c r="Q492">
        <v>59</v>
      </c>
      <c r="R492">
        <v>71</v>
      </c>
    </row>
    <row r="493" spans="1:18" x14ac:dyDescent="0.25">
      <c r="A493" t="s">
        <v>570</v>
      </c>
      <c r="B493" t="s">
        <v>52</v>
      </c>
      <c r="C493" t="s">
        <v>551</v>
      </c>
      <c r="D493" t="s">
        <v>52</v>
      </c>
      <c r="E493" t="s">
        <v>78</v>
      </c>
      <c r="F493" t="s">
        <v>252</v>
      </c>
      <c r="G493">
        <v>6.1619843000000003</v>
      </c>
      <c r="H493">
        <v>-75.593804000000006</v>
      </c>
      <c r="J493">
        <v>11</v>
      </c>
      <c r="M493">
        <v>285</v>
      </c>
      <c r="N493">
        <v>68</v>
      </c>
      <c r="O493">
        <v>32</v>
      </c>
      <c r="P493">
        <v>72</v>
      </c>
      <c r="Q493">
        <v>57</v>
      </c>
      <c r="R493">
        <v>55</v>
      </c>
    </row>
    <row r="494" spans="1:18" x14ac:dyDescent="0.25">
      <c r="A494" t="s">
        <v>571</v>
      </c>
      <c r="B494" t="s">
        <v>52</v>
      </c>
      <c r="C494" t="s">
        <v>551</v>
      </c>
      <c r="D494" t="s">
        <v>52</v>
      </c>
      <c r="E494" t="s">
        <v>78</v>
      </c>
      <c r="F494" t="s">
        <v>252</v>
      </c>
      <c r="G494">
        <v>6.1619843000000003</v>
      </c>
      <c r="H494">
        <v>-75.593804000000006</v>
      </c>
      <c r="J494">
        <v>11</v>
      </c>
      <c r="M494">
        <v>282</v>
      </c>
      <c r="N494">
        <v>68</v>
      </c>
      <c r="O494">
        <v>42</v>
      </c>
      <c r="P494">
        <v>58</v>
      </c>
      <c r="Q494">
        <v>52</v>
      </c>
      <c r="R494">
        <v>73</v>
      </c>
    </row>
    <row r="495" spans="1:18" x14ac:dyDescent="0.25">
      <c r="A495" t="s">
        <v>572</v>
      </c>
      <c r="B495" t="s">
        <v>52</v>
      </c>
      <c r="C495" t="s">
        <v>551</v>
      </c>
      <c r="D495" t="s">
        <v>52</v>
      </c>
      <c r="E495" t="s">
        <v>78</v>
      </c>
      <c r="F495" t="s">
        <v>252</v>
      </c>
      <c r="G495">
        <v>6.1619843000000003</v>
      </c>
      <c r="H495">
        <v>-75.593804000000006</v>
      </c>
      <c r="J495">
        <v>11</v>
      </c>
      <c r="M495">
        <v>279</v>
      </c>
      <c r="N495">
        <v>61</v>
      </c>
      <c r="O495">
        <v>34</v>
      </c>
      <c r="P495">
        <v>66</v>
      </c>
      <c r="Q495">
        <v>52</v>
      </c>
      <c r="R495">
        <v>87</v>
      </c>
    </row>
    <row r="496" spans="1:18" x14ac:dyDescent="0.25">
      <c r="A496" t="s">
        <v>573</v>
      </c>
      <c r="B496" t="s">
        <v>52</v>
      </c>
      <c r="C496" t="s">
        <v>551</v>
      </c>
      <c r="D496" t="s">
        <v>52</v>
      </c>
      <c r="E496" t="s">
        <v>78</v>
      </c>
      <c r="F496" t="s">
        <v>252</v>
      </c>
      <c r="G496">
        <v>6.1619843000000003</v>
      </c>
      <c r="H496">
        <v>-75.593804000000006</v>
      </c>
      <c r="J496">
        <v>11</v>
      </c>
      <c r="M496">
        <v>277</v>
      </c>
      <c r="N496">
        <v>63</v>
      </c>
      <c r="O496">
        <v>46</v>
      </c>
      <c r="P496">
        <v>80</v>
      </c>
      <c r="Q496">
        <v>33</v>
      </c>
      <c r="R496">
        <v>53</v>
      </c>
    </row>
    <row r="497" spans="1:18" x14ac:dyDescent="0.25">
      <c r="A497" t="s">
        <v>574</v>
      </c>
      <c r="B497" t="s">
        <v>52</v>
      </c>
      <c r="C497" t="s">
        <v>551</v>
      </c>
      <c r="D497" t="s">
        <v>52</v>
      </c>
      <c r="E497" t="s">
        <v>78</v>
      </c>
      <c r="F497" t="s">
        <v>252</v>
      </c>
      <c r="G497">
        <v>6.1619843000000003</v>
      </c>
      <c r="H497">
        <v>-75.593804000000006</v>
      </c>
      <c r="J497">
        <v>11</v>
      </c>
      <c r="M497">
        <v>275</v>
      </c>
      <c r="N497">
        <v>68</v>
      </c>
      <c r="O497">
        <v>38</v>
      </c>
      <c r="P497">
        <v>54</v>
      </c>
      <c r="Q497">
        <v>59</v>
      </c>
      <c r="R497">
        <v>58</v>
      </c>
    </row>
    <row r="498" spans="1:18" x14ac:dyDescent="0.25">
      <c r="A498" t="s">
        <v>575</v>
      </c>
      <c r="B498" t="s">
        <v>52</v>
      </c>
      <c r="C498" t="s">
        <v>551</v>
      </c>
      <c r="D498" t="s">
        <v>52</v>
      </c>
      <c r="E498" t="s">
        <v>78</v>
      </c>
      <c r="F498" t="s">
        <v>252</v>
      </c>
      <c r="G498">
        <v>6.1619843000000003</v>
      </c>
      <c r="H498">
        <v>-75.593804000000006</v>
      </c>
      <c r="J498">
        <v>11</v>
      </c>
      <c r="M498">
        <v>274</v>
      </c>
      <c r="N498">
        <v>63</v>
      </c>
      <c r="O498">
        <v>50</v>
      </c>
      <c r="P498">
        <v>52</v>
      </c>
      <c r="Q498">
        <v>52</v>
      </c>
      <c r="R498">
        <v>60</v>
      </c>
    </row>
    <row r="499" spans="1:18" x14ac:dyDescent="0.25">
      <c r="A499" t="s">
        <v>576</v>
      </c>
      <c r="B499" t="s">
        <v>52</v>
      </c>
      <c r="C499" t="s">
        <v>551</v>
      </c>
      <c r="D499" t="s">
        <v>52</v>
      </c>
      <c r="E499" t="s">
        <v>78</v>
      </c>
      <c r="F499" t="s">
        <v>252</v>
      </c>
      <c r="G499">
        <v>6.1619843000000003</v>
      </c>
      <c r="H499">
        <v>-75.593804000000006</v>
      </c>
      <c r="J499">
        <v>11</v>
      </c>
      <c r="M499">
        <v>273</v>
      </c>
      <c r="N499">
        <v>68</v>
      </c>
      <c r="O499">
        <v>40</v>
      </c>
      <c r="P499">
        <v>70</v>
      </c>
      <c r="Q499">
        <v>34</v>
      </c>
      <c r="R499">
        <v>73</v>
      </c>
    </row>
    <row r="500" spans="1:18" x14ac:dyDescent="0.25">
      <c r="A500" t="s">
        <v>577</v>
      </c>
      <c r="B500" t="s">
        <v>52</v>
      </c>
      <c r="C500" t="s">
        <v>551</v>
      </c>
      <c r="D500" t="s">
        <v>52</v>
      </c>
      <c r="E500" t="s">
        <v>78</v>
      </c>
      <c r="F500" t="s">
        <v>252</v>
      </c>
      <c r="G500">
        <v>6.1619843000000003</v>
      </c>
      <c r="H500">
        <v>-75.593804000000006</v>
      </c>
      <c r="J500">
        <v>11</v>
      </c>
      <c r="M500">
        <v>270</v>
      </c>
      <c r="N500">
        <v>80</v>
      </c>
      <c r="O500">
        <v>38</v>
      </c>
      <c r="P500">
        <v>56</v>
      </c>
      <c r="Q500">
        <v>40</v>
      </c>
      <c r="R500">
        <v>60</v>
      </c>
    </row>
    <row r="501" spans="1:18" x14ac:dyDescent="0.25">
      <c r="A501" t="s">
        <v>578</v>
      </c>
      <c r="B501" t="s">
        <v>52</v>
      </c>
      <c r="C501" t="s">
        <v>551</v>
      </c>
      <c r="D501" t="s">
        <v>52</v>
      </c>
      <c r="E501" t="s">
        <v>78</v>
      </c>
      <c r="F501" t="s">
        <v>252</v>
      </c>
      <c r="G501">
        <v>6.1619843000000003</v>
      </c>
      <c r="H501">
        <v>-75.593804000000006</v>
      </c>
      <c r="J501">
        <v>11</v>
      </c>
      <c r="M501">
        <v>264</v>
      </c>
      <c r="N501">
        <v>68</v>
      </c>
      <c r="O501">
        <v>40</v>
      </c>
      <c r="P501">
        <v>50</v>
      </c>
      <c r="Q501">
        <v>47</v>
      </c>
      <c r="R501">
        <v>73</v>
      </c>
    </row>
    <row r="502" spans="1:18" x14ac:dyDescent="0.25">
      <c r="A502" t="s">
        <v>579</v>
      </c>
      <c r="B502" t="s">
        <v>52</v>
      </c>
      <c r="C502" t="s">
        <v>551</v>
      </c>
      <c r="D502" t="s">
        <v>52</v>
      </c>
      <c r="E502" t="s">
        <v>78</v>
      </c>
      <c r="F502" t="s">
        <v>252</v>
      </c>
      <c r="G502">
        <v>6.1619843000000003</v>
      </c>
      <c r="H502">
        <v>-75.593804000000006</v>
      </c>
      <c r="J502">
        <v>11</v>
      </c>
      <c r="M502">
        <v>261</v>
      </c>
      <c r="N502">
        <v>66</v>
      </c>
      <c r="O502">
        <v>38</v>
      </c>
      <c r="P502">
        <v>56</v>
      </c>
      <c r="Q502">
        <v>47</v>
      </c>
      <c r="R502">
        <v>58</v>
      </c>
    </row>
    <row r="503" spans="1:18" x14ac:dyDescent="0.25">
      <c r="A503" t="s">
        <v>580</v>
      </c>
      <c r="B503" t="s">
        <v>52</v>
      </c>
      <c r="C503" t="s">
        <v>551</v>
      </c>
      <c r="D503" t="s">
        <v>52</v>
      </c>
      <c r="E503" t="s">
        <v>78</v>
      </c>
      <c r="F503" t="s">
        <v>252</v>
      </c>
      <c r="G503">
        <v>6.1619843000000003</v>
      </c>
      <c r="H503">
        <v>-75.593804000000006</v>
      </c>
      <c r="J503">
        <v>11</v>
      </c>
      <c r="M503">
        <v>258</v>
      </c>
      <c r="N503">
        <v>66</v>
      </c>
      <c r="O503">
        <v>44</v>
      </c>
      <c r="P503">
        <v>48</v>
      </c>
      <c r="Q503">
        <v>50</v>
      </c>
      <c r="R503">
        <v>47</v>
      </c>
    </row>
    <row r="504" spans="1:18" x14ac:dyDescent="0.25">
      <c r="A504" t="s">
        <v>581</v>
      </c>
      <c r="B504" t="s">
        <v>52</v>
      </c>
      <c r="C504" t="s">
        <v>551</v>
      </c>
      <c r="D504" t="s">
        <v>52</v>
      </c>
      <c r="E504" t="s">
        <v>78</v>
      </c>
      <c r="F504" t="s">
        <v>252</v>
      </c>
      <c r="G504">
        <v>6.1619843000000003</v>
      </c>
      <c r="H504">
        <v>-75.593804000000006</v>
      </c>
      <c r="J504">
        <v>11</v>
      </c>
      <c r="M504">
        <v>257</v>
      </c>
      <c r="N504">
        <v>49</v>
      </c>
      <c r="O504">
        <v>32</v>
      </c>
      <c r="P504">
        <v>62</v>
      </c>
      <c r="Q504">
        <v>52</v>
      </c>
      <c r="R504">
        <v>85</v>
      </c>
    </row>
    <row r="505" spans="1:18" x14ac:dyDescent="0.25">
      <c r="A505" t="s">
        <v>582</v>
      </c>
      <c r="B505" t="s">
        <v>52</v>
      </c>
      <c r="C505" t="s">
        <v>551</v>
      </c>
      <c r="D505" t="s">
        <v>52</v>
      </c>
      <c r="E505" t="s">
        <v>78</v>
      </c>
      <c r="F505" t="s">
        <v>252</v>
      </c>
      <c r="G505">
        <v>6.1619843000000003</v>
      </c>
      <c r="H505">
        <v>-75.593804000000006</v>
      </c>
      <c r="J505">
        <v>11</v>
      </c>
      <c r="M505">
        <v>256</v>
      </c>
      <c r="N505">
        <v>68</v>
      </c>
      <c r="O505">
        <v>40</v>
      </c>
      <c r="P505">
        <v>24</v>
      </c>
      <c r="Q505">
        <v>62</v>
      </c>
      <c r="R505">
        <v>84</v>
      </c>
    </row>
    <row r="506" spans="1:18" x14ac:dyDescent="0.25">
      <c r="A506" t="s">
        <v>583</v>
      </c>
      <c r="B506" t="s">
        <v>52</v>
      </c>
      <c r="C506" t="s">
        <v>551</v>
      </c>
      <c r="D506" t="s">
        <v>52</v>
      </c>
      <c r="E506" t="s">
        <v>78</v>
      </c>
      <c r="F506" t="s">
        <v>252</v>
      </c>
      <c r="G506">
        <v>6.1619843000000003</v>
      </c>
      <c r="H506">
        <v>-75.593804000000006</v>
      </c>
      <c r="J506">
        <v>11</v>
      </c>
      <c r="M506">
        <v>255</v>
      </c>
      <c r="N506">
        <v>56</v>
      </c>
      <c r="O506">
        <v>34</v>
      </c>
      <c r="P506">
        <v>70</v>
      </c>
      <c r="Q506">
        <v>47</v>
      </c>
      <c r="R506">
        <v>44</v>
      </c>
    </row>
    <row r="507" spans="1:18" x14ac:dyDescent="0.25">
      <c r="A507" t="s">
        <v>584</v>
      </c>
      <c r="B507" t="s">
        <v>52</v>
      </c>
      <c r="C507" t="s">
        <v>551</v>
      </c>
      <c r="D507" t="s">
        <v>52</v>
      </c>
      <c r="E507" t="s">
        <v>78</v>
      </c>
      <c r="F507" t="s">
        <v>252</v>
      </c>
      <c r="G507">
        <v>6.1619843000000003</v>
      </c>
      <c r="H507">
        <v>-75.593804000000006</v>
      </c>
      <c r="J507">
        <v>11</v>
      </c>
      <c r="M507">
        <v>253</v>
      </c>
      <c r="N507">
        <v>63</v>
      </c>
      <c r="O507">
        <v>36</v>
      </c>
      <c r="P507">
        <v>44</v>
      </c>
      <c r="Q507">
        <v>48</v>
      </c>
      <c r="R507">
        <v>84</v>
      </c>
    </row>
    <row r="508" spans="1:18" x14ac:dyDescent="0.25">
      <c r="A508" t="s">
        <v>585</v>
      </c>
      <c r="B508" t="s">
        <v>52</v>
      </c>
      <c r="C508" t="s">
        <v>551</v>
      </c>
      <c r="D508" t="s">
        <v>52</v>
      </c>
      <c r="E508" t="s">
        <v>78</v>
      </c>
      <c r="F508" t="s">
        <v>252</v>
      </c>
      <c r="G508">
        <v>6.1619843000000003</v>
      </c>
      <c r="H508">
        <v>-75.593804000000006</v>
      </c>
      <c r="J508">
        <v>11</v>
      </c>
      <c r="M508">
        <v>251</v>
      </c>
      <c r="N508">
        <v>63</v>
      </c>
      <c r="O508">
        <v>40</v>
      </c>
      <c r="P508">
        <v>52</v>
      </c>
      <c r="Q508">
        <v>43</v>
      </c>
      <c r="R508">
        <v>58</v>
      </c>
    </row>
    <row r="509" spans="1:18" x14ac:dyDescent="0.25">
      <c r="A509" t="s">
        <v>586</v>
      </c>
      <c r="B509" t="s">
        <v>52</v>
      </c>
      <c r="C509" t="s">
        <v>551</v>
      </c>
      <c r="D509" t="s">
        <v>52</v>
      </c>
      <c r="E509" t="s">
        <v>78</v>
      </c>
      <c r="F509" t="s">
        <v>252</v>
      </c>
      <c r="G509">
        <v>6.1619843000000003</v>
      </c>
      <c r="H509">
        <v>-75.593804000000006</v>
      </c>
      <c r="J509">
        <v>11</v>
      </c>
      <c r="M509">
        <v>250</v>
      </c>
      <c r="N509">
        <v>59</v>
      </c>
      <c r="O509">
        <v>34</v>
      </c>
      <c r="P509">
        <v>78</v>
      </c>
      <c r="Q509">
        <v>28</v>
      </c>
      <c r="R509">
        <v>56</v>
      </c>
    </row>
    <row r="510" spans="1:18" x14ac:dyDescent="0.25">
      <c r="A510" t="s">
        <v>587</v>
      </c>
      <c r="B510" t="s">
        <v>52</v>
      </c>
      <c r="C510" t="s">
        <v>551</v>
      </c>
      <c r="D510" t="s">
        <v>52</v>
      </c>
      <c r="E510" t="s">
        <v>78</v>
      </c>
      <c r="F510" t="s">
        <v>252</v>
      </c>
      <c r="G510">
        <v>6.1619843000000003</v>
      </c>
      <c r="H510">
        <v>-75.593804000000006</v>
      </c>
      <c r="J510">
        <v>11</v>
      </c>
      <c r="M510">
        <v>249</v>
      </c>
      <c r="N510">
        <v>80</v>
      </c>
      <c r="O510">
        <v>26</v>
      </c>
      <c r="P510">
        <v>62</v>
      </c>
      <c r="Q510">
        <v>33</v>
      </c>
      <c r="R510">
        <v>44</v>
      </c>
    </row>
    <row r="511" spans="1:18" x14ac:dyDescent="0.25">
      <c r="A511" t="s">
        <v>588</v>
      </c>
      <c r="B511" t="s">
        <v>52</v>
      </c>
      <c r="C511" t="s">
        <v>551</v>
      </c>
      <c r="D511" t="s">
        <v>52</v>
      </c>
      <c r="E511" t="s">
        <v>78</v>
      </c>
      <c r="F511" t="s">
        <v>252</v>
      </c>
      <c r="G511">
        <v>6.1619843000000003</v>
      </c>
      <c r="H511">
        <v>-75.593804000000006</v>
      </c>
      <c r="J511">
        <v>11</v>
      </c>
      <c r="M511">
        <v>248</v>
      </c>
      <c r="N511">
        <v>68</v>
      </c>
      <c r="O511">
        <v>38</v>
      </c>
      <c r="P511">
        <v>44</v>
      </c>
      <c r="Q511">
        <v>38</v>
      </c>
      <c r="R511">
        <v>80</v>
      </c>
    </row>
    <row r="512" spans="1:18" x14ac:dyDescent="0.25">
      <c r="A512" t="s">
        <v>589</v>
      </c>
      <c r="B512" t="s">
        <v>52</v>
      </c>
      <c r="C512" t="s">
        <v>551</v>
      </c>
      <c r="D512" t="s">
        <v>52</v>
      </c>
      <c r="E512" t="s">
        <v>78</v>
      </c>
      <c r="F512" t="s">
        <v>252</v>
      </c>
      <c r="G512">
        <v>6.1619843000000003</v>
      </c>
      <c r="H512">
        <v>-75.593804000000006</v>
      </c>
      <c r="J512">
        <v>11</v>
      </c>
      <c r="M512">
        <v>247</v>
      </c>
      <c r="N512">
        <v>63</v>
      </c>
      <c r="O512">
        <v>26</v>
      </c>
      <c r="P512">
        <v>46</v>
      </c>
      <c r="Q512">
        <v>52</v>
      </c>
      <c r="R512">
        <v>80</v>
      </c>
    </row>
    <row r="513" spans="1:18" x14ac:dyDescent="0.25">
      <c r="A513" t="s">
        <v>590</v>
      </c>
      <c r="B513" t="s">
        <v>52</v>
      </c>
      <c r="C513" t="s">
        <v>551</v>
      </c>
      <c r="D513" t="s">
        <v>52</v>
      </c>
      <c r="E513" t="s">
        <v>78</v>
      </c>
      <c r="F513" t="s">
        <v>252</v>
      </c>
      <c r="G513">
        <v>6.1619843000000003</v>
      </c>
      <c r="H513">
        <v>-75.593804000000006</v>
      </c>
      <c r="J513">
        <v>11</v>
      </c>
      <c r="M513">
        <v>246</v>
      </c>
      <c r="N513">
        <v>66</v>
      </c>
      <c r="O513">
        <v>26</v>
      </c>
      <c r="P513">
        <v>28</v>
      </c>
      <c r="Q513">
        <v>72</v>
      </c>
      <c r="R513">
        <v>62</v>
      </c>
    </row>
    <row r="514" spans="1:18" x14ac:dyDescent="0.25">
      <c r="A514" t="s">
        <v>591</v>
      </c>
      <c r="B514" t="s">
        <v>52</v>
      </c>
      <c r="C514" t="s">
        <v>551</v>
      </c>
      <c r="D514" t="s">
        <v>52</v>
      </c>
      <c r="E514" t="s">
        <v>78</v>
      </c>
      <c r="F514" t="s">
        <v>252</v>
      </c>
      <c r="G514">
        <v>6.1619843000000003</v>
      </c>
      <c r="H514">
        <v>-75.593804000000006</v>
      </c>
      <c r="J514">
        <v>11</v>
      </c>
      <c r="M514">
        <v>244</v>
      </c>
      <c r="N514">
        <v>59</v>
      </c>
      <c r="O514">
        <v>38</v>
      </c>
      <c r="P514">
        <v>52</v>
      </c>
      <c r="Q514">
        <v>40</v>
      </c>
      <c r="R514">
        <v>69</v>
      </c>
    </row>
    <row r="515" spans="1:18" x14ac:dyDescent="0.25">
      <c r="A515" t="s">
        <v>592</v>
      </c>
      <c r="B515" t="s">
        <v>52</v>
      </c>
      <c r="C515" t="s">
        <v>551</v>
      </c>
      <c r="D515" t="s">
        <v>52</v>
      </c>
      <c r="E515" t="s">
        <v>78</v>
      </c>
      <c r="F515" t="s">
        <v>252</v>
      </c>
      <c r="G515">
        <v>6.1619843000000003</v>
      </c>
      <c r="H515">
        <v>-75.593804000000006</v>
      </c>
      <c r="J515">
        <v>11</v>
      </c>
      <c r="M515">
        <v>243</v>
      </c>
      <c r="N515">
        <v>68</v>
      </c>
      <c r="O515">
        <v>36</v>
      </c>
      <c r="P515">
        <v>44</v>
      </c>
      <c r="Q515">
        <v>47</v>
      </c>
      <c r="R515">
        <v>47</v>
      </c>
    </row>
    <row r="516" spans="1:18" x14ac:dyDescent="0.25">
      <c r="A516" t="s">
        <v>593</v>
      </c>
      <c r="B516" t="s">
        <v>52</v>
      </c>
      <c r="C516" t="s">
        <v>551</v>
      </c>
      <c r="D516" t="s">
        <v>52</v>
      </c>
      <c r="E516" t="s">
        <v>78</v>
      </c>
      <c r="F516" t="s">
        <v>252</v>
      </c>
      <c r="G516">
        <v>6.1619843000000003</v>
      </c>
      <c r="H516">
        <v>-75.593804000000006</v>
      </c>
      <c r="J516">
        <v>11</v>
      </c>
      <c r="M516">
        <v>243</v>
      </c>
      <c r="N516">
        <v>66</v>
      </c>
      <c r="O516">
        <v>42</v>
      </c>
      <c r="P516">
        <v>36</v>
      </c>
      <c r="Q516">
        <v>43</v>
      </c>
      <c r="R516">
        <v>71</v>
      </c>
    </row>
    <row r="517" spans="1:18" x14ac:dyDescent="0.25">
      <c r="A517" t="s">
        <v>594</v>
      </c>
      <c r="B517" t="s">
        <v>52</v>
      </c>
      <c r="C517" t="s">
        <v>551</v>
      </c>
      <c r="D517" t="s">
        <v>52</v>
      </c>
      <c r="E517" t="s">
        <v>78</v>
      </c>
      <c r="F517" t="s">
        <v>252</v>
      </c>
      <c r="G517">
        <v>6.1619843000000003</v>
      </c>
      <c r="H517">
        <v>-75.593804000000006</v>
      </c>
      <c r="J517">
        <v>11</v>
      </c>
      <c r="M517">
        <v>243</v>
      </c>
      <c r="N517">
        <v>59</v>
      </c>
      <c r="O517">
        <v>28</v>
      </c>
      <c r="P517">
        <v>62</v>
      </c>
      <c r="Q517">
        <v>41</v>
      </c>
      <c r="R517">
        <v>62</v>
      </c>
    </row>
    <row r="518" spans="1:18" x14ac:dyDescent="0.25">
      <c r="A518" t="s">
        <v>595</v>
      </c>
      <c r="B518" t="s">
        <v>52</v>
      </c>
      <c r="C518" t="s">
        <v>551</v>
      </c>
      <c r="D518" t="s">
        <v>52</v>
      </c>
      <c r="E518" t="s">
        <v>78</v>
      </c>
      <c r="F518" t="s">
        <v>252</v>
      </c>
      <c r="G518">
        <v>6.1619843000000003</v>
      </c>
      <c r="H518">
        <v>-75.593804000000006</v>
      </c>
      <c r="J518">
        <v>11</v>
      </c>
      <c r="M518">
        <v>242</v>
      </c>
      <c r="N518">
        <v>73</v>
      </c>
      <c r="O518">
        <v>30</v>
      </c>
      <c r="P518">
        <v>56</v>
      </c>
      <c r="Q518">
        <v>36</v>
      </c>
      <c r="R518">
        <v>44</v>
      </c>
    </row>
    <row r="519" spans="1:18" x14ac:dyDescent="0.25">
      <c r="A519" t="s">
        <v>596</v>
      </c>
      <c r="B519" t="s">
        <v>52</v>
      </c>
      <c r="C519" t="s">
        <v>551</v>
      </c>
      <c r="D519" t="s">
        <v>52</v>
      </c>
      <c r="E519" t="s">
        <v>78</v>
      </c>
      <c r="F519" t="s">
        <v>252</v>
      </c>
      <c r="G519">
        <v>6.1619843000000003</v>
      </c>
      <c r="H519">
        <v>-75.593804000000006</v>
      </c>
      <c r="J519">
        <v>11</v>
      </c>
      <c r="M519">
        <v>241</v>
      </c>
      <c r="N519">
        <v>56</v>
      </c>
      <c r="O519">
        <v>28</v>
      </c>
      <c r="P519">
        <v>54</v>
      </c>
      <c r="Q519">
        <v>50</v>
      </c>
      <c r="R519">
        <v>62</v>
      </c>
    </row>
    <row r="520" spans="1:18" x14ac:dyDescent="0.25">
      <c r="A520" t="s">
        <v>597</v>
      </c>
      <c r="B520" t="s">
        <v>52</v>
      </c>
      <c r="C520" t="s">
        <v>551</v>
      </c>
      <c r="D520" t="s">
        <v>52</v>
      </c>
      <c r="E520" t="s">
        <v>78</v>
      </c>
      <c r="F520" t="s">
        <v>252</v>
      </c>
      <c r="G520">
        <v>6.1619843000000003</v>
      </c>
      <c r="H520">
        <v>-75.593804000000006</v>
      </c>
      <c r="J520">
        <v>11</v>
      </c>
      <c r="M520">
        <v>241</v>
      </c>
      <c r="N520">
        <v>66</v>
      </c>
      <c r="O520">
        <v>28</v>
      </c>
      <c r="P520">
        <v>50</v>
      </c>
      <c r="Q520">
        <v>38</v>
      </c>
      <c r="R520">
        <v>80</v>
      </c>
    </row>
    <row r="521" spans="1:18" x14ac:dyDescent="0.25">
      <c r="A521" t="s">
        <v>598</v>
      </c>
      <c r="B521" t="s">
        <v>52</v>
      </c>
      <c r="C521" t="s">
        <v>551</v>
      </c>
      <c r="D521" t="s">
        <v>52</v>
      </c>
      <c r="E521" t="s">
        <v>78</v>
      </c>
      <c r="F521" t="s">
        <v>252</v>
      </c>
      <c r="G521">
        <v>6.1619843000000003</v>
      </c>
      <c r="H521">
        <v>-75.593804000000006</v>
      </c>
      <c r="J521">
        <v>11</v>
      </c>
      <c r="M521">
        <v>239</v>
      </c>
      <c r="N521">
        <v>59</v>
      </c>
      <c r="O521">
        <v>38</v>
      </c>
      <c r="P521">
        <v>48</v>
      </c>
      <c r="Q521">
        <v>43</v>
      </c>
      <c r="R521">
        <v>58</v>
      </c>
    </row>
    <row r="522" spans="1:18" x14ac:dyDescent="0.25">
      <c r="A522" t="s">
        <v>599</v>
      </c>
      <c r="B522" t="s">
        <v>52</v>
      </c>
      <c r="C522" t="s">
        <v>551</v>
      </c>
      <c r="D522" t="s">
        <v>52</v>
      </c>
      <c r="E522" t="s">
        <v>78</v>
      </c>
      <c r="F522" t="s">
        <v>252</v>
      </c>
      <c r="G522">
        <v>6.1619843000000003</v>
      </c>
      <c r="H522">
        <v>-75.593804000000006</v>
      </c>
      <c r="J522">
        <v>11</v>
      </c>
      <c r="M522">
        <v>237</v>
      </c>
      <c r="N522">
        <v>49</v>
      </c>
      <c r="O522">
        <v>40</v>
      </c>
      <c r="P522">
        <v>46</v>
      </c>
      <c r="Q522">
        <v>57</v>
      </c>
      <c r="R522">
        <v>42</v>
      </c>
    </row>
    <row r="523" spans="1:18" x14ac:dyDescent="0.25">
      <c r="A523" t="s">
        <v>600</v>
      </c>
      <c r="B523" t="s">
        <v>52</v>
      </c>
      <c r="C523" t="s">
        <v>551</v>
      </c>
      <c r="D523" t="s">
        <v>52</v>
      </c>
      <c r="E523" t="s">
        <v>78</v>
      </c>
      <c r="F523" t="s">
        <v>252</v>
      </c>
      <c r="G523">
        <v>6.1619843000000003</v>
      </c>
      <c r="H523">
        <v>-75.593804000000006</v>
      </c>
      <c r="J523">
        <v>11</v>
      </c>
      <c r="M523">
        <v>237</v>
      </c>
      <c r="N523">
        <v>56</v>
      </c>
      <c r="O523">
        <v>38</v>
      </c>
      <c r="P523">
        <v>46</v>
      </c>
      <c r="Q523">
        <v>48</v>
      </c>
      <c r="R523">
        <v>51</v>
      </c>
    </row>
    <row r="524" spans="1:18" x14ac:dyDescent="0.25">
      <c r="A524" t="s">
        <v>601</v>
      </c>
      <c r="B524" t="s">
        <v>52</v>
      </c>
      <c r="C524" t="s">
        <v>551</v>
      </c>
      <c r="D524" t="s">
        <v>52</v>
      </c>
      <c r="E524" t="s">
        <v>78</v>
      </c>
      <c r="F524" t="s">
        <v>252</v>
      </c>
      <c r="G524">
        <v>6.1619843000000003</v>
      </c>
      <c r="H524">
        <v>-75.593804000000006</v>
      </c>
      <c r="J524">
        <v>11</v>
      </c>
      <c r="M524">
        <v>237</v>
      </c>
      <c r="N524">
        <v>68</v>
      </c>
      <c r="O524">
        <v>24</v>
      </c>
      <c r="P524">
        <v>54</v>
      </c>
      <c r="Q524">
        <v>40</v>
      </c>
      <c r="R524">
        <v>58</v>
      </c>
    </row>
    <row r="525" spans="1:18" x14ac:dyDescent="0.25">
      <c r="A525" t="s">
        <v>602</v>
      </c>
      <c r="B525" t="s">
        <v>52</v>
      </c>
      <c r="C525" t="s">
        <v>551</v>
      </c>
      <c r="D525" t="s">
        <v>52</v>
      </c>
      <c r="E525" t="s">
        <v>78</v>
      </c>
      <c r="F525" t="s">
        <v>252</v>
      </c>
      <c r="G525">
        <v>6.1619843000000003</v>
      </c>
      <c r="H525">
        <v>-75.593804000000006</v>
      </c>
      <c r="J525">
        <v>11</v>
      </c>
      <c r="M525">
        <v>237</v>
      </c>
      <c r="N525">
        <v>54</v>
      </c>
      <c r="O525">
        <v>34</v>
      </c>
      <c r="P525">
        <v>50</v>
      </c>
      <c r="Q525">
        <v>40</v>
      </c>
      <c r="R525">
        <v>84</v>
      </c>
    </row>
    <row r="526" spans="1:18" x14ac:dyDescent="0.25">
      <c r="A526" t="s">
        <v>603</v>
      </c>
      <c r="B526" t="s">
        <v>52</v>
      </c>
      <c r="C526" t="s">
        <v>551</v>
      </c>
      <c r="D526" t="s">
        <v>52</v>
      </c>
      <c r="E526" t="s">
        <v>78</v>
      </c>
      <c r="F526" t="s">
        <v>252</v>
      </c>
      <c r="G526">
        <v>6.1619843000000003</v>
      </c>
      <c r="H526">
        <v>-75.593804000000006</v>
      </c>
      <c r="J526">
        <v>11</v>
      </c>
      <c r="M526">
        <v>236</v>
      </c>
      <c r="N526">
        <v>71</v>
      </c>
      <c r="O526">
        <v>40</v>
      </c>
      <c r="P526">
        <v>36</v>
      </c>
      <c r="Q526">
        <v>36</v>
      </c>
      <c r="R526">
        <v>65</v>
      </c>
    </row>
    <row r="527" spans="1:18" x14ac:dyDescent="0.25">
      <c r="A527" t="s">
        <v>604</v>
      </c>
      <c r="B527" t="s">
        <v>52</v>
      </c>
      <c r="C527" t="s">
        <v>551</v>
      </c>
      <c r="D527" t="s">
        <v>52</v>
      </c>
      <c r="E527" t="s">
        <v>78</v>
      </c>
      <c r="F527" t="s">
        <v>252</v>
      </c>
      <c r="G527">
        <v>6.1619843000000003</v>
      </c>
      <c r="H527">
        <v>-75.593804000000006</v>
      </c>
      <c r="J527">
        <v>11</v>
      </c>
      <c r="M527">
        <v>236</v>
      </c>
      <c r="N527">
        <v>68</v>
      </c>
      <c r="O527">
        <v>36</v>
      </c>
      <c r="P527">
        <v>42</v>
      </c>
      <c r="Q527">
        <v>40</v>
      </c>
      <c r="R527">
        <v>56</v>
      </c>
    </row>
    <row r="528" spans="1:18" x14ac:dyDescent="0.25">
      <c r="A528" t="s">
        <v>605</v>
      </c>
      <c r="B528" t="s">
        <v>52</v>
      </c>
      <c r="C528" t="s">
        <v>551</v>
      </c>
      <c r="D528" t="s">
        <v>52</v>
      </c>
      <c r="E528" t="s">
        <v>78</v>
      </c>
      <c r="F528" t="s">
        <v>252</v>
      </c>
      <c r="G528">
        <v>6.1619843000000003</v>
      </c>
      <c r="H528">
        <v>-75.593804000000006</v>
      </c>
      <c r="J528">
        <v>11</v>
      </c>
      <c r="M528">
        <v>236</v>
      </c>
      <c r="N528">
        <v>51</v>
      </c>
      <c r="O528">
        <v>50</v>
      </c>
      <c r="P528">
        <v>38</v>
      </c>
      <c r="Q528">
        <v>34</v>
      </c>
      <c r="R528">
        <v>93</v>
      </c>
    </row>
    <row r="529" spans="1:18" x14ac:dyDescent="0.25">
      <c r="A529" t="s">
        <v>606</v>
      </c>
      <c r="B529" t="s">
        <v>52</v>
      </c>
      <c r="C529" t="s">
        <v>551</v>
      </c>
      <c r="D529" t="s">
        <v>52</v>
      </c>
      <c r="E529" t="s">
        <v>78</v>
      </c>
      <c r="F529" t="s">
        <v>252</v>
      </c>
      <c r="G529">
        <v>6.1619843000000003</v>
      </c>
      <c r="H529">
        <v>-75.593804000000006</v>
      </c>
      <c r="J529">
        <v>11</v>
      </c>
      <c r="M529">
        <v>233</v>
      </c>
      <c r="N529">
        <v>54</v>
      </c>
      <c r="O529">
        <v>56</v>
      </c>
      <c r="P529">
        <v>38</v>
      </c>
      <c r="Q529">
        <v>33</v>
      </c>
      <c r="R529">
        <v>64</v>
      </c>
    </row>
    <row r="530" spans="1:18" x14ac:dyDescent="0.25">
      <c r="A530" t="s">
        <v>607</v>
      </c>
      <c r="B530" t="s">
        <v>52</v>
      </c>
      <c r="C530" t="s">
        <v>551</v>
      </c>
      <c r="D530" t="s">
        <v>52</v>
      </c>
      <c r="E530" t="s">
        <v>78</v>
      </c>
      <c r="F530" t="s">
        <v>252</v>
      </c>
      <c r="G530">
        <v>6.1619843000000003</v>
      </c>
      <c r="H530">
        <v>-75.593804000000006</v>
      </c>
      <c r="J530">
        <v>11</v>
      </c>
      <c r="M530">
        <v>232</v>
      </c>
      <c r="N530">
        <v>41</v>
      </c>
      <c r="O530">
        <v>42</v>
      </c>
      <c r="P530">
        <v>54</v>
      </c>
      <c r="Q530">
        <v>47</v>
      </c>
      <c r="R530">
        <v>51</v>
      </c>
    </row>
    <row r="531" spans="1:18" x14ac:dyDescent="0.25">
      <c r="A531" t="s">
        <v>608</v>
      </c>
      <c r="B531" t="s">
        <v>52</v>
      </c>
      <c r="C531" t="s">
        <v>551</v>
      </c>
      <c r="D531" t="s">
        <v>52</v>
      </c>
      <c r="E531" t="s">
        <v>78</v>
      </c>
      <c r="F531" t="s">
        <v>252</v>
      </c>
      <c r="G531">
        <v>6.1619843000000003</v>
      </c>
      <c r="H531">
        <v>-75.593804000000006</v>
      </c>
      <c r="J531">
        <v>11</v>
      </c>
      <c r="M531">
        <v>232</v>
      </c>
      <c r="N531">
        <v>46</v>
      </c>
      <c r="O531">
        <v>38</v>
      </c>
      <c r="P531">
        <v>40</v>
      </c>
      <c r="Q531">
        <v>45</v>
      </c>
      <c r="R531">
        <v>95</v>
      </c>
    </row>
    <row r="532" spans="1:18" x14ac:dyDescent="0.25">
      <c r="A532" t="s">
        <v>609</v>
      </c>
      <c r="B532" t="s">
        <v>52</v>
      </c>
      <c r="C532" t="s">
        <v>551</v>
      </c>
      <c r="D532" t="s">
        <v>52</v>
      </c>
      <c r="E532" t="s">
        <v>78</v>
      </c>
      <c r="F532" t="s">
        <v>252</v>
      </c>
      <c r="G532">
        <v>6.1619843000000003</v>
      </c>
      <c r="H532">
        <v>-75.593804000000006</v>
      </c>
      <c r="J532">
        <v>11</v>
      </c>
      <c r="M532">
        <v>230</v>
      </c>
      <c r="N532">
        <v>61</v>
      </c>
      <c r="O532">
        <v>32</v>
      </c>
      <c r="P532">
        <v>44</v>
      </c>
      <c r="Q532">
        <v>50</v>
      </c>
      <c r="R532">
        <v>38</v>
      </c>
    </row>
    <row r="533" spans="1:18" x14ac:dyDescent="0.25">
      <c r="A533" t="s">
        <v>610</v>
      </c>
      <c r="B533" t="s">
        <v>52</v>
      </c>
      <c r="C533" t="s">
        <v>551</v>
      </c>
      <c r="D533" t="s">
        <v>52</v>
      </c>
      <c r="E533" t="s">
        <v>78</v>
      </c>
      <c r="F533" t="s">
        <v>252</v>
      </c>
      <c r="G533">
        <v>6.1619843000000003</v>
      </c>
      <c r="H533">
        <v>-75.593804000000006</v>
      </c>
      <c r="J533">
        <v>11</v>
      </c>
      <c r="M533">
        <v>228</v>
      </c>
      <c r="N533">
        <v>54</v>
      </c>
      <c r="O533">
        <v>38</v>
      </c>
      <c r="P533">
        <v>48</v>
      </c>
      <c r="Q533">
        <v>45</v>
      </c>
      <c r="R533">
        <v>40</v>
      </c>
    </row>
    <row r="534" spans="1:18" x14ac:dyDescent="0.25">
      <c r="A534" t="s">
        <v>611</v>
      </c>
      <c r="B534" t="s">
        <v>52</v>
      </c>
      <c r="C534" t="s">
        <v>551</v>
      </c>
      <c r="D534" t="s">
        <v>52</v>
      </c>
      <c r="E534" t="s">
        <v>78</v>
      </c>
      <c r="F534" t="s">
        <v>252</v>
      </c>
      <c r="G534">
        <v>6.1619843000000003</v>
      </c>
      <c r="H534">
        <v>-75.593804000000006</v>
      </c>
      <c r="J534">
        <v>11</v>
      </c>
      <c r="M534">
        <v>228</v>
      </c>
      <c r="N534">
        <v>63</v>
      </c>
      <c r="O534">
        <v>44</v>
      </c>
      <c r="P534">
        <v>54</v>
      </c>
      <c r="Q534">
        <v>22</v>
      </c>
      <c r="R534">
        <v>42</v>
      </c>
    </row>
    <row r="535" spans="1:18" x14ac:dyDescent="0.25">
      <c r="A535" t="s">
        <v>612</v>
      </c>
      <c r="B535" t="s">
        <v>52</v>
      </c>
      <c r="C535" t="s">
        <v>551</v>
      </c>
      <c r="D535" t="s">
        <v>52</v>
      </c>
      <c r="E535" t="s">
        <v>78</v>
      </c>
      <c r="F535" t="s">
        <v>252</v>
      </c>
      <c r="G535">
        <v>6.1619843000000003</v>
      </c>
      <c r="H535">
        <v>-75.593804000000006</v>
      </c>
      <c r="J535">
        <v>11</v>
      </c>
      <c r="M535">
        <v>227</v>
      </c>
      <c r="N535">
        <v>59</v>
      </c>
      <c r="O535">
        <v>32</v>
      </c>
      <c r="P535">
        <v>46</v>
      </c>
      <c r="Q535">
        <v>47</v>
      </c>
      <c r="R535">
        <v>42</v>
      </c>
    </row>
    <row r="536" spans="1:18" x14ac:dyDescent="0.25">
      <c r="A536" t="s">
        <v>613</v>
      </c>
      <c r="B536" t="s">
        <v>52</v>
      </c>
      <c r="C536" t="s">
        <v>551</v>
      </c>
      <c r="D536" t="s">
        <v>52</v>
      </c>
      <c r="E536" t="s">
        <v>78</v>
      </c>
      <c r="F536" t="s">
        <v>252</v>
      </c>
      <c r="G536">
        <v>6.1619843000000003</v>
      </c>
      <c r="H536">
        <v>-75.593804000000006</v>
      </c>
      <c r="J536">
        <v>11</v>
      </c>
      <c r="M536">
        <v>227</v>
      </c>
      <c r="N536">
        <v>46</v>
      </c>
      <c r="O536">
        <v>42</v>
      </c>
      <c r="P536">
        <v>22</v>
      </c>
      <c r="Q536">
        <v>62</v>
      </c>
      <c r="R536">
        <v>73</v>
      </c>
    </row>
    <row r="537" spans="1:18" x14ac:dyDescent="0.25">
      <c r="A537" t="s">
        <v>614</v>
      </c>
      <c r="B537" t="s">
        <v>52</v>
      </c>
      <c r="C537" t="s">
        <v>551</v>
      </c>
      <c r="D537" t="s">
        <v>52</v>
      </c>
      <c r="E537" t="s">
        <v>78</v>
      </c>
      <c r="F537" t="s">
        <v>252</v>
      </c>
      <c r="G537">
        <v>6.1619843000000003</v>
      </c>
      <c r="H537">
        <v>-75.593804000000006</v>
      </c>
      <c r="J537">
        <v>11</v>
      </c>
      <c r="M537">
        <v>226</v>
      </c>
      <c r="N537">
        <v>49</v>
      </c>
      <c r="O537">
        <v>34</v>
      </c>
      <c r="P537">
        <v>38</v>
      </c>
      <c r="Q537">
        <v>60</v>
      </c>
      <c r="R537">
        <v>45</v>
      </c>
    </row>
    <row r="538" spans="1:18" x14ac:dyDescent="0.25">
      <c r="A538" t="s">
        <v>615</v>
      </c>
      <c r="B538" t="s">
        <v>52</v>
      </c>
      <c r="C538" t="s">
        <v>551</v>
      </c>
      <c r="D538" t="s">
        <v>52</v>
      </c>
      <c r="E538" t="s">
        <v>78</v>
      </c>
      <c r="F538" t="s">
        <v>252</v>
      </c>
      <c r="G538">
        <v>6.1619843000000003</v>
      </c>
      <c r="H538">
        <v>-75.593804000000006</v>
      </c>
      <c r="J538">
        <v>11</v>
      </c>
      <c r="M538">
        <v>225</v>
      </c>
      <c r="N538">
        <v>68</v>
      </c>
      <c r="O538">
        <v>34</v>
      </c>
      <c r="P538">
        <v>28</v>
      </c>
      <c r="Q538">
        <v>45</v>
      </c>
      <c r="R538">
        <v>60</v>
      </c>
    </row>
    <row r="539" spans="1:18" x14ac:dyDescent="0.25">
      <c r="A539" t="s">
        <v>616</v>
      </c>
      <c r="B539" t="s">
        <v>52</v>
      </c>
      <c r="C539" t="s">
        <v>551</v>
      </c>
      <c r="D539" t="s">
        <v>52</v>
      </c>
      <c r="E539" t="s">
        <v>78</v>
      </c>
      <c r="F539" t="s">
        <v>252</v>
      </c>
      <c r="G539">
        <v>6.1619843000000003</v>
      </c>
      <c r="H539">
        <v>-75.593804000000006</v>
      </c>
      <c r="J539">
        <v>11</v>
      </c>
      <c r="M539">
        <v>224</v>
      </c>
      <c r="N539">
        <v>71</v>
      </c>
      <c r="O539">
        <v>36</v>
      </c>
      <c r="P539">
        <v>30</v>
      </c>
      <c r="Q539">
        <v>41</v>
      </c>
      <c r="R539">
        <v>47</v>
      </c>
    </row>
    <row r="540" spans="1:18" x14ac:dyDescent="0.25">
      <c r="A540" t="s">
        <v>617</v>
      </c>
      <c r="B540" t="s">
        <v>52</v>
      </c>
      <c r="C540" t="s">
        <v>551</v>
      </c>
      <c r="D540" t="s">
        <v>52</v>
      </c>
      <c r="E540" t="s">
        <v>78</v>
      </c>
      <c r="F540" t="s">
        <v>252</v>
      </c>
      <c r="G540">
        <v>6.1619843000000003</v>
      </c>
      <c r="H540">
        <v>-75.593804000000006</v>
      </c>
      <c r="J540">
        <v>11</v>
      </c>
      <c r="M540">
        <v>223</v>
      </c>
      <c r="N540">
        <v>46</v>
      </c>
      <c r="O540">
        <v>28</v>
      </c>
      <c r="P540">
        <v>72</v>
      </c>
      <c r="Q540">
        <v>33</v>
      </c>
      <c r="R540">
        <v>44</v>
      </c>
    </row>
    <row r="541" spans="1:18" x14ac:dyDescent="0.25">
      <c r="A541" t="s">
        <v>618</v>
      </c>
      <c r="B541" t="s">
        <v>52</v>
      </c>
      <c r="C541" t="s">
        <v>551</v>
      </c>
      <c r="D541" t="s">
        <v>52</v>
      </c>
      <c r="E541" t="s">
        <v>78</v>
      </c>
      <c r="F541" t="s">
        <v>252</v>
      </c>
      <c r="G541">
        <v>6.1619843000000003</v>
      </c>
      <c r="H541">
        <v>-75.593804000000006</v>
      </c>
      <c r="J541">
        <v>11</v>
      </c>
      <c r="M541">
        <v>221</v>
      </c>
      <c r="N541">
        <v>56</v>
      </c>
      <c r="O541">
        <v>38</v>
      </c>
      <c r="P541">
        <v>28</v>
      </c>
      <c r="Q541">
        <v>48</v>
      </c>
      <c r="R541">
        <v>64</v>
      </c>
    </row>
    <row r="542" spans="1:18" x14ac:dyDescent="0.25">
      <c r="A542" t="s">
        <v>619</v>
      </c>
      <c r="B542" t="s">
        <v>52</v>
      </c>
      <c r="C542" t="s">
        <v>551</v>
      </c>
      <c r="D542" t="s">
        <v>52</v>
      </c>
      <c r="E542" t="s">
        <v>78</v>
      </c>
      <c r="F542" t="s">
        <v>252</v>
      </c>
      <c r="G542">
        <v>6.1619843000000003</v>
      </c>
      <c r="H542">
        <v>-75.593804000000006</v>
      </c>
      <c r="J542">
        <v>11</v>
      </c>
      <c r="M542">
        <v>221</v>
      </c>
      <c r="N542">
        <v>71</v>
      </c>
      <c r="O542">
        <v>44</v>
      </c>
      <c r="P542">
        <v>20</v>
      </c>
      <c r="Q542">
        <v>41</v>
      </c>
      <c r="R542">
        <v>45</v>
      </c>
    </row>
    <row r="543" spans="1:18" x14ac:dyDescent="0.25">
      <c r="A543" t="s">
        <v>620</v>
      </c>
      <c r="B543" t="s">
        <v>52</v>
      </c>
      <c r="C543" t="s">
        <v>551</v>
      </c>
      <c r="D543" t="s">
        <v>52</v>
      </c>
      <c r="E543" t="s">
        <v>78</v>
      </c>
      <c r="F543" t="s">
        <v>252</v>
      </c>
      <c r="G543">
        <v>6.1619843000000003</v>
      </c>
      <c r="H543">
        <v>-75.593804000000006</v>
      </c>
      <c r="J543">
        <v>11</v>
      </c>
      <c r="M543">
        <v>220</v>
      </c>
      <c r="N543">
        <v>71</v>
      </c>
      <c r="O543">
        <v>32</v>
      </c>
      <c r="P543">
        <v>40</v>
      </c>
      <c r="Q543">
        <v>33</v>
      </c>
      <c r="R543">
        <v>45</v>
      </c>
    </row>
    <row r="544" spans="1:18" x14ac:dyDescent="0.25">
      <c r="A544" t="s">
        <v>621</v>
      </c>
      <c r="B544" t="s">
        <v>52</v>
      </c>
      <c r="C544" t="s">
        <v>551</v>
      </c>
      <c r="D544" t="s">
        <v>52</v>
      </c>
      <c r="E544" t="s">
        <v>78</v>
      </c>
      <c r="F544" t="s">
        <v>252</v>
      </c>
      <c r="G544">
        <v>6.1619843000000003</v>
      </c>
      <c r="H544">
        <v>-75.593804000000006</v>
      </c>
      <c r="J544">
        <v>11</v>
      </c>
      <c r="M544">
        <v>220</v>
      </c>
      <c r="N544">
        <v>61</v>
      </c>
      <c r="O544">
        <v>32</v>
      </c>
      <c r="P544">
        <v>60</v>
      </c>
      <c r="Q544">
        <v>22</v>
      </c>
      <c r="R544">
        <v>45</v>
      </c>
    </row>
    <row r="545" spans="1:18" x14ac:dyDescent="0.25">
      <c r="A545" t="s">
        <v>622</v>
      </c>
      <c r="B545" t="s">
        <v>52</v>
      </c>
      <c r="C545" t="s">
        <v>551</v>
      </c>
      <c r="D545" t="s">
        <v>52</v>
      </c>
      <c r="E545" t="s">
        <v>78</v>
      </c>
      <c r="F545" t="s">
        <v>252</v>
      </c>
      <c r="G545">
        <v>6.1619843000000003</v>
      </c>
      <c r="H545">
        <v>-75.593804000000006</v>
      </c>
      <c r="J545">
        <v>11</v>
      </c>
      <c r="M545">
        <v>219</v>
      </c>
      <c r="N545">
        <v>56</v>
      </c>
      <c r="O545">
        <v>30</v>
      </c>
      <c r="P545">
        <v>50</v>
      </c>
      <c r="Q545">
        <v>41</v>
      </c>
      <c r="R545">
        <v>38</v>
      </c>
    </row>
    <row r="546" spans="1:18" x14ac:dyDescent="0.25">
      <c r="A546" t="s">
        <v>623</v>
      </c>
      <c r="B546" t="s">
        <v>52</v>
      </c>
      <c r="C546" t="s">
        <v>551</v>
      </c>
      <c r="D546" t="s">
        <v>52</v>
      </c>
      <c r="E546" t="s">
        <v>78</v>
      </c>
      <c r="F546" t="s">
        <v>252</v>
      </c>
      <c r="G546">
        <v>6.1619843000000003</v>
      </c>
      <c r="H546">
        <v>-75.593804000000006</v>
      </c>
      <c r="J546">
        <v>11</v>
      </c>
      <c r="M546">
        <v>219</v>
      </c>
      <c r="N546">
        <v>49</v>
      </c>
      <c r="O546">
        <v>48</v>
      </c>
      <c r="P546">
        <v>26</v>
      </c>
      <c r="Q546">
        <v>47</v>
      </c>
      <c r="R546">
        <v>62</v>
      </c>
    </row>
    <row r="547" spans="1:18" x14ac:dyDescent="0.25">
      <c r="A547" t="s">
        <v>624</v>
      </c>
      <c r="B547" t="s">
        <v>52</v>
      </c>
      <c r="C547" t="s">
        <v>551</v>
      </c>
      <c r="D547" t="s">
        <v>52</v>
      </c>
      <c r="E547" t="s">
        <v>78</v>
      </c>
      <c r="F547" t="s">
        <v>252</v>
      </c>
      <c r="G547">
        <v>6.1619843000000003</v>
      </c>
      <c r="H547">
        <v>-75.593804000000006</v>
      </c>
      <c r="J547">
        <v>11</v>
      </c>
      <c r="M547">
        <v>219</v>
      </c>
      <c r="N547">
        <v>59</v>
      </c>
      <c r="O547">
        <v>36</v>
      </c>
      <c r="P547">
        <v>50</v>
      </c>
      <c r="Q547">
        <v>24</v>
      </c>
      <c r="R547">
        <v>64</v>
      </c>
    </row>
    <row r="548" spans="1:18" x14ac:dyDescent="0.25">
      <c r="A548" t="s">
        <v>625</v>
      </c>
      <c r="B548" t="s">
        <v>52</v>
      </c>
      <c r="C548" t="s">
        <v>551</v>
      </c>
      <c r="D548" t="s">
        <v>52</v>
      </c>
      <c r="E548" t="s">
        <v>78</v>
      </c>
      <c r="F548" t="s">
        <v>252</v>
      </c>
      <c r="G548">
        <v>6.1619843000000003</v>
      </c>
      <c r="H548">
        <v>-75.593804000000006</v>
      </c>
      <c r="J548">
        <v>11</v>
      </c>
      <c r="M548">
        <v>219</v>
      </c>
      <c r="N548">
        <v>68</v>
      </c>
      <c r="O548">
        <v>30</v>
      </c>
      <c r="P548">
        <v>36</v>
      </c>
      <c r="Q548">
        <v>34</v>
      </c>
      <c r="R548">
        <v>62</v>
      </c>
    </row>
    <row r="549" spans="1:18" x14ac:dyDescent="0.25">
      <c r="A549" t="s">
        <v>626</v>
      </c>
      <c r="B549" t="s">
        <v>52</v>
      </c>
      <c r="C549" t="s">
        <v>551</v>
      </c>
      <c r="D549" t="s">
        <v>52</v>
      </c>
      <c r="E549" t="s">
        <v>78</v>
      </c>
      <c r="F549" t="s">
        <v>252</v>
      </c>
      <c r="G549">
        <v>6.1619843000000003</v>
      </c>
      <c r="H549">
        <v>-75.593804000000006</v>
      </c>
      <c r="J549">
        <v>11</v>
      </c>
      <c r="M549">
        <v>215</v>
      </c>
      <c r="N549">
        <v>37</v>
      </c>
      <c r="O549">
        <v>26</v>
      </c>
      <c r="P549">
        <v>62</v>
      </c>
      <c r="Q549">
        <v>48</v>
      </c>
      <c r="R549">
        <v>40</v>
      </c>
    </row>
    <row r="550" spans="1:18" x14ac:dyDescent="0.25">
      <c r="A550" t="s">
        <v>627</v>
      </c>
      <c r="B550" t="s">
        <v>52</v>
      </c>
      <c r="C550" t="s">
        <v>551</v>
      </c>
      <c r="D550" t="s">
        <v>52</v>
      </c>
      <c r="E550" t="s">
        <v>78</v>
      </c>
      <c r="F550" t="s">
        <v>252</v>
      </c>
      <c r="G550">
        <v>6.1619843000000003</v>
      </c>
      <c r="H550">
        <v>-75.593804000000006</v>
      </c>
      <c r="J550">
        <v>11</v>
      </c>
      <c r="M550">
        <v>215</v>
      </c>
      <c r="N550">
        <v>59</v>
      </c>
      <c r="O550">
        <v>34</v>
      </c>
      <c r="P550">
        <v>44</v>
      </c>
      <c r="Q550">
        <v>36</v>
      </c>
      <c r="R550">
        <v>40</v>
      </c>
    </row>
    <row r="551" spans="1:18" x14ac:dyDescent="0.25">
      <c r="A551" t="s">
        <v>628</v>
      </c>
      <c r="B551" t="s">
        <v>52</v>
      </c>
      <c r="C551" t="s">
        <v>551</v>
      </c>
      <c r="D551" t="s">
        <v>52</v>
      </c>
      <c r="E551" t="s">
        <v>78</v>
      </c>
      <c r="F551" t="s">
        <v>252</v>
      </c>
      <c r="G551">
        <v>6.1619843000000003</v>
      </c>
      <c r="H551">
        <v>-75.593804000000006</v>
      </c>
      <c r="J551">
        <v>11</v>
      </c>
      <c r="M551">
        <v>214</v>
      </c>
      <c r="N551">
        <v>51</v>
      </c>
      <c r="O551">
        <v>26</v>
      </c>
      <c r="P551">
        <v>26</v>
      </c>
      <c r="Q551">
        <v>62</v>
      </c>
      <c r="R551">
        <v>62</v>
      </c>
    </row>
    <row r="552" spans="1:18" x14ac:dyDescent="0.25">
      <c r="A552" t="s">
        <v>629</v>
      </c>
      <c r="B552" t="s">
        <v>52</v>
      </c>
      <c r="C552" t="s">
        <v>551</v>
      </c>
      <c r="D552" t="s">
        <v>52</v>
      </c>
      <c r="E552" t="s">
        <v>78</v>
      </c>
      <c r="F552" t="s">
        <v>252</v>
      </c>
      <c r="G552">
        <v>6.1619843000000003</v>
      </c>
      <c r="H552">
        <v>-75.593804000000006</v>
      </c>
      <c r="J552">
        <v>11</v>
      </c>
      <c r="M552">
        <v>214</v>
      </c>
      <c r="N552">
        <v>44</v>
      </c>
      <c r="O552">
        <v>26</v>
      </c>
      <c r="P552">
        <v>40</v>
      </c>
      <c r="Q552">
        <v>53</v>
      </c>
      <c r="R552">
        <v>65</v>
      </c>
    </row>
    <row r="553" spans="1:18" x14ac:dyDescent="0.25">
      <c r="A553" t="s">
        <v>630</v>
      </c>
      <c r="B553" t="s">
        <v>52</v>
      </c>
      <c r="C553" t="s">
        <v>551</v>
      </c>
      <c r="D553" t="s">
        <v>52</v>
      </c>
      <c r="E553" t="s">
        <v>78</v>
      </c>
      <c r="F553" t="s">
        <v>252</v>
      </c>
      <c r="G553">
        <v>6.1619843000000003</v>
      </c>
      <c r="H553">
        <v>-75.593804000000006</v>
      </c>
      <c r="J553">
        <v>11</v>
      </c>
      <c r="M553">
        <v>213</v>
      </c>
      <c r="N553">
        <v>54</v>
      </c>
      <c r="O553">
        <v>28</v>
      </c>
      <c r="P553">
        <v>44</v>
      </c>
      <c r="Q553">
        <v>47</v>
      </c>
      <c r="R553">
        <v>38</v>
      </c>
    </row>
    <row r="554" spans="1:18" x14ac:dyDescent="0.25">
      <c r="A554" t="s">
        <v>631</v>
      </c>
      <c r="B554" t="s">
        <v>52</v>
      </c>
      <c r="C554" t="s">
        <v>551</v>
      </c>
      <c r="D554" t="s">
        <v>52</v>
      </c>
      <c r="E554" t="s">
        <v>78</v>
      </c>
      <c r="F554" t="s">
        <v>252</v>
      </c>
      <c r="G554">
        <v>6.1619843000000003</v>
      </c>
      <c r="H554">
        <v>-75.593804000000006</v>
      </c>
      <c r="J554">
        <v>11</v>
      </c>
      <c r="M554">
        <v>213</v>
      </c>
      <c r="N554">
        <v>51</v>
      </c>
      <c r="O554">
        <v>28</v>
      </c>
      <c r="P554">
        <v>48</v>
      </c>
      <c r="Q554">
        <v>43</v>
      </c>
      <c r="R554">
        <v>44</v>
      </c>
    </row>
    <row r="555" spans="1:18" x14ac:dyDescent="0.25">
      <c r="A555" t="s">
        <v>632</v>
      </c>
      <c r="B555" t="s">
        <v>52</v>
      </c>
      <c r="C555" t="s">
        <v>551</v>
      </c>
      <c r="D555" t="s">
        <v>52</v>
      </c>
      <c r="E555" t="s">
        <v>78</v>
      </c>
      <c r="F555" t="s">
        <v>252</v>
      </c>
      <c r="G555">
        <v>6.1619843000000003</v>
      </c>
      <c r="H555">
        <v>-75.593804000000006</v>
      </c>
      <c r="J555">
        <v>11</v>
      </c>
      <c r="M555">
        <v>213</v>
      </c>
      <c r="N555">
        <v>66</v>
      </c>
      <c r="O555">
        <v>46</v>
      </c>
      <c r="P555">
        <v>30</v>
      </c>
      <c r="Q555">
        <v>26</v>
      </c>
      <c r="R555">
        <v>51</v>
      </c>
    </row>
    <row r="556" spans="1:18" x14ac:dyDescent="0.25">
      <c r="A556" t="s">
        <v>633</v>
      </c>
      <c r="B556" t="s">
        <v>52</v>
      </c>
      <c r="C556" t="s">
        <v>551</v>
      </c>
      <c r="D556" t="s">
        <v>52</v>
      </c>
      <c r="E556" t="s">
        <v>78</v>
      </c>
      <c r="F556" t="s">
        <v>252</v>
      </c>
      <c r="G556">
        <v>6.1619843000000003</v>
      </c>
      <c r="H556">
        <v>-75.593804000000006</v>
      </c>
      <c r="J556">
        <v>11</v>
      </c>
      <c r="M556">
        <v>213</v>
      </c>
      <c r="N556">
        <v>61</v>
      </c>
      <c r="O556">
        <v>32</v>
      </c>
      <c r="P556">
        <v>38</v>
      </c>
      <c r="Q556">
        <v>33</v>
      </c>
      <c r="R556">
        <v>62</v>
      </c>
    </row>
    <row r="557" spans="1:18" x14ac:dyDescent="0.25">
      <c r="A557" t="s">
        <v>634</v>
      </c>
      <c r="B557" t="s">
        <v>52</v>
      </c>
      <c r="C557" t="s">
        <v>551</v>
      </c>
      <c r="D557" t="s">
        <v>52</v>
      </c>
      <c r="E557" t="s">
        <v>78</v>
      </c>
      <c r="F557" t="s">
        <v>252</v>
      </c>
      <c r="G557">
        <v>6.1619843000000003</v>
      </c>
      <c r="H557">
        <v>-75.593804000000006</v>
      </c>
      <c r="J557">
        <v>11</v>
      </c>
      <c r="M557">
        <v>213</v>
      </c>
      <c r="N557">
        <v>54</v>
      </c>
      <c r="O557">
        <v>34</v>
      </c>
      <c r="P557">
        <v>36</v>
      </c>
      <c r="Q557">
        <v>43</v>
      </c>
      <c r="R557">
        <v>53</v>
      </c>
    </row>
    <row r="558" spans="1:18" x14ac:dyDescent="0.25">
      <c r="A558" t="s">
        <v>635</v>
      </c>
      <c r="B558" t="s">
        <v>52</v>
      </c>
      <c r="C558" t="s">
        <v>551</v>
      </c>
      <c r="D558" t="s">
        <v>52</v>
      </c>
      <c r="E558" t="s">
        <v>78</v>
      </c>
      <c r="F558" t="s">
        <v>252</v>
      </c>
      <c r="G558">
        <v>6.1619843000000003</v>
      </c>
      <c r="H558">
        <v>-75.593804000000006</v>
      </c>
      <c r="J558">
        <v>11</v>
      </c>
      <c r="M558">
        <v>212</v>
      </c>
      <c r="N558">
        <v>59</v>
      </c>
      <c r="O558">
        <v>40</v>
      </c>
      <c r="P558">
        <v>26</v>
      </c>
      <c r="Q558">
        <v>52</v>
      </c>
      <c r="R558">
        <v>24</v>
      </c>
    </row>
    <row r="559" spans="1:18" x14ac:dyDescent="0.25">
      <c r="A559" t="s">
        <v>636</v>
      </c>
      <c r="B559" t="s">
        <v>52</v>
      </c>
      <c r="C559" t="s">
        <v>551</v>
      </c>
      <c r="D559" t="s">
        <v>52</v>
      </c>
      <c r="E559" t="s">
        <v>78</v>
      </c>
      <c r="F559" t="s">
        <v>252</v>
      </c>
      <c r="G559">
        <v>6.1619843000000003</v>
      </c>
      <c r="H559">
        <v>-75.593804000000006</v>
      </c>
      <c r="J559">
        <v>11</v>
      </c>
      <c r="M559">
        <v>212</v>
      </c>
      <c r="N559">
        <v>56</v>
      </c>
      <c r="O559">
        <v>26</v>
      </c>
      <c r="P559">
        <v>58</v>
      </c>
      <c r="Q559">
        <v>28</v>
      </c>
      <c r="R559">
        <v>49</v>
      </c>
    </row>
    <row r="560" spans="1:18" x14ac:dyDescent="0.25">
      <c r="A560" t="s">
        <v>637</v>
      </c>
      <c r="B560" t="s">
        <v>52</v>
      </c>
      <c r="C560" t="s">
        <v>551</v>
      </c>
      <c r="D560" t="s">
        <v>52</v>
      </c>
      <c r="E560" t="s">
        <v>78</v>
      </c>
      <c r="F560" t="s">
        <v>252</v>
      </c>
      <c r="G560">
        <v>6.1619843000000003</v>
      </c>
      <c r="H560">
        <v>-75.593804000000006</v>
      </c>
      <c r="J560">
        <v>11</v>
      </c>
      <c r="M560">
        <v>210</v>
      </c>
      <c r="N560">
        <v>54</v>
      </c>
      <c r="O560">
        <v>42</v>
      </c>
      <c r="P560">
        <v>36</v>
      </c>
      <c r="Q560">
        <v>36</v>
      </c>
      <c r="R560">
        <v>44</v>
      </c>
    </row>
    <row r="561" spans="1:18" x14ac:dyDescent="0.25">
      <c r="A561" t="s">
        <v>638</v>
      </c>
      <c r="B561" t="s">
        <v>52</v>
      </c>
      <c r="C561" t="s">
        <v>551</v>
      </c>
      <c r="D561" t="s">
        <v>52</v>
      </c>
      <c r="E561" t="s">
        <v>78</v>
      </c>
      <c r="F561" t="s">
        <v>252</v>
      </c>
      <c r="G561">
        <v>6.1619843000000003</v>
      </c>
      <c r="H561">
        <v>-75.593804000000006</v>
      </c>
      <c r="J561">
        <v>11</v>
      </c>
      <c r="M561">
        <v>210</v>
      </c>
      <c r="N561">
        <v>63</v>
      </c>
      <c r="O561">
        <v>34</v>
      </c>
      <c r="P561">
        <v>22</v>
      </c>
      <c r="Q561">
        <v>50</v>
      </c>
      <c r="R561">
        <v>38</v>
      </c>
    </row>
    <row r="562" spans="1:18" x14ac:dyDescent="0.25">
      <c r="A562" t="s">
        <v>639</v>
      </c>
      <c r="B562" t="s">
        <v>52</v>
      </c>
      <c r="C562" t="s">
        <v>551</v>
      </c>
      <c r="D562" t="s">
        <v>52</v>
      </c>
      <c r="E562" t="s">
        <v>78</v>
      </c>
      <c r="F562" t="s">
        <v>252</v>
      </c>
      <c r="G562">
        <v>6.1619843000000003</v>
      </c>
      <c r="H562">
        <v>-75.593804000000006</v>
      </c>
      <c r="J562">
        <v>11</v>
      </c>
      <c r="M562">
        <v>210</v>
      </c>
      <c r="N562">
        <v>59</v>
      </c>
      <c r="O562">
        <v>44</v>
      </c>
      <c r="P562">
        <v>16</v>
      </c>
      <c r="Q562">
        <v>47</v>
      </c>
      <c r="R562">
        <v>51</v>
      </c>
    </row>
    <row r="563" spans="1:18" x14ac:dyDescent="0.25">
      <c r="A563" t="s">
        <v>640</v>
      </c>
      <c r="B563" t="s">
        <v>52</v>
      </c>
      <c r="C563" t="s">
        <v>551</v>
      </c>
      <c r="D563" t="s">
        <v>52</v>
      </c>
      <c r="E563" t="s">
        <v>78</v>
      </c>
      <c r="F563" t="s">
        <v>252</v>
      </c>
      <c r="G563">
        <v>6.1619843000000003</v>
      </c>
      <c r="H563">
        <v>-75.593804000000006</v>
      </c>
      <c r="J563">
        <v>11</v>
      </c>
      <c r="M563">
        <v>210</v>
      </c>
      <c r="N563">
        <v>56</v>
      </c>
      <c r="O563">
        <v>36</v>
      </c>
      <c r="P563">
        <v>30</v>
      </c>
      <c r="Q563">
        <v>41</v>
      </c>
      <c r="R563">
        <v>55</v>
      </c>
    </row>
    <row r="564" spans="1:18" x14ac:dyDescent="0.25">
      <c r="A564" t="s">
        <v>641</v>
      </c>
      <c r="B564" t="s">
        <v>52</v>
      </c>
      <c r="C564" t="s">
        <v>551</v>
      </c>
      <c r="D564" t="s">
        <v>52</v>
      </c>
      <c r="E564" t="s">
        <v>78</v>
      </c>
      <c r="F564" t="s">
        <v>252</v>
      </c>
      <c r="G564">
        <v>6.1619843000000003</v>
      </c>
      <c r="H564">
        <v>-75.593804000000006</v>
      </c>
      <c r="J564">
        <v>11</v>
      </c>
      <c r="M564">
        <v>208</v>
      </c>
      <c r="N564">
        <v>71</v>
      </c>
      <c r="O564">
        <v>28</v>
      </c>
      <c r="P564">
        <v>34</v>
      </c>
      <c r="Q564">
        <v>33</v>
      </c>
      <c r="R564">
        <v>45</v>
      </c>
    </row>
    <row r="565" spans="1:18" x14ac:dyDescent="0.25">
      <c r="A565" t="s">
        <v>642</v>
      </c>
      <c r="B565" t="s">
        <v>52</v>
      </c>
      <c r="C565" t="s">
        <v>551</v>
      </c>
      <c r="D565" t="s">
        <v>52</v>
      </c>
      <c r="E565" t="s">
        <v>78</v>
      </c>
      <c r="F565" t="s">
        <v>252</v>
      </c>
      <c r="G565">
        <v>6.1619843000000003</v>
      </c>
      <c r="H565">
        <v>-75.593804000000006</v>
      </c>
      <c r="J565">
        <v>11</v>
      </c>
      <c r="M565">
        <v>205</v>
      </c>
      <c r="N565">
        <v>63</v>
      </c>
      <c r="O565">
        <v>38</v>
      </c>
      <c r="P565">
        <v>38</v>
      </c>
      <c r="Q565">
        <v>17</v>
      </c>
      <c r="R565">
        <v>62</v>
      </c>
    </row>
    <row r="566" spans="1:18" x14ac:dyDescent="0.25">
      <c r="A566" t="s">
        <v>643</v>
      </c>
      <c r="B566" t="s">
        <v>52</v>
      </c>
      <c r="C566" t="s">
        <v>551</v>
      </c>
      <c r="D566" t="s">
        <v>52</v>
      </c>
      <c r="E566" t="s">
        <v>78</v>
      </c>
      <c r="F566" t="s">
        <v>252</v>
      </c>
      <c r="G566">
        <v>6.1619843000000003</v>
      </c>
      <c r="H566">
        <v>-75.593804000000006</v>
      </c>
      <c r="J566">
        <v>11</v>
      </c>
      <c r="M566">
        <v>204</v>
      </c>
      <c r="N566">
        <v>66</v>
      </c>
      <c r="O566">
        <v>34</v>
      </c>
      <c r="P566">
        <v>30</v>
      </c>
      <c r="Q566">
        <v>33</v>
      </c>
      <c r="R566">
        <v>42</v>
      </c>
    </row>
    <row r="567" spans="1:18" x14ac:dyDescent="0.25">
      <c r="A567" t="s">
        <v>644</v>
      </c>
      <c r="B567" t="s">
        <v>52</v>
      </c>
      <c r="C567" t="s">
        <v>551</v>
      </c>
      <c r="D567" t="s">
        <v>52</v>
      </c>
      <c r="E567" t="s">
        <v>78</v>
      </c>
      <c r="F567" t="s">
        <v>252</v>
      </c>
      <c r="G567">
        <v>6.1619843000000003</v>
      </c>
      <c r="H567">
        <v>-75.593804000000006</v>
      </c>
      <c r="J567">
        <v>11</v>
      </c>
      <c r="M567">
        <v>202</v>
      </c>
      <c r="N567">
        <v>44</v>
      </c>
      <c r="O567">
        <v>44</v>
      </c>
      <c r="P567">
        <v>28</v>
      </c>
      <c r="Q567">
        <v>45</v>
      </c>
      <c r="R567">
        <v>44</v>
      </c>
    </row>
    <row r="568" spans="1:18" x14ac:dyDescent="0.25">
      <c r="A568" t="s">
        <v>645</v>
      </c>
      <c r="B568" t="s">
        <v>52</v>
      </c>
      <c r="C568" t="s">
        <v>551</v>
      </c>
      <c r="D568" t="s">
        <v>52</v>
      </c>
      <c r="E568" t="s">
        <v>78</v>
      </c>
      <c r="F568" t="s">
        <v>252</v>
      </c>
      <c r="G568">
        <v>6.1619843000000003</v>
      </c>
      <c r="H568">
        <v>-75.593804000000006</v>
      </c>
      <c r="J568">
        <v>11</v>
      </c>
      <c r="M568">
        <v>202</v>
      </c>
      <c r="N568">
        <v>61</v>
      </c>
      <c r="O568">
        <v>28</v>
      </c>
      <c r="P568">
        <v>28</v>
      </c>
      <c r="Q568">
        <v>43</v>
      </c>
      <c r="R568">
        <v>45</v>
      </c>
    </row>
    <row r="569" spans="1:18" x14ac:dyDescent="0.25">
      <c r="A569" t="s">
        <v>646</v>
      </c>
      <c r="B569" t="s">
        <v>52</v>
      </c>
      <c r="C569" t="s">
        <v>551</v>
      </c>
      <c r="D569" t="s">
        <v>52</v>
      </c>
      <c r="E569" t="s">
        <v>78</v>
      </c>
      <c r="F569" t="s">
        <v>252</v>
      </c>
      <c r="G569">
        <v>6.1619843000000003</v>
      </c>
      <c r="H569">
        <v>-75.593804000000006</v>
      </c>
      <c r="J569">
        <v>11</v>
      </c>
      <c r="M569">
        <v>202</v>
      </c>
      <c r="N569">
        <v>56</v>
      </c>
      <c r="O569">
        <v>38</v>
      </c>
      <c r="P569">
        <v>38</v>
      </c>
      <c r="Q569">
        <v>31</v>
      </c>
      <c r="R569">
        <v>35</v>
      </c>
    </row>
    <row r="570" spans="1:18" x14ac:dyDescent="0.25">
      <c r="A570" t="s">
        <v>647</v>
      </c>
      <c r="B570" t="s">
        <v>52</v>
      </c>
      <c r="C570" t="s">
        <v>551</v>
      </c>
      <c r="D570" t="s">
        <v>52</v>
      </c>
      <c r="E570" t="s">
        <v>78</v>
      </c>
      <c r="F570" t="s">
        <v>252</v>
      </c>
      <c r="G570">
        <v>6.1619843000000003</v>
      </c>
      <c r="H570">
        <v>-75.593804000000006</v>
      </c>
      <c r="J570">
        <v>11</v>
      </c>
      <c r="M570">
        <v>201</v>
      </c>
      <c r="N570">
        <v>46</v>
      </c>
      <c r="O570">
        <v>32</v>
      </c>
      <c r="P570">
        <v>42</v>
      </c>
      <c r="Q570">
        <v>31</v>
      </c>
      <c r="R570">
        <v>67</v>
      </c>
    </row>
    <row r="571" spans="1:18" x14ac:dyDescent="0.25">
      <c r="A571" t="s">
        <v>648</v>
      </c>
      <c r="B571" t="s">
        <v>52</v>
      </c>
      <c r="C571" t="s">
        <v>551</v>
      </c>
      <c r="D571" t="s">
        <v>52</v>
      </c>
      <c r="E571" t="s">
        <v>78</v>
      </c>
      <c r="F571" t="s">
        <v>252</v>
      </c>
      <c r="G571">
        <v>6.1619843000000003</v>
      </c>
      <c r="H571">
        <v>-75.593804000000006</v>
      </c>
      <c r="J571">
        <v>11</v>
      </c>
      <c r="M571">
        <v>200</v>
      </c>
      <c r="N571">
        <v>56</v>
      </c>
      <c r="O571">
        <v>28</v>
      </c>
      <c r="P571">
        <v>42</v>
      </c>
      <c r="Q571">
        <v>21</v>
      </c>
      <c r="R571">
        <v>80</v>
      </c>
    </row>
    <row r="572" spans="1:18" x14ac:dyDescent="0.25">
      <c r="A572" t="s">
        <v>649</v>
      </c>
      <c r="B572" t="s">
        <v>52</v>
      </c>
      <c r="C572" t="s">
        <v>551</v>
      </c>
      <c r="D572" t="s">
        <v>52</v>
      </c>
      <c r="E572" t="s">
        <v>78</v>
      </c>
      <c r="F572" t="s">
        <v>252</v>
      </c>
      <c r="G572">
        <v>6.1619843000000003</v>
      </c>
      <c r="H572">
        <v>-75.593804000000006</v>
      </c>
      <c r="J572">
        <v>11</v>
      </c>
      <c r="M572">
        <v>197</v>
      </c>
      <c r="N572">
        <v>22</v>
      </c>
      <c r="O572">
        <v>36</v>
      </c>
      <c r="P572">
        <v>52</v>
      </c>
      <c r="Q572">
        <v>45</v>
      </c>
      <c r="R572">
        <v>47</v>
      </c>
    </row>
    <row r="573" spans="1:18" x14ac:dyDescent="0.25">
      <c r="A573" t="s">
        <v>650</v>
      </c>
      <c r="B573" t="s">
        <v>52</v>
      </c>
      <c r="C573" t="s">
        <v>551</v>
      </c>
      <c r="D573" t="s">
        <v>52</v>
      </c>
      <c r="E573" t="s">
        <v>78</v>
      </c>
      <c r="F573" t="s">
        <v>252</v>
      </c>
      <c r="G573">
        <v>6.1619843000000003</v>
      </c>
      <c r="H573">
        <v>-75.593804000000006</v>
      </c>
      <c r="J573">
        <v>11</v>
      </c>
      <c r="M573">
        <v>197</v>
      </c>
      <c r="N573">
        <v>49</v>
      </c>
      <c r="O573">
        <v>32</v>
      </c>
      <c r="P573">
        <v>44</v>
      </c>
      <c r="Q573">
        <v>31</v>
      </c>
      <c r="R573">
        <v>44</v>
      </c>
    </row>
    <row r="574" spans="1:18" x14ac:dyDescent="0.25">
      <c r="A574" t="s">
        <v>651</v>
      </c>
      <c r="B574" t="s">
        <v>52</v>
      </c>
      <c r="C574" t="s">
        <v>551</v>
      </c>
      <c r="D574" t="s">
        <v>52</v>
      </c>
      <c r="E574" t="s">
        <v>78</v>
      </c>
      <c r="F574" t="s">
        <v>252</v>
      </c>
      <c r="G574">
        <v>6.1619843000000003</v>
      </c>
      <c r="H574">
        <v>-75.593804000000006</v>
      </c>
      <c r="J574">
        <v>11</v>
      </c>
      <c r="M574">
        <v>195</v>
      </c>
      <c r="N574">
        <v>32</v>
      </c>
      <c r="O574">
        <v>16</v>
      </c>
      <c r="P574">
        <v>62</v>
      </c>
      <c r="Q574">
        <v>43</v>
      </c>
      <c r="R574">
        <v>47</v>
      </c>
    </row>
    <row r="575" spans="1:18" x14ac:dyDescent="0.25">
      <c r="A575" t="s">
        <v>652</v>
      </c>
      <c r="B575" t="s">
        <v>52</v>
      </c>
      <c r="C575" t="s">
        <v>551</v>
      </c>
      <c r="D575" t="s">
        <v>52</v>
      </c>
      <c r="E575" t="s">
        <v>78</v>
      </c>
      <c r="F575" t="s">
        <v>252</v>
      </c>
      <c r="G575">
        <v>6.1619843000000003</v>
      </c>
      <c r="H575">
        <v>-75.593804000000006</v>
      </c>
      <c r="J575">
        <v>11</v>
      </c>
      <c r="M575">
        <v>194</v>
      </c>
      <c r="N575">
        <v>51</v>
      </c>
      <c r="O575">
        <v>24</v>
      </c>
      <c r="P575">
        <v>42</v>
      </c>
      <c r="Q575">
        <v>33</v>
      </c>
      <c r="R575">
        <v>55</v>
      </c>
    </row>
    <row r="576" spans="1:18" x14ac:dyDescent="0.25">
      <c r="A576" t="s">
        <v>653</v>
      </c>
      <c r="B576" t="s">
        <v>52</v>
      </c>
      <c r="C576" t="s">
        <v>551</v>
      </c>
      <c r="D576" t="s">
        <v>52</v>
      </c>
      <c r="E576" t="s">
        <v>78</v>
      </c>
      <c r="F576" t="s">
        <v>252</v>
      </c>
      <c r="G576">
        <v>6.1619843000000003</v>
      </c>
      <c r="H576">
        <v>-75.593804000000006</v>
      </c>
      <c r="J576">
        <v>11</v>
      </c>
      <c r="M576">
        <v>193</v>
      </c>
      <c r="N576">
        <v>46</v>
      </c>
      <c r="O576">
        <v>38</v>
      </c>
      <c r="P576">
        <v>24</v>
      </c>
      <c r="Q576">
        <v>38</v>
      </c>
      <c r="R576">
        <v>64</v>
      </c>
    </row>
    <row r="577" spans="1:18" x14ac:dyDescent="0.25">
      <c r="A577" t="s">
        <v>654</v>
      </c>
      <c r="B577" t="s">
        <v>52</v>
      </c>
      <c r="C577" t="s">
        <v>551</v>
      </c>
      <c r="D577" t="s">
        <v>52</v>
      </c>
      <c r="E577" t="s">
        <v>78</v>
      </c>
      <c r="F577" t="s">
        <v>252</v>
      </c>
      <c r="G577">
        <v>6.1619843000000003</v>
      </c>
      <c r="H577">
        <v>-75.593804000000006</v>
      </c>
      <c r="J577">
        <v>11</v>
      </c>
      <c r="M577">
        <v>193</v>
      </c>
      <c r="N577">
        <v>51</v>
      </c>
      <c r="O577">
        <v>40</v>
      </c>
      <c r="P577">
        <v>30</v>
      </c>
      <c r="Q577">
        <v>29</v>
      </c>
      <c r="R577">
        <v>49</v>
      </c>
    </row>
    <row r="578" spans="1:18" x14ac:dyDescent="0.25">
      <c r="A578" t="s">
        <v>655</v>
      </c>
      <c r="B578" t="s">
        <v>52</v>
      </c>
      <c r="C578" t="s">
        <v>551</v>
      </c>
      <c r="D578" t="s">
        <v>52</v>
      </c>
      <c r="E578" t="s">
        <v>78</v>
      </c>
      <c r="F578" t="s">
        <v>252</v>
      </c>
      <c r="G578">
        <v>6.1619843000000003</v>
      </c>
      <c r="H578">
        <v>-75.593804000000006</v>
      </c>
      <c r="J578">
        <v>11</v>
      </c>
      <c r="M578">
        <v>192</v>
      </c>
      <c r="N578">
        <v>59</v>
      </c>
      <c r="O578">
        <v>30</v>
      </c>
      <c r="P578">
        <v>30</v>
      </c>
      <c r="Q578">
        <v>26</v>
      </c>
      <c r="R578">
        <v>67</v>
      </c>
    </row>
    <row r="579" spans="1:18" x14ac:dyDescent="0.25">
      <c r="A579" t="s">
        <v>656</v>
      </c>
      <c r="B579" t="s">
        <v>52</v>
      </c>
      <c r="C579" t="s">
        <v>551</v>
      </c>
      <c r="D579" t="s">
        <v>52</v>
      </c>
      <c r="E579" t="s">
        <v>78</v>
      </c>
      <c r="F579" t="s">
        <v>252</v>
      </c>
      <c r="G579">
        <v>6.1619843000000003</v>
      </c>
      <c r="H579">
        <v>-75.593804000000006</v>
      </c>
      <c r="J579">
        <v>11</v>
      </c>
      <c r="M579">
        <v>192</v>
      </c>
      <c r="N579">
        <v>34</v>
      </c>
      <c r="O579">
        <v>36</v>
      </c>
      <c r="P579">
        <v>42</v>
      </c>
      <c r="Q579">
        <v>45</v>
      </c>
      <c r="R579">
        <v>29</v>
      </c>
    </row>
    <row r="580" spans="1:18" x14ac:dyDescent="0.25">
      <c r="A580" t="s">
        <v>657</v>
      </c>
      <c r="B580" t="s">
        <v>52</v>
      </c>
      <c r="C580" t="s">
        <v>551</v>
      </c>
      <c r="D580" t="s">
        <v>52</v>
      </c>
      <c r="E580" t="s">
        <v>78</v>
      </c>
      <c r="F580" t="s">
        <v>252</v>
      </c>
      <c r="G580">
        <v>6.1619843000000003</v>
      </c>
      <c r="H580">
        <v>-75.593804000000006</v>
      </c>
      <c r="J580">
        <v>11</v>
      </c>
      <c r="M580">
        <v>192</v>
      </c>
      <c r="N580">
        <v>44</v>
      </c>
      <c r="O580">
        <v>26</v>
      </c>
      <c r="P580">
        <v>32</v>
      </c>
      <c r="Q580">
        <v>52</v>
      </c>
      <c r="R580">
        <v>38</v>
      </c>
    </row>
    <row r="581" spans="1:18" x14ac:dyDescent="0.25">
      <c r="A581" t="s">
        <v>658</v>
      </c>
      <c r="B581" t="s">
        <v>52</v>
      </c>
      <c r="C581" t="s">
        <v>551</v>
      </c>
      <c r="D581" t="s">
        <v>52</v>
      </c>
      <c r="E581" t="s">
        <v>78</v>
      </c>
      <c r="F581" t="s">
        <v>252</v>
      </c>
      <c r="G581">
        <v>6.1619843000000003</v>
      </c>
      <c r="H581">
        <v>-75.593804000000006</v>
      </c>
      <c r="J581">
        <v>11</v>
      </c>
      <c r="M581">
        <v>191</v>
      </c>
      <c r="N581">
        <v>17</v>
      </c>
      <c r="O581">
        <v>30</v>
      </c>
      <c r="P581">
        <v>44</v>
      </c>
      <c r="Q581">
        <v>50</v>
      </c>
      <c r="R581">
        <v>75</v>
      </c>
    </row>
    <row r="582" spans="1:18" x14ac:dyDescent="0.25">
      <c r="A582" t="s">
        <v>659</v>
      </c>
      <c r="B582" t="s">
        <v>52</v>
      </c>
      <c r="C582" t="s">
        <v>551</v>
      </c>
      <c r="D582" t="s">
        <v>52</v>
      </c>
      <c r="E582" t="s">
        <v>78</v>
      </c>
      <c r="F582" t="s">
        <v>252</v>
      </c>
      <c r="G582">
        <v>6.1619843000000003</v>
      </c>
      <c r="H582">
        <v>-75.593804000000006</v>
      </c>
      <c r="J582">
        <v>11</v>
      </c>
      <c r="M582">
        <v>190</v>
      </c>
      <c r="N582">
        <v>44</v>
      </c>
      <c r="O582">
        <v>48</v>
      </c>
      <c r="P582">
        <v>28</v>
      </c>
      <c r="Q582">
        <v>24</v>
      </c>
      <c r="R582">
        <v>62</v>
      </c>
    </row>
    <row r="583" spans="1:18" x14ac:dyDescent="0.25">
      <c r="A583" t="s">
        <v>660</v>
      </c>
      <c r="B583" t="s">
        <v>52</v>
      </c>
      <c r="C583" t="s">
        <v>551</v>
      </c>
      <c r="D583" t="s">
        <v>52</v>
      </c>
      <c r="E583" t="s">
        <v>78</v>
      </c>
      <c r="F583" t="s">
        <v>252</v>
      </c>
      <c r="G583">
        <v>6.1619843000000003</v>
      </c>
      <c r="H583">
        <v>-75.593804000000006</v>
      </c>
      <c r="J583">
        <v>11</v>
      </c>
      <c r="M583">
        <v>188</v>
      </c>
      <c r="N583">
        <v>44</v>
      </c>
      <c r="O583">
        <v>28</v>
      </c>
      <c r="P583">
        <v>36</v>
      </c>
      <c r="Q583">
        <v>33</v>
      </c>
      <c r="R583">
        <v>67</v>
      </c>
    </row>
    <row r="584" spans="1:18" x14ac:dyDescent="0.25">
      <c r="A584" t="s">
        <v>661</v>
      </c>
      <c r="B584" t="s">
        <v>52</v>
      </c>
      <c r="C584" t="s">
        <v>551</v>
      </c>
      <c r="D584" t="s">
        <v>52</v>
      </c>
      <c r="E584" t="s">
        <v>78</v>
      </c>
      <c r="F584" t="s">
        <v>252</v>
      </c>
      <c r="G584">
        <v>6.1619843000000003</v>
      </c>
      <c r="H584">
        <v>-75.593804000000006</v>
      </c>
      <c r="J584">
        <v>11</v>
      </c>
      <c r="M584">
        <v>188</v>
      </c>
      <c r="N584">
        <v>56</v>
      </c>
      <c r="O584">
        <v>38</v>
      </c>
      <c r="P584">
        <v>24</v>
      </c>
      <c r="Q584">
        <v>34</v>
      </c>
      <c r="R584">
        <v>31</v>
      </c>
    </row>
    <row r="585" spans="1:18" x14ac:dyDescent="0.25">
      <c r="A585" t="s">
        <v>662</v>
      </c>
      <c r="B585" t="s">
        <v>52</v>
      </c>
      <c r="C585" t="s">
        <v>551</v>
      </c>
      <c r="D585" t="s">
        <v>52</v>
      </c>
      <c r="E585" t="s">
        <v>78</v>
      </c>
      <c r="F585" t="s">
        <v>252</v>
      </c>
      <c r="G585">
        <v>6.1619843000000003</v>
      </c>
      <c r="H585">
        <v>-75.593804000000006</v>
      </c>
      <c r="J585">
        <v>11</v>
      </c>
      <c r="M585">
        <v>187</v>
      </c>
      <c r="N585">
        <v>46</v>
      </c>
      <c r="O585">
        <v>32</v>
      </c>
      <c r="P585">
        <v>38</v>
      </c>
      <c r="Q585">
        <v>33</v>
      </c>
      <c r="R585">
        <v>40</v>
      </c>
    </row>
    <row r="586" spans="1:18" x14ac:dyDescent="0.25">
      <c r="A586" t="s">
        <v>663</v>
      </c>
      <c r="B586" t="s">
        <v>52</v>
      </c>
      <c r="C586" t="s">
        <v>551</v>
      </c>
      <c r="D586" t="s">
        <v>52</v>
      </c>
      <c r="E586" t="s">
        <v>78</v>
      </c>
      <c r="F586" t="s">
        <v>252</v>
      </c>
      <c r="G586">
        <v>6.1619843000000003</v>
      </c>
      <c r="H586">
        <v>-75.593804000000006</v>
      </c>
      <c r="J586">
        <v>11</v>
      </c>
      <c r="M586">
        <v>186</v>
      </c>
      <c r="N586">
        <v>54</v>
      </c>
      <c r="O586">
        <v>34</v>
      </c>
      <c r="P586">
        <v>26</v>
      </c>
      <c r="Q586">
        <v>38</v>
      </c>
      <c r="R586">
        <v>29</v>
      </c>
    </row>
    <row r="587" spans="1:18" x14ac:dyDescent="0.25">
      <c r="A587" t="s">
        <v>664</v>
      </c>
      <c r="B587" t="s">
        <v>52</v>
      </c>
      <c r="C587" t="s">
        <v>551</v>
      </c>
      <c r="D587" t="s">
        <v>52</v>
      </c>
      <c r="E587" t="s">
        <v>78</v>
      </c>
      <c r="F587" t="s">
        <v>252</v>
      </c>
      <c r="G587">
        <v>6.1619843000000003</v>
      </c>
      <c r="H587">
        <v>-75.593804000000006</v>
      </c>
      <c r="J587">
        <v>11</v>
      </c>
      <c r="M587">
        <v>185</v>
      </c>
      <c r="N587">
        <v>51</v>
      </c>
      <c r="O587">
        <v>40</v>
      </c>
      <c r="P587">
        <v>26</v>
      </c>
      <c r="Q587">
        <v>28</v>
      </c>
      <c r="R587">
        <v>47</v>
      </c>
    </row>
    <row r="588" spans="1:18" x14ac:dyDescent="0.25">
      <c r="A588" t="s">
        <v>665</v>
      </c>
      <c r="B588" t="s">
        <v>52</v>
      </c>
      <c r="C588" t="s">
        <v>551</v>
      </c>
      <c r="D588" t="s">
        <v>52</v>
      </c>
      <c r="E588" t="s">
        <v>78</v>
      </c>
      <c r="F588" t="s">
        <v>252</v>
      </c>
      <c r="G588">
        <v>6.1619843000000003</v>
      </c>
      <c r="H588">
        <v>-75.593804000000006</v>
      </c>
      <c r="J588">
        <v>11</v>
      </c>
      <c r="M588">
        <v>184</v>
      </c>
      <c r="N588">
        <v>54</v>
      </c>
      <c r="O588">
        <v>34</v>
      </c>
      <c r="P588">
        <v>28</v>
      </c>
      <c r="Q588">
        <v>26</v>
      </c>
      <c r="R588">
        <v>53</v>
      </c>
    </row>
    <row r="589" spans="1:18" x14ac:dyDescent="0.25">
      <c r="A589" t="s">
        <v>666</v>
      </c>
      <c r="B589" t="s">
        <v>52</v>
      </c>
      <c r="C589" t="s">
        <v>551</v>
      </c>
      <c r="D589" t="s">
        <v>52</v>
      </c>
      <c r="E589" t="s">
        <v>78</v>
      </c>
      <c r="F589" t="s">
        <v>252</v>
      </c>
      <c r="G589">
        <v>6.1619843000000003</v>
      </c>
      <c r="H589">
        <v>-75.593804000000006</v>
      </c>
      <c r="J589">
        <v>11</v>
      </c>
      <c r="M589">
        <v>183</v>
      </c>
      <c r="N589">
        <v>46</v>
      </c>
      <c r="O589">
        <v>32</v>
      </c>
      <c r="P589">
        <v>36</v>
      </c>
      <c r="Q589">
        <v>33</v>
      </c>
      <c r="R589">
        <v>35</v>
      </c>
    </row>
    <row r="590" spans="1:18" x14ac:dyDescent="0.25">
      <c r="A590" t="s">
        <v>667</v>
      </c>
      <c r="B590" t="s">
        <v>52</v>
      </c>
      <c r="C590" t="s">
        <v>551</v>
      </c>
      <c r="D590" t="s">
        <v>52</v>
      </c>
      <c r="E590" t="s">
        <v>78</v>
      </c>
      <c r="F590" t="s">
        <v>252</v>
      </c>
      <c r="G590">
        <v>6.1619843000000003</v>
      </c>
      <c r="H590">
        <v>-75.593804000000006</v>
      </c>
      <c r="J590">
        <v>11</v>
      </c>
      <c r="M590">
        <v>177</v>
      </c>
      <c r="N590">
        <v>41</v>
      </c>
      <c r="O590">
        <v>26</v>
      </c>
      <c r="P590">
        <v>28</v>
      </c>
      <c r="Q590">
        <v>45</v>
      </c>
      <c r="R590">
        <v>40</v>
      </c>
    </row>
    <row r="591" spans="1:18" x14ac:dyDescent="0.25">
      <c r="A591" t="s">
        <v>668</v>
      </c>
      <c r="B591" t="s">
        <v>52</v>
      </c>
      <c r="C591" t="s">
        <v>551</v>
      </c>
      <c r="D591" t="s">
        <v>52</v>
      </c>
      <c r="E591" t="s">
        <v>78</v>
      </c>
      <c r="F591" t="s">
        <v>252</v>
      </c>
      <c r="G591">
        <v>6.1619843000000003</v>
      </c>
      <c r="H591">
        <v>-75.593804000000006</v>
      </c>
      <c r="J591">
        <v>11</v>
      </c>
      <c r="M591">
        <v>177</v>
      </c>
      <c r="N591">
        <v>27</v>
      </c>
      <c r="O591">
        <v>42</v>
      </c>
      <c r="P591">
        <v>22</v>
      </c>
      <c r="Q591">
        <v>50</v>
      </c>
      <c r="R591">
        <v>38</v>
      </c>
    </row>
    <row r="592" spans="1:18" x14ac:dyDescent="0.25">
      <c r="A592" t="s">
        <v>669</v>
      </c>
      <c r="B592" t="s">
        <v>52</v>
      </c>
      <c r="C592" t="s">
        <v>551</v>
      </c>
      <c r="D592" t="s">
        <v>52</v>
      </c>
      <c r="E592" t="s">
        <v>78</v>
      </c>
      <c r="F592" t="s">
        <v>252</v>
      </c>
      <c r="G592">
        <v>6.1619843000000003</v>
      </c>
      <c r="H592">
        <v>-75.593804000000006</v>
      </c>
      <c r="J592">
        <v>11</v>
      </c>
      <c r="M592">
        <v>177</v>
      </c>
      <c r="N592">
        <v>51</v>
      </c>
      <c r="O592">
        <v>38</v>
      </c>
      <c r="P592">
        <v>20</v>
      </c>
      <c r="Q592">
        <v>31</v>
      </c>
      <c r="R592">
        <v>38</v>
      </c>
    </row>
    <row r="593" spans="1:18" x14ac:dyDescent="0.25">
      <c r="A593" t="s">
        <v>670</v>
      </c>
      <c r="B593" t="s">
        <v>52</v>
      </c>
      <c r="C593" t="s">
        <v>551</v>
      </c>
      <c r="D593" t="s">
        <v>52</v>
      </c>
      <c r="E593" t="s">
        <v>78</v>
      </c>
      <c r="F593" t="s">
        <v>252</v>
      </c>
      <c r="G593">
        <v>6.1619843000000003</v>
      </c>
      <c r="H593">
        <v>-75.593804000000006</v>
      </c>
      <c r="J593">
        <v>11</v>
      </c>
      <c r="M593">
        <v>175</v>
      </c>
      <c r="N593">
        <v>34</v>
      </c>
      <c r="O593">
        <v>42</v>
      </c>
      <c r="P593">
        <v>34</v>
      </c>
      <c r="Q593">
        <v>33</v>
      </c>
      <c r="R593">
        <v>27</v>
      </c>
    </row>
    <row r="594" spans="1:18" x14ac:dyDescent="0.25">
      <c r="A594" t="s">
        <v>671</v>
      </c>
      <c r="B594" t="s">
        <v>52</v>
      </c>
      <c r="C594" t="s">
        <v>551</v>
      </c>
      <c r="D594" t="s">
        <v>52</v>
      </c>
      <c r="E594" t="s">
        <v>78</v>
      </c>
      <c r="F594" t="s">
        <v>252</v>
      </c>
      <c r="G594">
        <v>6.1619843000000003</v>
      </c>
      <c r="H594">
        <v>-75.593804000000006</v>
      </c>
      <c r="J594">
        <v>11</v>
      </c>
      <c r="M594">
        <v>174</v>
      </c>
      <c r="N594">
        <v>51</v>
      </c>
      <c r="O594">
        <v>30</v>
      </c>
      <c r="P594">
        <v>24</v>
      </c>
      <c r="Q594">
        <v>28</v>
      </c>
      <c r="R594">
        <v>53</v>
      </c>
    </row>
    <row r="595" spans="1:18" x14ac:dyDescent="0.25">
      <c r="A595" t="s">
        <v>672</v>
      </c>
      <c r="B595" t="s">
        <v>52</v>
      </c>
      <c r="C595" t="s">
        <v>551</v>
      </c>
      <c r="D595" t="s">
        <v>52</v>
      </c>
      <c r="E595" t="s">
        <v>78</v>
      </c>
      <c r="F595" t="s">
        <v>252</v>
      </c>
      <c r="G595">
        <v>6.1619843000000003</v>
      </c>
      <c r="H595">
        <v>-75.593804000000006</v>
      </c>
      <c r="J595">
        <v>11</v>
      </c>
      <c r="M595">
        <v>173</v>
      </c>
      <c r="N595">
        <v>37</v>
      </c>
      <c r="O595">
        <v>28</v>
      </c>
      <c r="P595">
        <v>48</v>
      </c>
      <c r="Q595">
        <v>24</v>
      </c>
      <c r="R595">
        <v>40</v>
      </c>
    </row>
    <row r="596" spans="1:18" x14ac:dyDescent="0.25">
      <c r="A596" t="s">
        <v>673</v>
      </c>
      <c r="B596" t="s">
        <v>52</v>
      </c>
      <c r="C596" t="s">
        <v>551</v>
      </c>
      <c r="D596" t="s">
        <v>52</v>
      </c>
      <c r="E596" t="s">
        <v>78</v>
      </c>
      <c r="F596" t="s">
        <v>252</v>
      </c>
      <c r="G596">
        <v>6.1619843000000003</v>
      </c>
      <c r="H596">
        <v>-75.593804000000006</v>
      </c>
      <c r="J596">
        <v>11</v>
      </c>
      <c r="M596">
        <v>173</v>
      </c>
      <c r="N596">
        <v>51</v>
      </c>
      <c r="O596">
        <v>36</v>
      </c>
      <c r="P596">
        <v>26</v>
      </c>
      <c r="Q596">
        <v>26</v>
      </c>
      <c r="R596">
        <v>33</v>
      </c>
    </row>
    <row r="597" spans="1:18" x14ac:dyDescent="0.25">
      <c r="A597" t="s">
        <v>674</v>
      </c>
      <c r="B597" t="s">
        <v>52</v>
      </c>
      <c r="C597" t="s">
        <v>551</v>
      </c>
      <c r="D597" t="s">
        <v>52</v>
      </c>
      <c r="E597" t="s">
        <v>78</v>
      </c>
      <c r="F597" t="s">
        <v>252</v>
      </c>
      <c r="G597">
        <v>6.1619843000000003</v>
      </c>
      <c r="H597">
        <v>-75.593804000000006</v>
      </c>
      <c r="J597">
        <v>11</v>
      </c>
      <c r="M597">
        <v>173</v>
      </c>
      <c r="N597">
        <v>49</v>
      </c>
      <c r="O597">
        <v>28</v>
      </c>
      <c r="P597">
        <v>16</v>
      </c>
      <c r="Q597">
        <v>41</v>
      </c>
      <c r="R597">
        <v>47</v>
      </c>
    </row>
    <row r="598" spans="1:18" x14ac:dyDescent="0.25">
      <c r="A598" t="s">
        <v>675</v>
      </c>
      <c r="B598" t="s">
        <v>52</v>
      </c>
      <c r="C598" t="s">
        <v>551</v>
      </c>
      <c r="D598" t="s">
        <v>52</v>
      </c>
      <c r="E598" t="s">
        <v>78</v>
      </c>
      <c r="F598" t="s">
        <v>252</v>
      </c>
      <c r="G598">
        <v>6.1619843000000003</v>
      </c>
      <c r="H598">
        <v>-75.593804000000006</v>
      </c>
      <c r="J598">
        <v>11</v>
      </c>
      <c r="M598">
        <v>170</v>
      </c>
      <c r="N598">
        <v>41</v>
      </c>
      <c r="O598">
        <v>38</v>
      </c>
      <c r="P598">
        <v>24</v>
      </c>
      <c r="Q598">
        <v>31</v>
      </c>
      <c r="R598">
        <v>38</v>
      </c>
    </row>
    <row r="599" spans="1:18" x14ac:dyDescent="0.25">
      <c r="A599" t="s">
        <v>676</v>
      </c>
      <c r="B599" t="s">
        <v>52</v>
      </c>
      <c r="C599" t="s">
        <v>551</v>
      </c>
      <c r="D599" t="s">
        <v>52</v>
      </c>
      <c r="E599" t="s">
        <v>78</v>
      </c>
      <c r="F599" t="s">
        <v>252</v>
      </c>
      <c r="G599">
        <v>6.1619843000000003</v>
      </c>
      <c r="H599">
        <v>-75.593804000000006</v>
      </c>
      <c r="J599">
        <v>11</v>
      </c>
      <c r="M599">
        <v>168</v>
      </c>
      <c r="N599">
        <v>27</v>
      </c>
      <c r="O599">
        <v>26</v>
      </c>
      <c r="P599">
        <v>38</v>
      </c>
      <c r="Q599">
        <v>33</v>
      </c>
      <c r="R599">
        <v>65</v>
      </c>
    </row>
    <row r="600" spans="1:18" x14ac:dyDescent="0.25">
      <c r="A600" t="s">
        <v>677</v>
      </c>
      <c r="B600" t="s">
        <v>52</v>
      </c>
      <c r="C600" t="s">
        <v>551</v>
      </c>
      <c r="D600" t="s">
        <v>52</v>
      </c>
      <c r="E600" t="s">
        <v>78</v>
      </c>
      <c r="F600" t="s">
        <v>252</v>
      </c>
      <c r="G600">
        <v>6.1619843000000003</v>
      </c>
      <c r="H600">
        <v>-75.593804000000006</v>
      </c>
      <c r="J600">
        <v>11</v>
      </c>
      <c r="M600">
        <v>165</v>
      </c>
      <c r="N600">
        <v>51</v>
      </c>
      <c r="O600">
        <v>30</v>
      </c>
      <c r="P600">
        <v>18</v>
      </c>
      <c r="Q600">
        <v>29</v>
      </c>
      <c r="R600">
        <v>44</v>
      </c>
    </row>
    <row r="601" spans="1:18" x14ac:dyDescent="0.25">
      <c r="A601" t="s">
        <v>678</v>
      </c>
      <c r="B601" t="s">
        <v>52</v>
      </c>
      <c r="C601" t="s">
        <v>551</v>
      </c>
      <c r="D601" t="s">
        <v>52</v>
      </c>
      <c r="E601" t="s">
        <v>78</v>
      </c>
      <c r="F601" t="s">
        <v>252</v>
      </c>
      <c r="G601">
        <v>6.1619843000000003</v>
      </c>
      <c r="H601">
        <v>-75.593804000000006</v>
      </c>
      <c r="J601">
        <v>11</v>
      </c>
      <c r="M601">
        <v>163</v>
      </c>
      <c r="N601">
        <v>44</v>
      </c>
      <c r="O601">
        <v>24</v>
      </c>
      <c r="P601">
        <v>38</v>
      </c>
      <c r="Q601">
        <v>22</v>
      </c>
      <c r="R601">
        <v>40</v>
      </c>
    </row>
    <row r="602" spans="1:18" x14ac:dyDescent="0.25">
      <c r="A602" t="s">
        <v>679</v>
      </c>
      <c r="B602" t="s">
        <v>52</v>
      </c>
      <c r="C602" t="s">
        <v>551</v>
      </c>
      <c r="D602" t="s">
        <v>52</v>
      </c>
      <c r="E602" t="s">
        <v>78</v>
      </c>
      <c r="F602" t="s">
        <v>252</v>
      </c>
      <c r="G602">
        <v>6.1619843000000003</v>
      </c>
      <c r="H602">
        <v>-75.593804000000006</v>
      </c>
      <c r="J602">
        <v>11</v>
      </c>
      <c r="M602">
        <v>159</v>
      </c>
      <c r="N602">
        <v>44</v>
      </c>
      <c r="O602">
        <v>32</v>
      </c>
      <c r="P602">
        <v>22</v>
      </c>
      <c r="Q602">
        <v>28</v>
      </c>
      <c r="R602">
        <v>36</v>
      </c>
    </row>
    <row r="603" spans="1:18" x14ac:dyDescent="0.25">
      <c r="A603" t="s">
        <v>680</v>
      </c>
      <c r="B603" t="s">
        <v>52</v>
      </c>
      <c r="C603" t="s">
        <v>551</v>
      </c>
      <c r="D603" t="s">
        <v>52</v>
      </c>
      <c r="E603" t="s">
        <v>78</v>
      </c>
      <c r="F603" t="s">
        <v>252</v>
      </c>
      <c r="G603">
        <v>6.1619843000000003</v>
      </c>
      <c r="H603">
        <v>-75.593804000000006</v>
      </c>
      <c r="J603">
        <v>11</v>
      </c>
      <c r="M603">
        <v>157</v>
      </c>
      <c r="N603">
        <v>39</v>
      </c>
      <c r="O603">
        <v>28</v>
      </c>
      <c r="P603">
        <v>24</v>
      </c>
      <c r="Q603">
        <v>33</v>
      </c>
      <c r="R603">
        <v>36</v>
      </c>
    </row>
    <row r="604" spans="1:18" x14ac:dyDescent="0.25">
      <c r="A604" t="s">
        <v>681</v>
      </c>
      <c r="B604" t="s">
        <v>52</v>
      </c>
      <c r="C604" t="s">
        <v>551</v>
      </c>
      <c r="D604" t="s">
        <v>52</v>
      </c>
      <c r="E604" t="s">
        <v>78</v>
      </c>
      <c r="F604" t="s">
        <v>252</v>
      </c>
      <c r="G604">
        <v>6.1619843000000003</v>
      </c>
      <c r="H604">
        <v>-75.593804000000006</v>
      </c>
      <c r="J604">
        <v>11</v>
      </c>
      <c r="M604">
        <v>156</v>
      </c>
      <c r="N604">
        <v>24</v>
      </c>
      <c r="O604">
        <v>34</v>
      </c>
      <c r="P604">
        <v>34</v>
      </c>
      <c r="Q604">
        <v>29</v>
      </c>
      <c r="R604">
        <v>40</v>
      </c>
    </row>
    <row r="605" spans="1:18" x14ac:dyDescent="0.25">
      <c r="A605" t="s">
        <v>682</v>
      </c>
      <c r="B605" t="s">
        <v>52</v>
      </c>
      <c r="C605" t="s">
        <v>551</v>
      </c>
      <c r="D605" t="s">
        <v>52</v>
      </c>
      <c r="E605" t="s">
        <v>78</v>
      </c>
      <c r="F605" t="s">
        <v>252</v>
      </c>
      <c r="G605">
        <v>6.1619843000000003</v>
      </c>
      <c r="H605">
        <v>-75.593804000000006</v>
      </c>
      <c r="J605">
        <v>11</v>
      </c>
      <c r="M605">
        <v>154</v>
      </c>
      <c r="N605">
        <v>56</v>
      </c>
      <c r="O605">
        <v>24</v>
      </c>
      <c r="P605">
        <v>18</v>
      </c>
      <c r="Q605">
        <v>26</v>
      </c>
      <c r="R605">
        <v>27</v>
      </c>
    </row>
    <row r="606" spans="1:18" x14ac:dyDescent="0.25">
      <c r="A606" t="s">
        <v>683</v>
      </c>
      <c r="B606" t="s">
        <v>52</v>
      </c>
      <c r="C606" t="s">
        <v>551</v>
      </c>
      <c r="D606" t="s">
        <v>52</v>
      </c>
      <c r="E606" t="s">
        <v>78</v>
      </c>
      <c r="F606" t="s">
        <v>252</v>
      </c>
      <c r="G606">
        <v>6.1619843000000003</v>
      </c>
      <c r="H606">
        <v>-75.593804000000006</v>
      </c>
      <c r="J606">
        <v>11</v>
      </c>
      <c r="M606">
        <v>153</v>
      </c>
      <c r="N606">
        <v>41</v>
      </c>
      <c r="O606">
        <v>28</v>
      </c>
      <c r="P606">
        <v>22</v>
      </c>
      <c r="Q606">
        <v>26</v>
      </c>
      <c r="R606">
        <v>45</v>
      </c>
    </row>
    <row r="607" spans="1:18" x14ac:dyDescent="0.25">
      <c r="A607" t="s">
        <v>684</v>
      </c>
      <c r="B607" t="s">
        <v>52</v>
      </c>
      <c r="C607" t="s">
        <v>551</v>
      </c>
      <c r="D607" t="s">
        <v>52</v>
      </c>
      <c r="E607" t="s">
        <v>78</v>
      </c>
      <c r="F607" t="s">
        <v>252</v>
      </c>
      <c r="G607">
        <v>6.1619843000000003</v>
      </c>
      <c r="H607">
        <v>-75.593804000000006</v>
      </c>
      <c r="J607">
        <v>11</v>
      </c>
      <c r="M607">
        <v>152</v>
      </c>
      <c r="N607">
        <v>34</v>
      </c>
      <c r="O607">
        <v>34</v>
      </c>
      <c r="P607">
        <v>20</v>
      </c>
      <c r="Q607">
        <v>29</v>
      </c>
      <c r="R607">
        <v>42</v>
      </c>
    </row>
    <row r="608" spans="1:18" x14ac:dyDescent="0.25">
      <c r="A608" t="s">
        <v>685</v>
      </c>
      <c r="B608" t="s">
        <v>52</v>
      </c>
      <c r="C608" t="s">
        <v>551</v>
      </c>
      <c r="D608" t="s">
        <v>52</v>
      </c>
      <c r="E608" t="s">
        <v>78</v>
      </c>
      <c r="F608" t="s">
        <v>252</v>
      </c>
      <c r="G608">
        <v>6.1619843000000003</v>
      </c>
      <c r="H608">
        <v>-75.593804000000006</v>
      </c>
      <c r="J608">
        <v>11</v>
      </c>
      <c r="M608">
        <v>151</v>
      </c>
      <c r="N608">
        <v>29</v>
      </c>
      <c r="O608">
        <v>26</v>
      </c>
      <c r="P608">
        <v>26</v>
      </c>
      <c r="Q608">
        <v>33</v>
      </c>
      <c r="R608">
        <v>51</v>
      </c>
    </row>
    <row r="609" spans="1:18" x14ac:dyDescent="0.25">
      <c r="A609" t="s">
        <v>686</v>
      </c>
      <c r="B609" t="s">
        <v>52</v>
      </c>
      <c r="C609" t="s">
        <v>551</v>
      </c>
      <c r="D609" t="s">
        <v>52</v>
      </c>
      <c r="E609" t="s">
        <v>78</v>
      </c>
      <c r="F609" t="s">
        <v>252</v>
      </c>
      <c r="G609">
        <v>6.1619843000000003</v>
      </c>
      <c r="H609">
        <v>-75.593804000000006</v>
      </c>
      <c r="J609">
        <v>11</v>
      </c>
      <c r="M609">
        <v>151</v>
      </c>
      <c r="N609">
        <v>44</v>
      </c>
      <c r="O609">
        <v>26</v>
      </c>
      <c r="P609">
        <v>28</v>
      </c>
      <c r="Q609">
        <v>21</v>
      </c>
      <c r="R609">
        <v>36</v>
      </c>
    </row>
    <row r="610" spans="1:18" x14ac:dyDescent="0.25">
      <c r="A610" t="s">
        <v>687</v>
      </c>
      <c r="B610" t="s">
        <v>52</v>
      </c>
      <c r="C610" t="s">
        <v>551</v>
      </c>
      <c r="D610" t="s">
        <v>52</v>
      </c>
      <c r="E610" t="s">
        <v>78</v>
      </c>
      <c r="F610" t="s">
        <v>252</v>
      </c>
      <c r="G610">
        <v>6.1619843000000003</v>
      </c>
      <c r="H610">
        <v>-75.593804000000006</v>
      </c>
      <c r="J610">
        <v>11</v>
      </c>
      <c r="M610">
        <v>150</v>
      </c>
      <c r="N610">
        <v>27</v>
      </c>
      <c r="O610">
        <v>30</v>
      </c>
      <c r="P610">
        <v>32</v>
      </c>
      <c r="Q610">
        <v>29</v>
      </c>
      <c r="R610">
        <v>36</v>
      </c>
    </row>
    <row r="611" spans="1:18" x14ac:dyDescent="0.25">
      <c r="A611" t="s">
        <v>688</v>
      </c>
      <c r="B611" t="s">
        <v>52</v>
      </c>
      <c r="C611" t="s">
        <v>551</v>
      </c>
      <c r="D611" t="s">
        <v>52</v>
      </c>
      <c r="E611" t="s">
        <v>78</v>
      </c>
      <c r="F611" t="s">
        <v>252</v>
      </c>
      <c r="G611">
        <v>6.1619843000000003</v>
      </c>
      <c r="H611">
        <v>-75.593804000000006</v>
      </c>
      <c r="J611">
        <v>11</v>
      </c>
      <c r="M611">
        <v>146</v>
      </c>
      <c r="N611">
        <v>39</v>
      </c>
      <c r="O611">
        <v>26</v>
      </c>
      <c r="P611">
        <v>14</v>
      </c>
      <c r="Q611">
        <v>34</v>
      </c>
      <c r="R611">
        <v>38</v>
      </c>
    </row>
    <row r="612" spans="1:18" x14ac:dyDescent="0.25">
      <c r="A612" t="s">
        <v>689</v>
      </c>
      <c r="B612" t="s">
        <v>52</v>
      </c>
      <c r="C612" t="s">
        <v>551</v>
      </c>
      <c r="D612" t="s">
        <v>52</v>
      </c>
      <c r="E612" t="s">
        <v>78</v>
      </c>
      <c r="F612" t="s">
        <v>252</v>
      </c>
      <c r="G612">
        <v>6.1619843000000003</v>
      </c>
      <c r="H612">
        <v>-75.593804000000006</v>
      </c>
      <c r="J612">
        <v>11</v>
      </c>
      <c r="M612">
        <v>141</v>
      </c>
      <c r="N612">
        <v>56</v>
      </c>
      <c r="O612">
        <v>22</v>
      </c>
      <c r="P612">
        <v>20</v>
      </c>
      <c r="Q612">
        <v>24</v>
      </c>
      <c r="R612">
        <v>0</v>
      </c>
    </row>
    <row r="613" spans="1:18" x14ac:dyDescent="0.25">
      <c r="A613" t="s">
        <v>690</v>
      </c>
      <c r="B613" t="s">
        <v>52</v>
      </c>
      <c r="C613" t="s">
        <v>691</v>
      </c>
      <c r="D613" t="s">
        <v>52</v>
      </c>
      <c r="E613" t="s">
        <v>78</v>
      </c>
      <c r="F613" t="s">
        <v>252</v>
      </c>
      <c r="G613">
        <v>6.1512748999999998</v>
      </c>
      <c r="H613">
        <v>-75.536050799999998</v>
      </c>
      <c r="J613">
        <v>11</v>
      </c>
      <c r="M613">
        <v>316</v>
      </c>
      <c r="N613">
        <v>68</v>
      </c>
      <c r="O613">
        <v>46</v>
      </c>
      <c r="P613">
        <v>70</v>
      </c>
      <c r="Q613">
        <v>60</v>
      </c>
      <c r="R613">
        <v>87</v>
      </c>
    </row>
    <row r="614" spans="1:18" x14ac:dyDescent="0.25">
      <c r="A614" t="s">
        <v>692</v>
      </c>
      <c r="B614" t="s">
        <v>52</v>
      </c>
      <c r="C614" t="s">
        <v>691</v>
      </c>
      <c r="D614" t="s">
        <v>52</v>
      </c>
      <c r="E614" t="s">
        <v>78</v>
      </c>
      <c r="F614" t="s">
        <v>252</v>
      </c>
      <c r="G614">
        <v>6.1512748999999998</v>
      </c>
      <c r="H614">
        <v>-75.536050799999998</v>
      </c>
      <c r="J614">
        <v>11</v>
      </c>
      <c r="M614">
        <v>301</v>
      </c>
      <c r="N614">
        <v>76</v>
      </c>
      <c r="O614">
        <v>28</v>
      </c>
      <c r="P614">
        <v>66</v>
      </c>
      <c r="Q614">
        <v>66</v>
      </c>
      <c r="R614">
        <v>76</v>
      </c>
    </row>
    <row r="615" spans="1:18" x14ac:dyDescent="0.25">
      <c r="A615" t="s">
        <v>693</v>
      </c>
      <c r="B615" t="s">
        <v>52</v>
      </c>
      <c r="C615" t="s">
        <v>691</v>
      </c>
      <c r="D615" t="s">
        <v>52</v>
      </c>
      <c r="E615" t="s">
        <v>78</v>
      </c>
      <c r="F615" t="s">
        <v>252</v>
      </c>
      <c r="G615">
        <v>6.1512748999999998</v>
      </c>
      <c r="H615">
        <v>-75.536050799999998</v>
      </c>
      <c r="J615">
        <v>11</v>
      </c>
      <c r="M615">
        <v>282</v>
      </c>
      <c r="N615">
        <v>59</v>
      </c>
      <c r="O615">
        <v>44</v>
      </c>
      <c r="P615">
        <v>68</v>
      </c>
      <c r="Q615">
        <v>52</v>
      </c>
      <c r="R615">
        <v>65</v>
      </c>
    </row>
    <row r="616" spans="1:18" x14ac:dyDescent="0.25">
      <c r="A616" t="s">
        <v>694</v>
      </c>
      <c r="B616" t="s">
        <v>52</v>
      </c>
      <c r="C616" t="s">
        <v>691</v>
      </c>
      <c r="D616" t="s">
        <v>52</v>
      </c>
      <c r="E616" t="s">
        <v>78</v>
      </c>
      <c r="F616" t="s">
        <v>252</v>
      </c>
      <c r="G616">
        <v>6.1512748999999998</v>
      </c>
      <c r="H616">
        <v>-75.536050799999998</v>
      </c>
      <c r="J616">
        <v>11</v>
      </c>
      <c r="M616">
        <v>279</v>
      </c>
      <c r="N616">
        <v>78</v>
      </c>
      <c r="O616">
        <v>26</v>
      </c>
      <c r="P616">
        <v>62</v>
      </c>
      <c r="Q616">
        <v>60</v>
      </c>
      <c r="R616">
        <v>47</v>
      </c>
    </row>
    <row r="617" spans="1:18" x14ac:dyDescent="0.25">
      <c r="A617" t="s">
        <v>695</v>
      </c>
      <c r="B617" t="s">
        <v>52</v>
      </c>
      <c r="C617" t="s">
        <v>691</v>
      </c>
      <c r="D617" t="s">
        <v>52</v>
      </c>
      <c r="E617" t="s">
        <v>78</v>
      </c>
      <c r="F617" t="s">
        <v>252</v>
      </c>
      <c r="G617">
        <v>6.1512748999999998</v>
      </c>
      <c r="H617">
        <v>-75.536050799999998</v>
      </c>
      <c r="J617">
        <v>11</v>
      </c>
      <c r="M617">
        <v>261</v>
      </c>
      <c r="N617">
        <v>63</v>
      </c>
      <c r="O617">
        <v>28</v>
      </c>
      <c r="P617">
        <v>74</v>
      </c>
      <c r="Q617">
        <v>45</v>
      </c>
      <c r="R617">
        <v>49</v>
      </c>
    </row>
    <row r="618" spans="1:18" x14ac:dyDescent="0.25">
      <c r="A618" t="s">
        <v>696</v>
      </c>
      <c r="B618" t="s">
        <v>52</v>
      </c>
      <c r="C618" t="s">
        <v>691</v>
      </c>
      <c r="D618" t="s">
        <v>52</v>
      </c>
      <c r="E618" t="s">
        <v>78</v>
      </c>
      <c r="F618" t="s">
        <v>252</v>
      </c>
      <c r="G618">
        <v>6.1512748999999998</v>
      </c>
      <c r="H618">
        <v>-75.536050799999998</v>
      </c>
      <c r="J618">
        <v>11</v>
      </c>
      <c r="M618">
        <v>255</v>
      </c>
      <c r="N618">
        <v>61</v>
      </c>
      <c r="O618">
        <v>40</v>
      </c>
      <c r="P618">
        <v>66</v>
      </c>
      <c r="Q618">
        <v>40</v>
      </c>
      <c r="R618">
        <v>44</v>
      </c>
    </row>
    <row r="619" spans="1:18" x14ac:dyDescent="0.25">
      <c r="A619" t="s">
        <v>697</v>
      </c>
      <c r="B619" t="s">
        <v>52</v>
      </c>
      <c r="C619" t="s">
        <v>691</v>
      </c>
      <c r="D619" t="s">
        <v>52</v>
      </c>
      <c r="E619" t="s">
        <v>78</v>
      </c>
      <c r="F619" t="s">
        <v>252</v>
      </c>
      <c r="G619">
        <v>6.1512748999999998</v>
      </c>
      <c r="H619">
        <v>-75.536050799999998</v>
      </c>
      <c r="J619">
        <v>11</v>
      </c>
      <c r="M619">
        <v>254</v>
      </c>
      <c r="N619">
        <v>66</v>
      </c>
      <c r="O619">
        <v>22</v>
      </c>
      <c r="P619">
        <v>58</v>
      </c>
      <c r="Q619">
        <v>48</v>
      </c>
      <c r="R619">
        <v>78</v>
      </c>
    </row>
    <row r="620" spans="1:18" x14ac:dyDescent="0.25">
      <c r="A620" t="s">
        <v>698</v>
      </c>
      <c r="B620" t="s">
        <v>52</v>
      </c>
      <c r="C620" t="s">
        <v>691</v>
      </c>
      <c r="D620" t="s">
        <v>52</v>
      </c>
      <c r="E620" t="s">
        <v>78</v>
      </c>
      <c r="F620" t="s">
        <v>252</v>
      </c>
      <c r="G620">
        <v>6.1512748999999998</v>
      </c>
      <c r="H620">
        <v>-75.536050799999998</v>
      </c>
      <c r="J620">
        <v>11</v>
      </c>
      <c r="M620">
        <v>250</v>
      </c>
      <c r="N620">
        <v>49</v>
      </c>
      <c r="O620">
        <v>28</v>
      </c>
      <c r="P620">
        <v>70</v>
      </c>
      <c r="Q620">
        <v>47</v>
      </c>
      <c r="R620">
        <v>69</v>
      </c>
    </row>
    <row r="621" spans="1:18" x14ac:dyDescent="0.25">
      <c r="A621" t="s">
        <v>699</v>
      </c>
      <c r="B621" t="s">
        <v>52</v>
      </c>
      <c r="C621" t="s">
        <v>691</v>
      </c>
      <c r="D621" t="s">
        <v>52</v>
      </c>
      <c r="E621" t="s">
        <v>78</v>
      </c>
      <c r="F621" t="s">
        <v>252</v>
      </c>
      <c r="G621">
        <v>6.1512748999999998</v>
      </c>
      <c r="H621">
        <v>-75.536050799999998</v>
      </c>
      <c r="J621">
        <v>11</v>
      </c>
      <c r="M621">
        <v>247</v>
      </c>
      <c r="N621">
        <v>61</v>
      </c>
      <c r="O621">
        <v>40</v>
      </c>
      <c r="P621">
        <v>50</v>
      </c>
      <c r="Q621">
        <v>47</v>
      </c>
      <c r="R621">
        <v>49</v>
      </c>
    </row>
    <row r="622" spans="1:18" x14ac:dyDescent="0.25">
      <c r="A622" t="s">
        <v>700</v>
      </c>
      <c r="B622" t="s">
        <v>52</v>
      </c>
      <c r="C622" t="s">
        <v>691</v>
      </c>
      <c r="D622" t="s">
        <v>52</v>
      </c>
      <c r="E622" t="s">
        <v>78</v>
      </c>
      <c r="F622" t="s">
        <v>252</v>
      </c>
      <c r="G622">
        <v>6.1512748999999998</v>
      </c>
      <c r="H622">
        <v>-75.536050799999998</v>
      </c>
      <c r="J622">
        <v>11</v>
      </c>
      <c r="M622">
        <v>229</v>
      </c>
      <c r="N622">
        <v>63</v>
      </c>
      <c r="O622">
        <v>34</v>
      </c>
      <c r="P622">
        <v>48</v>
      </c>
      <c r="Q622">
        <v>38</v>
      </c>
      <c r="R622">
        <v>45</v>
      </c>
    </row>
    <row r="623" spans="1:18" x14ac:dyDescent="0.25">
      <c r="A623" t="s">
        <v>701</v>
      </c>
      <c r="B623" t="s">
        <v>52</v>
      </c>
      <c r="C623" t="s">
        <v>691</v>
      </c>
      <c r="D623" t="s">
        <v>52</v>
      </c>
      <c r="E623" t="s">
        <v>78</v>
      </c>
      <c r="F623" t="s">
        <v>252</v>
      </c>
      <c r="G623">
        <v>6.1512748999999998</v>
      </c>
      <c r="H623">
        <v>-75.536050799999998</v>
      </c>
      <c r="J623">
        <v>11</v>
      </c>
      <c r="M623">
        <v>229</v>
      </c>
      <c r="N623">
        <v>46</v>
      </c>
      <c r="O623">
        <v>38</v>
      </c>
      <c r="P623">
        <v>32</v>
      </c>
      <c r="Q623">
        <v>53</v>
      </c>
      <c r="R623">
        <v>85</v>
      </c>
    </row>
    <row r="624" spans="1:18" x14ac:dyDescent="0.25">
      <c r="A624" t="s">
        <v>702</v>
      </c>
      <c r="B624" t="s">
        <v>52</v>
      </c>
      <c r="C624" t="s">
        <v>691</v>
      </c>
      <c r="D624" t="s">
        <v>52</v>
      </c>
      <c r="E624" t="s">
        <v>78</v>
      </c>
      <c r="F624" t="s">
        <v>252</v>
      </c>
      <c r="G624">
        <v>6.1512748999999998</v>
      </c>
      <c r="H624">
        <v>-75.536050799999998</v>
      </c>
      <c r="J624">
        <v>11</v>
      </c>
      <c r="M624">
        <v>226</v>
      </c>
      <c r="N624">
        <v>54</v>
      </c>
      <c r="O624">
        <v>32</v>
      </c>
      <c r="P624">
        <v>42</v>
      </c>
      <c r="Q624">
        <v>55</v>
      </c>
      <c r="R624">
        <v>40</v>
      </c>
    </row>
    <row r="625" spans="1:18" x14ac:dyDescent="0.25">
      <c r="A625" t="s">
        <v>703</v>
      </c>
      <c r="B625" t="s">
        <v>52</v>
      </c>
      <c r="C625" t="s">
        <v>691</v>
      </c>
      <c r="D625" t="s">
        <v>52</v>
      </c>
      <c r="E625" t="s">
        <v>78</v>
      </c>
      <c r="F625" t="s">
        <v>252</v>
      </c>
      <c r="G625">
        <v>6.1512748999999998</v>
      </c>
      <c r="H625">
        <v>-75.536050799999998</v>
      </c>
      <c r="J625">
        <v>11</v>
      </c>
      <c r="M625">
        <v>221</v>
      </c>
      <c r="N625">
        <v>44</v>
      </c>
      <c r="O625">
        <v>30</v>
      </c>
      <c r="P625">
        <v>56</v>
      </c>
      <c r="Q625">
        <v>48</v>
      </c>
      <c r="R625">
        <v>40</v>
      </c>
    </row>
    <row r="626" spans="1:18" x14ac:dyDescent="0.25">
      <c r="A626" t="s">
        <v>704</v>
      </c>
      <c r="B626" t="s">
        <v>52</v>
      </c>
      <c r="C626" t="s">
        <v>691</v>
      </c>
      <c r="D626" t="s">
        <v>52</v>
      </c>
      <c r="E626" t="s">
        <v>78</v>
      </c>
      <c r="F626" t="s">
        <v>252</v>
      </c>
      <c r="G626">
        <v>6.1512748999999998</v>
      </c>
      <c r="H626">
        <v>-75.536050799999998</v>
      </c>
      <c r="J626">
        <v>11</v>
      </c>
      <c r="M626">
        <v>214</v>
      </c>
      <c r="N626">
        <v>59</v>
      </c>
      <c r="O626">
        <v>30</v>
      </c>
      <c r="P626">
        <v>48</v>
      </c>
      <c r="Q626">
        <v>29</v>
      </c>
      <c r="R626">
        <v>60</v>
      </c>
    </row>
    <row r="627" spans="1:18" x14ac:dyDescent="0.25">
      <c r="A627" t="s">
        <v>705</v>
      </c>
      <c r="B627" t="s">
        <v>52</v>
      </c>
      <c r="C627" t="s">
        <v>691</v>
      </c>
      <c r="D627" t="s">
        <v>52</v>
      </c>
      <c r="E627" t="s">
        <v>78</v>
      </c>
      <c r="F627" t="s">
        <v>252</v>
      </c>
      <c r="G627">
        <v>6.1512748999999998</v>
      </c>
      <c r="H627">
        <v>-75.536050799999998</v>
      </c>
      <c r="J627">
        <v>11</v>
      </c>
      <c r="M627">
        <v>211</v>
      </c>
      <c r="N627">
        <v>46</v>
      </c>
      <c r="O627">
        <v>32</v>
      </c>
      <c r="P627">
        <v>60</v>
      </c>
      <c r="Q627">
        <v>31</v>
      </c>
      <c r="R627">
        <v>40</v>
      </c>
    </row>
    <row r="628" spans="1:18" x14ac:dyDescent="0.25">
      <c r="A628" t="s">
        <v>706</v>
      </c>
      <c r="B628" t="s">
        <v>52</v>
      </c>
      <c r="C628" t="s">
        <v>691</v>
      </c>
      <c r="D628" t="s">
        <v>52</v>
      </c>
      <c r="E628" t="s">
        <v>78</v>
      </c>
      <c r="F628" t="s">
        <v>252</v>
      </c>
      <c r="G628">
        <v>6.1512748999999998</v>
      </c>
      <c r="H628">
        <v>-75.536050799999998</v>
      </c>
      <c r="J628">
        <v>11</v>
      </c>
      <c r="M628">
        <v>205</v>
      </c>
      <c r="N628">
        <v>59</v>
      </c>
      <c r="O628">
        <v>24</v>
      </c>
      <c r="P628">
        <v>46</v>
      </c>
      <c r="Q628">
        <v>38</v>
      </c>
      <c r="R628">
        <v>35</v>
      </c>
    </row>
    <row r="629" spans="1:18" x14ac:dyDescent="0.25">
      <c r="A629" t="s">
        <v>707</v>
      </c>
      <c r="B629" t="s">
        <v>52</v>
      </c>
      <c r="C629" t="s">
        <v>691</v>
      </c>
      <c r="D629" t="s">
        <v>52</v>
      </c>
      <c r="E629" t="s">
        <v>78</v>
      </c>
      <c r="F629" t="s">
        <v>252</v>
      </c>
      <c r="G629">
        <v>6.1512748999999998</v>
      </c>
      <c r="H629">
        <v>-75.536050799999998</v>
      </c>
      <c r="J629">
        <v>11</v>
      </c>
      <c r="M629">
        <v>197</v>
      </c>
      <c r="N629">
        <v>61</v>
      </c>
      <c r="O629">
        <v>24</v>
      </c>
      <c r="P629">
        <v>32</v>
      </c>
      <c r="Q629">
        <v>34</v>
      </c>
      <c r="R629">
        <v>58</v>
      </c>
    </row>
    <row r="630" spans="1:18" x14ac:dyDescent="0.25">
      <c r="A630" t="s">
        <v>708</v>
      </c>
      <c r="B630" t="s">
        <v>52</v>
      </c>
      <c r="C630" t="s">
        <v>691</v>
      </c>
      <c r="D630" t="s">
        <v>52</v>
      </c>
      <c r="E630" t="s">
        <v>78</v>
      </c>
      <c r="F630" t="s">
        <v>252</v>
      </c>
      <c r="G630">
        <v>6.1512748999999998</v>
      </c>
      <c r="H630">
        <v>-75.536050799999998</v>
      </c>
      <c r="J630">
        <v>11</v>
      </c>
      <c r="M630">
        <v>192</v>
      </c>
      <c r="N630">
        <v>54</v>
      </c>
      <c r="O630">
        <v>40</v>
      </c>
      <c r="P630">
        <v>28</v>
      </c>
      <c r="Q630">
        <v>24</v>
      </c>
      <c r="R630">
        <v>62</v>
      </c>
    </row>
    <row r="631" spans="1:18" x14ac:dyDescent="0.25">
      <c r="A631" t="s">
        <v>709</v>
      </c>
      <c r="B631" t="s">
        <v>52</v>
      </c>
      <c r="C631" t="s">
        <v>691</v>
      </c>
      <c r="D631" t="s">
        <v>52</v>
      </c>
      <c r="E631" t="s">
        <v>78</v>
      </c>
      <c r="F631" t="s">
        <v>252</v>
      </c>
      <c r="G631">
        <v>6.1512748999999998</v>
      </c>
      <c r="H631">
        <v>-75.536050799999998</v>
      </c>
      <c r="J631">
        <v>11</v>
      </c>
      <c r="M631">
        <v>190</v>
      </c>
      <c r="N631">
        <v>46</v>
      </c>
      <c r="O631">
        <v>20</v>
      </c>
      <c r="P631">
        <v>46</v>
      </c>
      <c r="Q631">
        <v>33</v>
      </c>
      <c r="R631">
        <v>58</v>
      </c>
    </row>
    <row r="632" spans="1:18" x14ac:dyDescent="0.25">
      <c r="A632" t="s">
        <v>710</v>
      </c>
      <c r="B632" t="s">
        <v>52</v>
      </c>
      <c r="C632" t="s">
        <v>691</v>
      </c>
      <c r="D632" t="s">
        <v>52</v>
      </c>
      <c r="E632" t="s">
        <v>78</v>
      </c>
      <c r="F632" t="s">
        <v>252</v>
      </c>
      <c r="G632">
        <v>6.1512748999999998</v>
      </c>
      <c r="H632">
        <v>-75.536050799999998</v>
      </c>
      <c r="J632">
        <v>11</v>
      </c>
      <c r="M632">
        <v>188</v>
      </c>
      <c r="N632">
        <v>29</v>
      </c>
      <c r="O632">
        <v>36</v>
      </c>
      <c r="P632">
        <v>40</v>
      </c>
      <c r="Q632">
        <v>52</v>
      </c>
      <c r="R632">
        <v>18</v>
      </c>
    </row>
    <row r="633" spans="1:18" x14ac:dyDescent="0.25">
      <c r="A633" t="s">
        <v>711</v>
      </c>
      <c r="B633" t="s">
        <v>52</v>
      </c>
      <c r="C633" t="s">
        <v>691</v>
      </c>
      <c r="D633" t="s">
        <v>52</v>
      </c>
      <c r="E633" t="s">
        <v>78</v>
      </c>
      <c r="F633" t="s">
        <v>252</v>
      </c>
      <c r="G633">
        <v>6.1512748999999998</v>
      </c>
      <c r="H633">
        <v>-75.536050799999998</v>
      </c>
      <c r="J633">
        <v>11</v>
      </c>
      <c r="M633">
        <v>187</v>
      </c>
      <c r="N633">
        <v>39</v>
      </c>
      <c r="O633">
        <v>26</v>
      </c>
      <c r="P633">
        <v>46</v>
      </c>
      <c r="Q633">
        <v>34</v>
      </c>
      <c r="R633">
        <v>49</v>
      </c>
    </row>
    <row r="634" spans="1:18" x14ac:dyDescent="0.25">
      <c r="A634" t="s">
        <v>712</v>
      </c>
      <c r="B634" t="s">
        <v>52</v>
      </c>
      <c r="C634" t="s">
        <v>691</v>
      </c>
      <c r="D634" t="s">
        <v>52</v>
      </c>
      <c r="E634" t="s">
        <v>78</v>
      </c>
      <c r="F634" t="s">
        <v>252</v>
      </c>
      <c r="G634">
        <v>6.1512748999999998</v>
      </c>
      <c r="H634">
        <v>-75.536050799999998</v>
      </c>
      <c r="J634">
        <v>11</v>
      </c>
      <c r="M634">
        <v>178</v>
      </c>
      <c r="N634">
        <v>56</v>
      </c>
      <c r="O634">
        <v>22</v>
      </c>
      <c r="P634">
        <v>34</v>
      </c>
      <c r="Q634">
        <v>31</v>
      </c>
      <c r="R634">
        <v>35</v>
      </c>
    </row>
    <row r="635" spans="1:18" x14ac:dyDescent="0.25">
      <c r="A635" t="s">
        <v>713</v>
      </c>
      <c r="B635" t="s">
        <v>52</v>
      </c>
      <c r="C635" t="s">
        <v>691</v>
      </c>
      <c r="D635" t="s">
        <v>52</v>
      </c>
      <c r="E635" t="s">
        <v>78</v>
      </c>
      <c r="F635" t="s">
        <v>252</v>
      </c>
      <c r="G635">
        <v>6.1512748999999998</v>
      </c>
      <c r="H635">
        <v>-75.536050799999998</v>
      </c>
      <c r="J635">
        <v>11</v>
      </c>
      <c r="M635">
        <v>176</v>
      </c>
      <c r="N635">
        <v>29</v>
      </c>
      <c r="O635">
        <v>28</v>
      </c>
      <c r="P635">
        <v>36</v>
      </c>
      <c r="Q635">
        <v>40</v>
      </c>
      <c r="R635">
        <v>58</v>
      </c>
    </row>
    <row r="636" spans="1:18" x14ac:dyDescent="0.25">
      <c r="A636" t="s">
        <v>714</v>
      </c>
      <c r="B636" t="s">
        <v>52</v>
      </c>
      <c r="C636" t="s">
        <v>691</v>
      </c>
      <c r="D636" t="s">
        <v>52</v>
      </c>
      <c r="E636" t="s">
        <v>78</v>
      </c>
      <c r="F636" t="s">
        <v>252</v>
      </c>
      <c r="G636">
        <v>6.1512748999999998</v>
      </c>
      <c r="H636">
        <v>-75.536050799999998</v>
      </c>
      <c r="J636">
        <v>11</v>
      </c>
      <c r="M636">
        <v>175</v>
      </c>
      <c r="N636">
        <v>44</v>
      </c>
      <c r="O636">
        <v>28</v>
      </c>
      <c r="P636">
        <v>46</v>
      </c>
      <c r="Q636">
        <v>21</v>
      </c>
      <c r="R636">
        <v>38</v>
      </c>
    </row>
    <row r="637" spans="1:18" x14ac:dyDescent="0.25">
      <c r="A637" t="s">
        <v>715</v>
      </c>
      <c r="B637" t="s">
        <v>52</v>
      </c>
      <c r="C637" t="s">
        <v>691</v>
      </c>
      <c r="D637" t="s">
        <v>52</v>
      </c>
      <c r="E637" t="s">
        <v>78</v>
      </c>
      <c r="F637" t="s">
        <v>252</v>
      </c>
      <c r="G637">
        <v>6.1512748999999998</v>
      </c>
      <c r="H637">
        <v>-75.536050799999998</v>
      </c>
      <c r="J637">
        <v>11</v>
      </c>
      <c r="M637">
        <v>172</v>
      </c>
      <c r="N637">
        <v>41</v>
      </c>
      <c r="O637">
        <v>28</v>
      </c>
      <c r="P637">
        <v>30</v>
      </c>
      <c r="Q637">
        <v>38</v>
      </c>
      <c r="R637">
        <v>35</v>
      </c>
    </row>
    <row r="638" spans="1:18" x14ac:dyDescent="0.25">
      <c r="A638" t="s">
        <v>716</v>
      </c>
      <c r="B638" t="s">
        <v>52</v>
      </c>
      <c r="C638" t="s">
        <v>691</v>
      </c>
      <c r="D638" t="s">
        <v>52</v>
      </c>
      <c r="E638" t="s">
        <v>78</v>
      </c>
      <c r="F638" t="s">
        <v>252</v>
      </c>
      <c r="G638">
        <v>6.1512748999999998</v>
      </c>
      <c r="H638">
        <v>-75.536050799999998</v>
      </c>
      <c r="J638">
        <v>11</v>
      </c>
      <c r="M638">
        <v>171</v>
      </c>
      <c r="N638">
        <v>46</v>
      </c>
      <c r="O638">
        <v>30</v>
      </c>
      <c r="P638">
        <v>26</v>
      </c>
      <c r="Q638">
        <v>31</v>
      </c>
      <c r="R638">
        <v>44</v>
      </c>
    </row>
    <row r="639" spans="1:18" x14ac:dyDescent="0.25">
      <c r="A639" t="s">
        <v>717</v>
      </c>
      <c r="B639" t="s">
        <v>52</v>
      </c>
      <c r="C639" t="s">
        <v>691</v>
      </c>
      <c r="D639" t="s">
        <v>52</v>
      </c>
      <c r="E639" t="s">
        <v>78</v>
      </c>
      <c r="F639" t="s">
        <v>252</v>
      </c>
      <c r="G639">
        <v>6.1512748999999998</v>
      </c>
      <c r="H639">
        <v>-75.536050799999998</v>
      </c>
      <c r="J639">
        <v>11</v>
      </c>
      <c r="M639">
        <v>169</v>
      </c>
      <c r="N639">
        <v>56</v>
      </c>
      <c r="O639">
        <v>26</v>
      </c>
      <c r="P639">
        <v>26</v>
      </c>
      <c r="Q639">
        <v>26</v>
      </c>
      <c r="R639">
        <v>36</v>
      </c>
    </row>
    <row r="640" spans="1:18" x14ac:dyDescent="0.25">
      <c r="A640" t="s">
        <v>718</v>
      </c>
      <c r="B640" t="s">
        <v>52</v>
      </c>
      <c r="C640" t="s">
        <v>691</v>
      </c>
      <c r="D640" t="s">
        <v>52</v>
      </c>
      <c r="E640" t="s">
        <v>78</v>
      </c>
      <c r="F640" t="s">
        <v>252</v>
      </c>
      <c r="G640">
        <v>6.1512748999999998</v>
      </c>
      <c r="H640">
        <v>-75.536050799999998</v>
      </c>
      <c r="J640">
        <v>11</v>
      </c>
      <c r="M640">
        <v>168</v>
      </c>
      <c r="N640">
        <v>51</v>
      </c>
      <c r="O640">
        <v>36</v>
      </c>
      <c r="P640">
        <v>24</v>
      </c>
      <c r="Q640">
        <v>22</v>
      </c>
      <c r="R640">
        <v>36</v>
      </c>
    </row>
    <row r="641" spans="1:18" x14ac:dyDescent="0.25">
      <c r="A641" t="s">
        <v>719</v>
      </c>
      <c r="B641" t="s">
        <v>52</v>
      </c>
      <c r="C641" t="s">
        <v>691</v>
      </c>
      <c r="D641" t="s">
        <v>52</v>
      </c>
      <c r="E641" t="s">
        <v>78</v>
      </c>
      <c r="F641" t="s">
        <v>252</v>
      </c>
      <c r="G641">
        <v>6.1512748999999998</v>
      </c>
      <c r="H641">
        <v>-75.536050799999998</v>
      </c>
      <c r="J641">
        <v>11</v>
      </c>
      <c r="M641">
        <v>161</v>
      </c>
      <c r="N641">
        <v>59</v>
      </c>
      <c r="O641">
        <v>20</v>
      </c>
      <c r="P641">
        <v>30</v>
      </c>
      <c r="Q641">
        <v>21</v>
      </c>
      <c r="R641">
        <v>31</v>
      </c>
    </row>
    <row r="642" spans="1:18" x14ac:dyDescent="0.25">
      <c r="A642" t="s">
        <v>720</v>
      </c>
      <c r="B642" t="s">
        <v>52</v>
      </c>
      <c r="C642" t="s">
        <v>691</v>
      </c>
      <c r="D642" t="s">
        <v>52</v>
      </c>
      <c r="E642" t="s">
        <v>78</v>
      </c>
      <c r="F642" t="s">
        <v>252</v>
      </c>
      <c r="G642">
        <v>6.1512748999999998</v>
      </c>
      <c r="H642">
        <v>-75.536050799999998</v>
      </c>
      <c r="J642">
        <v>11</v>
      </c>
      <c r="M642">
        <v>160</v>
      </c>
      <c r="N642">
        <v>39</v>
      </c>
      <c r="O642">
        <v>16</v>
      </c>
      <c r="P642">
        <v>36</v>
      </c>
      <c r="Q642">
        <v>38</v>
      </c>
      <c r="R642">
        <v>29</v>
      </c>
    </row>
    <row r="643" spans="1:18" x14ac:dyDescent="0.25">
      <c r="A643" t="s">
        <v>721</v>
      </c>
      <c r="B643" t="s">
        <v>52</v>
      </c>
      <c r="C643" t="s">
        <v>691</v>
      </c>
      <c r="D643" t="s">
        <v>52</v>
      </c>
      <c r="E643" t="s">
        <v>78</v>
      </c>
      <c r="F643" t="s">
        <v>252</v>
      </c>
      <c r="G643">
        <v>6.1512748999999998</v>
      </c>
      <c r="H643">
        <v>-75.536050799999998</v>
      </c>
      <c r="J643">
        <v>11</v>
      </c>
      <c r="M643">
        <v>158</v>
      </c>
      <c r="N643">
        <v>37</v>
      </c>
      <c r="O643">
        <v>26</v>
      </c>
      <c r="P643">
        <v>42</v>
      </c>
      <c r="Q643">
        <v>14</v>
      </c>
      <c r="R643">
        <v>56</v>
      </c>
    </row>
    <row r="644" spans="1:18" x14ac:dyDescent="0.25">
      <c r="A644" t="s">
        <v>722</v>
      </c>
      <c r="B644" t="s">
        <v>52</v>
      </c>
      <c r="C644" t="s">
        <v>691</v>
      </c>
      <c r="D644" t="s">
        <v>52</v>
      </c>
      <c r="E644" t="s">
        <v>78</v>
      </c>
      <c r="F644" t="s">
        <v>252</v>
      </c>
      <c r="G644">
        <v>6.1512748999999998</v>
      </c>
      <c r="H644">
        <v>-75.536050799999998</v>
      </c>
      <c r="J644">
        <v>11</v>
      </c>
      <c r="M644">
        <v>151</v>
      </c>
      <c r="N644">
        <v>41</v>
      </c>
      <c r="O644">
        <v>28</v>
      </c>
      <c r="P644">
        <v>26</v>
      </c>
      <c r="Q644">
        <v>24</v>
      </c>
      <c r="R644">
        <v>33</v>
      </c>
    </row>
    <row r="645" spans="1:18" x14ac:dyDescent="0.25">
      <c r="A645" t="s">
        <v>723</v>
      </c>
      <c r="B645" t="s">
        <v>52</v>
      </c>
      <c r="C645" t="s">
        <v>691</v>
      </c>
      <c r="D645" t="s">
        <v>52</v>
      </c>
      <c r="E645" t="s">
        <v>78</v>
      </c>
      <c r="F645" t="s">
        <v>252</v>
      </c>
      <c r="G645">
        <v>6.1512748999999998</v>
      </c>
      <c r="H645">
        <v>-75.536050799999998</v>
      </c>
      <c r="J645">
        <v>11</v>
      </c>
      <c r="M645">
        <v>147</v>
      </c>
      <c r="N645">
        <v>37</v>
      </c>
      <c r="O645">
        <v>12</v>
      </c>
      <c r="P645">
        <v>38</v>
      </c>
      <c r="Q645">
        <v>29</v>
      </c>
      <c r="R645">
        <v>35</v>
      </c>
    </row>
    <row r="646" spans="1:18" x14ac:dyDescent="0.25">
      <c r="A646" t="s">
        <v>724</v>
      </c>
      <c r="B646" t="s">
        <v>52</v>
      </c>
      <c r="C646" t="s">
        <v>691</v>
      </c>
      <c r="D646" t="s">
        <v>52</v>
      </c>
      <c r="E646" t="s">
        <v>78</v>
      </c>
      <c r="F646" t="s">
        <v>252</v>
      </c>
      <c r="G646">
        <v>6.1512748999999998</v>
      </c>
      <c r="H646">
        <v>-75.536050799999998</v>
      </c>
      <c r="J646">
        <v>11</v>
      </c>
      <c r="M646">
        <v>145</v>
      </c>
      <c r="N646">
        <v>39</v>
      </c>
      <c r="O646">
        <v>20</v>
      </c>
      <c r="P646">
        <v>22</v>
      </c>
      <c r="Q646">
        <v>34</v>
      </c>
      <c r="R646">
        <v>31</v>
      </c>
    </row>
    <row r="647" spans="1:18" x14ac:dyDescent="0.25">
      <c r="A647" t="s">
        <v>725</v>
      </c>
      <c r="B647" t="s">
        <v>52</v>
      </c>
      <c r="C647" t="s">
        <v>691</v>
      </c>
      <c r="D647" t="s">
        <v>52</v>
      </c>
      <c r="E647" t="s">
        <v>78</v>
      </c>
      <c r="F647" t="s">
        <v>252</v>
      </c>
      <c r="G647">
        <v>6.1512748999999998</v>
      </c>
      <c r="H647">
        <v>-75.536050799999998</v>
      </c>
      <c r="J647">
        <v>11</v>
      </c>
      <c r="M647">
        <v>139</v>
      </c>
      <c r="N647">
        <v>20</v>
      </c>
      <c r="O647">
        <v>30</v>
      </c>
      <c r="P647">
        <v>28</v>
      </c>
      <c r="Q647">
        <v>26</v>
      </c>
      <c r="R647">
        <v>51</v>
      </c>
    </row>
    <row r="648" spans="1:18" x14ac:dyDescent="0.25">
      <c r="A648" t="s">
        <v>726</v>
      </c>
      <c r="B648" t="s">
        <v>52</v>
      </c>
      <c r="C648" t="s">
        <v>691</v>
      </c>
      <c r="D648" t="s">
        <v>52</v>
      </c>
      <c r="E648" t="s">
        <v>78</v>
      </c>
      <c r="F648" t="s">
        <v>252</v>
      </c>
      <c r="G648">
        <v>6.1512748999999998</v>
      </c>
      <c r="H648">
        <v>-75.536050799999998</v>
      </c>
      <c r="J648">
        <v>11</v>
      </c>
      <c r="M648">
        <v>136</v>
      </c>
      <c r="N648">
        <v>32</v>
      </c>
      <c r="O648">
        <v>32</v>
      </c>
      <c r="P648">
        <v>24</v>
      </c>
      <c r="Q648">
        <v>21</v>
      </c>
      <c r="R648">
        <v>29</v>
      </c>
    </row>
    <row r="649" spans="1:18" x14ac:dyDescent="0.25">
      <c r="A649" t="s">
        <v>727</v>
      </c>
      <c r="B649" t="s">
        <v>52</v>
      </c>
      <c r="C649" t="s">
        <v>691</v>
      </c>
      <c r="D649" t="s">
        <v>52</v>
      </c>
      <c r="E649" t="s">
        <v>78</v>
      </c>
      <c r="F649" t="s">
        <v>252</v>
      </c>
      <c r="G649">
        <v>6.1512748999999998</v>
      </c>
      <c r="H649">
        <v>-75.536050799999998</v>
      </c>
      <c r="J649">
        <v>11</v>
      </c>
      <c r="M649">
        <v>131</v>
      </c>
      <c r="N649">
        <v>24</v>
      </c>
      <c r="O649">
        <v>30</v>
      </c>
      <c r="P649">
        <v>30</v>
      </c>
      <c r="Q649">
        <v>19</v>
      </c>
      <c r="R649">
        <v>31</v>
      </c>
    </row>
    <row r="650" spans="1:18" x14ac:dyDescent="0.25">
      <c r="A650" t="s">
        <v>728</v>
      </c>
      <c r="B650" t="s">
        <v>52</v>
      </c>
      <c r="C650" t="s">
        <v>691</v>
      </c>
      <c r="D650" t="s">
        <v>52</v>
      </c>
      <c r="E650" t="s">
        <v>78</v>
      </c>
      <c r="F650" t="s">
        <v>252</v>
      </c>
      <c r="G650">
        <v>6.1512748999999998</v>
      </c>
      <c r="H650">
        <v>-75.536050799999998</v>
      </c>
      <c r="J650">
        <v>11</v>
      </c>
      <c r="M650">
        <v>128</v>
      </c>
      <c r="N650">
        <v>27</v>
      </c>
      <c r="O650">
        <v>10</v>
      </c>
      <c r="P650">
        <v>40</v>
      </c>
      <c r="Q650">
        <v>26</v>
      </c>
      <c r="R650">
        <v>24</v>
      </c>
    </row>
    <row r="651" spans="1:18" x14ac:dyDescent="0.25">
      <c r="A651" t="s">
        <v>729</v>
      </c>
      <c r="B651" t="s">
        <v>52</v>
      </c>
      <c r="C651" t="s">
        <v>691</v>
      </c>
      <c r="D651" t="s">
        <v>52</v>
      </c>
      <c r="E651" t="s">
        <v>78</v>
      </c>
      <c r="F651" t="s">
        <v>252</v>
      </c>
      <c r="G651">
        <v>6.1512748999999998</v>
      </c>
      <c r="H651">
        <v>-75.536050799999998</v>
      </c>
      <c r="J651">
        <v>11</v>
      </c>
      <c r="M651">
        <v>125</v>
      </c>
      <c r="N651">
        <v>27</v>
      </c>
      <c r="O651">
        <v>36</v>
      </c>
      <c r="P651">
        <v>14</v>
      </c>
      <c r="Q651">
        <v>19</v>
      </c>
      <c r="R651">
        <v>36</v>
      </c>
    </row>
    <row r="652" spans="1:18" x14ac:dyDescent="0.25">
      <c r="A652" t="s">
        <v>730</v>
      </c>
      <c r="B652" t="s">
        <v>52</v>
      </c>
      <c r="C652" t="s">
        <v>691</v>
      </c>
      <c r="D652" t="s">
        <v>52</v>
      </c>
      <c r="E652" t="s">
        <v>78</v>
      </c>
      <c r="F652" t="s">
        <v>252</v>
      </c>
      <c r="G652">
        <v>6.1512748999999998</v>
      </c>
      <c r="H652">
        <v>-75.536050799999998</v>
      </c>
      <c r="J652">
        <v>11</v>
      </c>
      <c r="M652">
        <v>106</v>
      </c>
      <c r="N652">
        <v>22</v>
      </c>
      <c r="O652">
        <v>16</v>
      </c>
      <c r="P652">
        <v>30</v>
      </c>
      <c r="Q652">
        <v>24</v>
      </c>
      <c r="R652">
        <v>0</v>
      </c>
    </row>
    <row r="653" spans="1:18" x14ac:dyDescent="0.25">
      <c r="A653" t="s">
        <v>731</v>
      </c>
      <c r="B653" t="s">
        <v>52</v>
      </c>
      <c r="C653" t="s">
        <v>732</v>
      </c>
      <c r="D653" t="s">
        <v>52</v>
      </c>
      <c r="E653" t="s">
        <v>78</v>
      </c>
      <c r="F653" t="s">
        <v>252</v>
      </c>
      <c r="G653">
        <v>6.1632490000000004</v>
      </c>
      <c r="H653">
        <v>-75.594163600000002</v>
      </c>
      <c r="J653">
        <v>11</v>
      </c>
      <c r="M653">
        <v>354</v>
      </c>
      <c r="N653">
        <v>68</v>
      </c>
      <c r="O653">
        <v>62</v>
      </c>
      <c r="P653">
        <v>78</v>
      </c>
      <c r="Q653">
        <v>67</v>
      </c>
      <c r="R653">
        <v>93</v>
      </c>
    </row>
    <row r="654" spans="1:18" x14ac:dyDescent="0.25">
      <c r="A654" t="s">
        <v>733</v>
      </c>
      <c r="B654" t="s">
        <v>52</v>
      </c>
      <c r="C654" t="s">
        <v>732</v>
      </c>
      <c r="D654" t="s">
        <v>52</v>
      </c>
      <c r="E654" t="s">
        <v>78</v>
      </c>
      <c r="F654" t="s">
        <v>252</v>
      </c>
      <c r="G654">
        <v>6.1632490000000004</v>
      </c>
      <c r="H654">
        <v>-75.594163600000002</v>
      </c>
      <c r="J654">
        <v>11</v>
      </c>
      <c r="M654">
        <v>334</v>
      </c>
      <c r="N654">
        <v>76</v>
      </c>
      <c r="O654">
        <v>70</v>
      </c>
      <c r="P654">
        <v>72</v>
      </c>
      <c r="Q654">
        <v>40</v>
      </c>
      <c r="R654">
        <v>96</v>
      </c>
    </row>
    <row r="655" spans="1:18" x14ac:dyDescent="0.25">
      <c r="A655" t="s">
        <v>734</v>
      </c>
      <c r="B655" t="s">
        <v>52</v>
      </c>
      <c r="C655" t="s">
        <v>732</v>
      </c>
      <c r="D655" t="s">
        <v>52</v>
      </c>
      <c r="E655" t="s">
        <v>78</v>
      </c>
      <c r="F655" t="s">
        <v>252</v>
      </c>
      <c r="G655">
        <v>6.1632490000000004</v>
      </c>
      <c r="H655">
        <v>-75.594163600000002</v>
      </c>
      <c r="J655">
        <v>11</v>
      </c>
      <c r="M655">
        <v>326</v>
      </c>
      <c r="N655">
        <v>68</v>
      </c>
      <c r="O655">
        <v>52</v>
      </c>
      <c r="P655">
        <v>68</v>
      </c>
      <c r="Q655">
        <v>67</v>
      </c>
      <c r="R655">
        <v>80</v>
      </c>
    </row>
    <row r="656" spans="1:18" x14ac:dyDescent="0.25">
      <c r="A656" t="s">
        <v>735</v>
      </c>
      <c r="B656" t="s">
        <v>52</v>
      </c>
      <c r="C656" t="s">
        <v>732</v>
      </c>
      <c r="D656" t="s">
        <v>52</v>
      </c>
      <c r="E656" t="s">
        <v>78</v>
      </c>
      <c r="F656" t="s">
        <v>252</v>
      </c>
      <c r="G656">
        <v>6.1632490000000004</v>
      </c>
      <c r="H656">
        <v>-75.594163600000002</v>
      </c>
      <c r="J656">
        <v>11</v>
      </c>
      <c r="M656">
        <v>325</v>
      </c>
      <c r="N656">
        <v>71</v>
      </c>
      <c r="O656">
        <v>50</v>
      </c>
      <c r="P656">
        <v>82</v>
      </c>
      <c r="Q656">
        <v>53</v>
      </c>
      <c r="R656">
        <v>76</v>
      </c>
    </row>
    <row r="657" spans="1:18" x14ac:dyDescent="0.25">
      <c r="A657" t="s">
        <v>736</v>
      </c>
      <c r="B657" t="s">
        <v>52</v>
      </c>
      <c r="C657" t="s">
        <v>732</v>
      </c>
      <c r="D657" t="s">
        <v>52</v>
      </c>
      <c r="E657" t="s">
        <v>78</v>
      </c>
      <c r="F657" t="s">
        <v>252</v>
      </c>
      <c r="G657">
        <v>6.1632490000000004</v>
      </c>
      <c r="H657">
        <v>-75.594163600000002</v>
      </c>
      <c r="J657">
        <v>11</v>
      </c>
      <c r="M657">
        <v>312</v>
      </c>
      <c r="N657">
        <v>76</v>
      </c>
      <c r="O657">
        <v>56</v>
      </c>
      <c r="P657">
        <v>70</v>
      </c>
      <c r="Q657">
        <v>47</v>
      </c>
      <c r="R657">
        <v>67</v>
      </c>
    </row>
    <row r="658" spans="1:18" x14ac:dyDescent="0.25">
      <c r="A658" t="s">
        <v>737</v>
      </c>
      <c r="B658" t="s">
        <v>52</v>
      </c>
      <c r="C658" t="s">
        <v>732</v>
      </c>
      <c r="D658" t="s">
        <v>52</v>
      </c>
      <c r="E658" t="s">
        <v>78</v>
      </c>
      <c r="F658" t="s">
        <v>252</v>
      </c>
      <c r="G658">
        <v>6.1632490000000004</v>
      </c>
      <c r="H658">
        <v>-75.594163600000002</v>
      </c>
      <c r="J658">
        <v>11</v>
      </c>
      <c r="M658">
        <v>297</v>
      </c>
      <c r="N658">
        <v>83</v>
      </c>
      <c r="O658">
        <v>42</v>
      </c>
      <c r="P658">
        <v>78</v>
      </c>
      <c r="Q658">
        <v>41</v>
      </c>
      <c r="R658">
        <v>40</v>
      </c>
    </row>
    <row r="659" spans="1:18" x14ac:dyDescent="0.25">
      <c r="A659" t="s">
        <v>738</v>
      </c>
      <c r="B659" t="s">
        <v>52</v>
      </c>
      <c r="C659" t="s">
        <v>732</v>
      </c>
      <c r="D659" t="s">
        <v>52</v>
      </c>
      <c r="E659" t="s">
        <v>78</v>
      </c>
      <c r="F659" t="s">
        <v>252</v>
      </c>
      <c r="G659">
        <v>6.1632490000000004</v>
      </c>
      <c r="H659">
        <v>-75.594163600000002</v>
      </c>
      <c r="J659">
        <v>11</v>
      </c>
      <c r="M659">
        <v>295</v>
      </c>
      <c r="N659">
        <v>56</v>
      </c>
      <c r="O659">
        <v>56</v>
      </c>
      <c r="P659">
        <v>66</v>
      </c>
      <c r="Q659">
        <v>52</v>
      </c>
      <c r="R659">
        <v>78</v>
      </c>
    </row>
    <row r="660" spans="1:18" x14ac:dyDescent="0.25">
      <c r="A660" t="s">
        <v>739</v>
      </c>
      <c r="B660" t="s">
        <v>52</v>
      </c>
      <c r="C660" t="s">
        <v>732</v>
      </c>
      <c r="D660" t="s">
        <v>52</v>
      </c>
      <c r="E660" t="s">
        <v>78</v>
      </c>
      <c r="F660" t="s">
        <v>252</v>
      </c>
      <c r="G660">
        <v>6.1632490000000004</v>
      </c>
      <c r="H660">
        <v>-75.594163600000002</v>
      </c>
      <c r="J660">
        <v>11</v>
      </c>
      <c r="M660">
        <v>292</v>
      </c>
      <c r="N660">
        <v>68</v>
      </c>
      <c r="O660">
        <v>46</v>
      </c>
      <c r="P660">
        <v>64</v>
      </c>
      <c r="Q660">
        <v>43</v>
      </c>
      <c r="R660">
        <v>95</v>
      </c>
    </row>
    <row r="661" spans="1:18" x14ac:dyDescent="0.25">
      <c r="A661" t="s">
        <v>740</v>
      </c>
      <c r="B661" t="s">
        <v>52</v>
      </c>
      <c r="C661" t="s">
        <v>732</v>
      </c>
      <c r="D661" t="s">
        <v>52</v>
      </c>
      <c r="E661" t="s">
        <v>78</v>
      </c>
      <c r="F661" t="s">
        <v>252</v>
      </c>
      <c r="G661">
        <v>6.1632490000000004</v>
      </c>
      <c r="H661">
        <v>-75.594163600000002</v>
      </c>
      <c r="J661">
        <v>11</v>
      </c>
      <c r="M661">
        <v>287</v>
      </c>
      <c r="N661">
        <v>59</v>
      </c>
      <c r="O661">
        <v>46</v>
      </c>
      <c r="P661">
        <v>62</v>
      </c>
      <c r="Q661">
        <v>55</v>
      </c>
      <c r="R661">
        <v>82</v>
      </c>
    </row>
    <row r="662" spans="1:18" x14ac:dyDescent="0.25">
      <c r="A662" t="s">
        <v>741</v>
      </c>
      <c r="B662" t="s">
        <v>52</v>
      </c>
      <c r="C662" t="s">
        <v>732</v>
      </c>
      <c r="D662" t="s">
        <v>52</v>
      </c>
      <c r="E662" t="s">
        <v>78</v>
      </c>
      <c r="F662" t="s">
        <v>252</v>
      </c>
      <c r="G662">
        <v>6.1632490000000004</v>
      </c>
      <c r="H662">
        <v>-75.594163600000002</v>
      </c>
      <c r="J662">
        <v>11</v>
      </c>
      <c r="M662">
        <v>286</v>
      </c>
      <c r="N662">
        <v>49</v>
      </c>
      <c r="O662">
        <v>52</v>
      </c>
      <c r="P662">
        <v>82</v>
      </c>
      <c r="Q662">
        <v>45</v>
      </c>
      <c r="R662">
        <v>60</v>
      </c>
    </row>
    <row r="663" spans="1:18" x14ac:dyDescent="0.25">
      <c r="A663" t="s">
        <v>742</v>
      </c>
      <c r="B663" t="s">
        <v>52</v>
      </c>
      <c r="C663" t="s">
        <v>732</v>
      </c>
      <c r="D663" t="s">
        <v>52</v>
      </c>
      <c r="E663" t="s">
        <v>78</v>
      </c>
      <c r="F663" t="s">
        <v>252</v>
      </c>
      <c r="G663">
        <v>6.1632490000000004</v>
      </c>
      <c r="H663">
        <v>-75.594163600000002</v>
      </c>
      <c r="J663">
        <v>11</v>
      </c>
      <c r="M663">
        <v>284</v>
      </c>
      <c r="N663">
        <v>61</v>
      </c>
      <c r="O663">
        <v>32</v>
      </c>
      <c r="P663">
        <v>78</v>
      </c>
      <c r="Q663">
        <v>45</v>
      </c>
      <c r="R663">
        <v>91</v>
      </c>
    </row>
    <row r="664" spans="1:18" x14ac:dyDescent="0.25">
      <c r="A664" t="s">
        <v>743</v>
      </c>
      <c r="B664" t="s">
        <v>52</v>
      </c>
      <c r="C664" t="s">
        <v>732</v>
      </c>
      <c r="D664" t="s">
        <v>52</v>
      </c>
      <c r="E664" t="s">
        <v>78</v>
      </c>
      <c r="F664" t="s">
        <v>252</v>
      </c>
      <c r="G664">
        <v>6.1632490000000004</v>
      </c>
      <c r="H664">
        <v>-75.594163600000002</v>
      </c>
      <c r="J664">
        <v>11</v>
      </c>
      <c r="M664">
        <v>283</v>
      </c>
      <c r="N664">
        <v>66</v>
      </c>
      <c r="O664">
        <v>34</v>
      </c>
      <c r="P664">
        <v>70</v>
      </c>
      <c r="Q664">
        <v>50</v>
      </c>
      <c r="R664">
        <v>76</v>
      </c>
    </row>
    <row r="665" spans="1:18" x14ac:dyDescent="0.25">
      <c r="A665" t="s">
        <v>744</v>
      </c>
      <c r="B665" t="s">
        <v>52</v>
      </c>
      <c r="C665" t="s">
        <v>732</v>
      </c>
      <c r="D665" t="s">
        <v>52</v>
      </c>
      <c r="E665" t="s">
        <v>78</v>
      </c>
      <c r="F665" t="s">
        <v>252</v>
      </c>
      <c r="G665">
        <v>6.1632490000000004</v>
      </c>
      <c r="H665">
        <v>-75.594163600000002</v>
      </c>
      <c r="J665">
        <v>11</v>
      </c>
      <c r="M665">
        <v>276</v>
      </c>
      <c r="N665">
        <v>59</v>
      </c>
      <c r="O665">
        <v>36</v>
      </c>
      <c r="P665">
        <v>74</v>
      </c>
      <c r="Q665">
        <v>48</v>
      </c>
      <c r="R665">
        <v>67</v>
      </c>
    </row>
    <row r="666" spans="1:18" x14ac:dyDescent="0.25">
      <c r="A666" t="s">
        <v>745</v>
      </c>
      <c r="B666" t="s">
        <v>52</v>
      </c>
      <c r="C666" t="s">
        <v>732</v>
      </c>
      <c r="D666" t="s">
        <v>52</v>
      </c>
      <c r="E666" t="s">
        <v>78</v>
      </c>
      <c r="F666" t="s">
        <v>252</v>
      </c>
      <c r="G666">
        <v>6.1632490000000004</v>
      </c>
      <c r="H666">
        <v>-75.594163600000002</v>
      </c>
      <c r="J666">
        <v>11</v>
      </c>
      <c r="M666">
        <v>275</v>
      </c>
      <c r="N666">
        <v>66</v>
      </c>
      <c r="O666">
        <v>46</v>
      </c>
      <c r="P666">
        <v>54</v>
      </c>
      <c r="Q666">
        <v>53</v>
      </c>
      <c r="R666">
        <v>58</v>
      </c>
    </row>
    <row r="667" spans="1:18" x14ac:dyDescent="0.25">
      <c r="A667" t="s">
        <v>746</v>
      </c>
      <c r="B667" t="s">
        <v>52</v>
      </c>
      <c r="C667" t="s">
        <v>732</v>
      </c>
      <c r="D667" t="s">
        <v>52</v>
      </c>
      <c r="E667" t="s">
        <v>78</v>
      </c>
      <c r="F667" t="s">
        <v>252</v>
      </c>
      <c r="G667">
        <v>6.1632490000000004</v>
      </c>
      <c r="H667">
        <v>-75.594163600000002</v>
      </c>
      <c r="J667">
        <v>11</v>
      </c>
      <c r="M667">
        <v>275</v>
      </c>
      <c r="N667">
        <v>63</v>
      </c>
      <c r="O667">
        <v>30</v>
      </c>
      <c r="P667">
        <v>80</v>
      </c>
      <c r="Q667">
        <v>45</v>
      </c>
      <c r="R667">
        <v>60</v>
      </c>
    </row>
    <row r="668" spans="1:18" x14ac:dyDescent="0.25">
      <c r="A668" t="s">
        <v>747</v>
      </c>
      <c r="B668" t="s">
        <v>52</v>
      </c>
      <c r="C668" t="s">
        <v>732</v>
      </c>
      <c r="D668" t="s">
        <v>52</v>
      </c>
      <c r="E668" t="s">
        <v>78</v>
      </c>
      <c r="F668" t="s">
        <v>252</v>
      </c>
      <c r="G668">
        <v>6.1632490000000004</v>
      </c>
      <c r="H668">
        <v>-75.594163600000002</v>
      </c>
      <c r="J668">
        <v>11</v>
      </c>
      <c r="M668">
        <v>274</v>
      </c>
      <c r="N668">
        <v>51</v>
      </c>
      <c r="O668">
        <v>52</v>
      </c>
      <c r="P668">
        <v>60</v>
      </c>
      <c r="Q668">
        <v>48</v>
      </c>
      <c r="R668">
        <v>78</v>
      </c>
    </row>
    <row r="669" spans="1:18" x14ac:dyDescent="0.25">
      <c r="A669" t="s">
        <v>748</v>
      </c>
      <c r="B669" t="s">
        <v>52</v>
      </c>
      <c r="C669" t="s">
        <v>732</v>
      </c>
      <c r="D669" t="s">
        <v>52</v>
      </c>
      <c r="E669" t="s">
        <v>78</v>
      </c>
      <c r="F669" t="s">
        <v>252</v>
      </c>
      <c r="G669">
        <v>6.1632490000000004</v>
      </c>
      <c r="H669">
        <v>-75.594163600000002</v>
      </c>
      <c r="J669">
        <v>11</v>
      </c>
      <c r="M669">
        <v>271</v>
      </c>
      <c r="N669">
        <v>54</v>
      </c>
      <c r="O669">
        <v>48</v>
      </c>
      <c r="P669">
        <v>56</v>
      </c>
      <c r="Q669">
        <v>59</v>
      </c>
      <c r="R669">
        <v>55</v>
      </c>
    </row>
    <row r="670" spans="1:18" x14ac:dyDescent="0.25">
      <c r="A670" t="s">
        <v>749</v>
      </c>
      <c r="B670" t="s">
        <v>52</v>
      </c>
      <c r="C670" t="s">
        <v>732</v>
      </c>
      <c r="D670" t="s">
        <v>52</v>
      </c>
      <c r="E670" t="s">
        <v>78</v>
      </c>
      <c r="F670" t="s">
        <v>252</v>
      </c>
      <c r="G670">
        <v>6.1632490000000004</v>
      </c>
      <c r="H670">
        <v>-75.594163600000002</v>
      </c>
      <c r="J670">
        <v>11</v>
      </c>
      <c r="M670">
        <v>269</v>
      </c>
      <c r="N670">
        <v>66</v>
      </c>
      <c r="O670">
        <v>42</v>
      </c>
      <c r="P670">
        <v>72</v>
      </c>
      <c r="Q670">
        <v>29</v>
      </c>
      <c r="R670">
        <v>73</v>
      </c>
    </row>
    <row r="671" spans="1:18" x14ac:dyDescent="0.25">
      <c r="A671" t="s">
        <v>750</v>
      </c>
      <c r="B671" t="s">
        <v>52</v>
      </c>
      <c r="C671" t="s">
        <v>732</v>
      </c>
      <c r="D671" t="s">
        <v>52</v>
      </c>
      <c r="E671" t="s">
        <v>78</v>
      </c>
      <c r="F671" t="s">
        <v>252</v>
      </c>
      <c r="G671">
        <v>6.1632490000000004</v>
      </c>
      <c r="H671">
        <v>-75.594163600000002</v>
      </c>
      <c r="J671">
        <v>11</v>
      </c>
      <c r="M671">
        <v>267</v>
      </c>
      <c r="N671">
        <v>68</v>
      </c>
      <c r="O671">
        <v>62</v>
      </c>
      <c r="P671">
        <v>24</v>
      </c>
      <c r="Q671">
        <v>57</v>
      </c>
      <c r="R671">
        <v>62</v>
      </c>
    </row>
    <row r="672" spans="1:18" x14ac:dyDescent="0.25">
      <c r="A672" t="s">
        <v>751</v>
      </c>
      <c r="B672" t="s">
        <v>52</v>
      </c>
      <c r="C672" t="s">
        <v>732</v>
      </c>
      <c r="D672" t="s">
        <v>52</v>
      </c>
      <c r="E672" t="s">
        <v>78</v>
      </c>
      <c r="F672" t="s">
        <v>252</v>
      </c>
      <c r="G672">
        <v>6.1632490000000004</v>
      </c>
      <c r="H672">
        <v>-75.594163600000002</v>
      </c>
      <c r="J672">
        <v>11</v>
      </c>
      <c r="M672">
        <v>264</v>
      </c>
      <c r="N672">
        <v>73</v>
      </c>
      <c r="O672">
        <v>28</v>
      </c>
      <c r="P672">
        <v>58</v>
      </c>
      <c r="Q672">
        <v>41</v>
      </c>
      <c r="R672">
        <v>85</v>
      </c>
    </row>
    <row r="673" spans="1:18" x14ac:dyDescent="0.25">
      <c r="A673" t="s">
        <v>752</v>
      </c>
      <c r="B673" t="s">
        <v>52</v>
      </c>
      <c r="C673" t="s">
        <v>732</v>
      </c>
      <c r="D673" t="s">
        <v>52</v>
      </c>
      <c r="E673" t="s">
        <v>78</v>
      </c>
      <c r="F673" t="s">
        <v>252</v>
      </c>
      <c r="G673">
        <v>6.1632490000000004</v>
      </c>
      <c r="H673">
        <v>-75.594163600000002</v>
      </c>
      <c r="J673">
        <v>11</v>
      </c>
      <c r="M673">
        <v>255</v>
      </c>
      <c r="N673">
        <v>51</v>
      </c>
      <c r="O673">
        <v>46</v>
      </c>
      <c r="P673">
        <v>50</v>
      </c>
      <c r="Q673">
        <v>55</v>
      </c>
      <c r="R673">
        <v>55</v>
      </c>
    </row>
    <row r="674" spans="1:18" x14ac:dyDescent="0.25">
      <c r="A674" t="s">
        <v>753</v>
      </c>
      <c r="B674" t="s">
        <v>52</v>
      </c>
      <c r="C674" t="s">
        <v>732</v>
      </c>
      <c r="D674" t="s">
        <v>52</v>
      </c>
      <c r="E674" t="s">
        <v>78</v>
      </c>
      <c r="F674" t="s">
        <v>252</v>
      </c>
      <c r="G674">
        <v>6.1632490000000004</v>
      </c>
      <c r="H674">
        <v>-75.594163600000002</v>
      </c>
      <c r="J674">
        <v>11</v>
      </c>
      <c r="M674">
        <v>251</v>
      </c>
      <c r="N674">
        <v>63</v>
      </c>
      <c r="O674">
        <v>38</v>
      </c>
      <c r="P674">
        <v>70</v>
      </c>
      <c r="Q674">
        <v>29</v>
      </c>
      <c r="R674">
        <v>51</v>
      </c>
    </row>
    <row r="675" spans="1:18" x14ac:dyDescent="0.25">
      <c r="A675" t="s">
        <v>754</v>
      </c>
      <c r="B675" t="s">
        <v>52</v>
      </c>
      <c r="C675" t="s">
        <v>732</v>
      </c>
      <c r="D675" t="s">
        <v>52</v>
      </c>
      <c r="E675" t="s">
        <v>78</v>
      </c>
      <c r="F675" t="s">
        <v>252</v>
      </c>
      <c r="G675">
        <v>6.1632490000000004</v>
      </c>
      <c r="H675">
        <v>-75.594163600000002</v>
      </c>
      <c r="J675">
        <v>11</v>
      </c>
      <c r="M675">
        <v>251</v>
      </c>
      <c r="N675">
        <v>49</v>
      </c>
      <c r="O675">
        <v>52</v>
      </c>
      <c r="P675">
        <v>42</v>
      </c>
      <c r="Q675">
        <v>50</v>
      </c>
      <c r="R675">
        <v>75</v>
      </c>
    </row>
    <row r="676" spans="1:18" x14ac:dyDescent="0.25">
      <c r="A676" t="s">
        <v>755</v>
      </c>
      <c r="B676" t="s">
        <v>52</v>
      </c>
      <c r="C676" t="s">
        <v>732</v>
      </c>
      <c r="D676" t="s">
        <v>52</v>
      </c>
      <c r="E676" t="s">
        <v>78</v>
      </c>
      <c r="F676" t="s">
        <v>252</v>
      </c>
      <c r="G676">
        <v>6.1632490000000004</v>
      </c>
      <c r="H676">
        <v>-75.594163600000002</v>
      </c>
      <c r="J676">
        <v>11</v>
      </c>
      <c r="M676">
        <v>250</v>
      </c>
      <c r="N676">
        <v>49</v>
      </c>
      <c r="O676">
        <v>58</v>
      </c>
      <c r="P676">
        <v>54</v>
      </c>
      <c r="Q676">
        <v>38</v>
      </c>
      <c r="R676">
        <v>53</v>
      </c>
    </row>
    <row r="677" spans="1:18" x14ac:dyDescent="0.25">
      <c r="A677" t="s">
        <v>756</v>
      </c>
      <c r="B677" t="s">
        <v>52</v>
      </c>
      <c r="C677" t="s">
        <v>732</v>
      </c>
      <c r="D677" t="s">
        <v>52</v>
      </c>
      <c r="E677" t="s">
        <v>78</v>
      </c>
      <c r="F677" t="s">
        <v>252</v>
      </c>
      <c r="G677">
        <v>6.1632490000000004</v>
      </c>
      <c r="H677">
        <v>-75.594163600000002</v>
      </c>
      <c r="J677">
        <v>11</v>
      </c>
      <c r="M677">
        <v>249</v>
      </c>
      <c r="N677">
        <v>51</v>
      </c>
      <c r="O677">
        <v>38</v>
      </c>
      <c r="P677">
        <v>62</v>
      </c>
      <c r="Q677">
        <v>48</v>
      </c>
      <c r="R677">
        <v>49</v>
      </c>
    </row>
    <row r="678" spans="1:18" x14ac:dyDescent="0.25">
      <c r="A678" t="s">
        <v>757</v>
      </c>
      <c r="B678" t="s">
        <v>52</v>
      </c>
      <c r="C678" t="s">
        <v>732</v>
      </c>
      <c r="D678" t="s">
        <v>52</v>
      </c>
      <c r="E678" t="s">
        <v>78</v>
      </c>
      <c r="F678" t="s">
        <v>252</v>
      </c>
      <c r="G678">
        <v>6.1632490000000004</v>
      </c>
      <c r="H678">
        <v>-75.594163600000002</v>
      </c>
      <c r="J678">
        <v>11</v>
      </c>
      <c r="M678">
        <v>248</v>
      </c>
      <c r="N678">
        <v>46</v>
      </c>
      <c r="O678">
        <v>42</v>
      </c>
      <c r="P678">
        <v>50</v>
      </c>
      <c r="Q678">
        <v>60</v>
      </c>
      <c r="R678">
        <v>49</v>
      </c>
    </row>
    <row r="679" spans="1:18" x14ac:dyDescent="0.25">
      <c r="A679" t="s">
        <v>758</v>
      </c>
      <c r="B679" t="s">
        <v>52</v>
      </c>
      <c r="C679" t="s">
        <v>732</v>
      </c>
      <c r="D679" t="s">
        <v>52</v>
      </c>
      <c r="E679" t="s">
        <v>78</v>
      </c>
      <c r="F679" t="s">
        <v>252</v>
      </c>
      <c r="G679">
        <v>6.1632490000000004</v>
      </c>
      <c r="H679">
        <v>-75.594163600000002</v>
      </c>
      <c r="J679">
        <v>11</v>
      </c>
      <c r="M679">
        <v>247</v>
      </c>
      <c r="N679">
        <v>59</v>
      </c>
      <c r="O679">
        <v>34</v>
      </c>
      <c r="P679">
        <v>60</v>
      </c>
      <c r="Q679">
        <v>36</v>
      </c>
      <c r="R679">
        <v>76</v>
      </c>
    </row>
    <row r="680" spans="1:18" x14ac:dyDescent="0.25">
      <c r="A680" t="s">
        <v>759</v>
      </c>
      <c r="B680" t="s">
        <v>52</v>
      </c>
      <c r="C680" t="s">
        <v>732</v>
      </c>
      <c r="D680" t="s">
        <v>52</v>
      </c>
      <c r="E680" t="s">
        <v>78</v>
      </c>
      <c r="F680" t="s">
        <v>252</v>
      </c>
      <c r="G680">
        <v>6.1632490000000004</v>
      </c>
      <c r="H680">
        <v>-75.594163600000002</v>
      </c>
      <c r="J680">
        <v>11</v>
      </c>
      <c r="M680">
        <v>246</v>
      </c>
      <c r="N680">
        <v>34</v>
      </c>
      <c r="O680">
        <v>44</v>
      </c>
      <c r="P680">
        <v>74</v>
      </c>
      <c r="Q680">
        <v>33</v>
      </c>
      <c r="R680">
        <v>85</v>
      </c>
    </row>
    <row r="681" spans="1:18" x14ac:dyDescent="0.25">
      <c r="A681" t="s">
        <v>760</v>
      </c>
      <c r="B681" t="s">
        <v>52</v>
      </c>
      <c r="C681" t="s">
        <v>732</v>
      </c>
      <c r="D681" t="s">
        <v>52</v>
      </c>
      <c r="E681" t="s">
        <v>78</v>
      </c>
      <c r="F681" t="s">
        <v>252</v>
      </c>
      <c r="G681">
        <v>6.1632490000000004</v>
      </c>
      <c r="H681">
        <v>-75.594163600000002</v>
      </c>
      <c r="J681">
        <v>11</v>
      </c>
      <c r="M681">
        <v>244</v>
      </c>
      <c r="N681">
        <v>51</v>
      </c>
      <c r="O681">
        <v>50</v>
      </c>
      <c r="P681">
        <v>20</v>
      </c>
      <c r="Q681">
        <v>62</v>
      </c>
      <c r="R681">
        <v>85</v>
      </c>
    </row>
    <row r="682" spans="1:18" x14ac:dyDescent="0.25">
      <c r="A682" t="s">
        <v>761</v>
      </c>
      <c r="B682" t="s">
        <v>52</v>
      </c>
      <c r="C682" t="s">
        <v>732</v>
      </c>
      <c r="D682" t="s">
        <v>52</v>
      </c>
      <c r="E682" t="s">
        <v>78</v>
      </c>
      <c r="F682" t="s">
        <v>252</v>
      </c>
      <c r="G682">
        <v>6.1632490000000004</v>
      </c>
      <c r="H682">
        <v>-75.594163600000002</v>
      </c>
      <c r="J682">
        <v>11</v>
      </c>
      <c r="M682">
        <v>243</v>
      </c>
      <c r="N682">
        <v>66</v>
      </c>
      <c r="O682">
        <v>36</v>
      </c>
      <c r="P682">
        <v>60</v>
      </c>
      <c r="Q682">
        <v>33</v>
      </c>
      <c r="R682">
        <v>47</v>
      </c>
    </row>
    <row r="683" spans="1:18" x14ac:dyDescent="0.25">
      <c r="A683" t="s">
        <v>762</v>
      </c>
      <c r="B683" t="s">
        <v>52</v>
      </c>
      <c r="C683" t="s">
        <v>732</v>
      </c>
      <c r="D683" t="s">
        <v>52</v>
      </c>
      <c r="E683" t="s">
        <v>78</v>
      </c>
      <c r="F683" t="s">
        <v>252</v>
      </c>
      <c r="G683">
        <v>6.1632490000000004</v>
      </c>
      <c r="H683">
        <v>-75.594163600000002</v>
      </c>
      <c r="J683">
        <v>11</v>
      </c>
      <c r="M683">
        <v>239</v>
      </c>
      <c r="N683">
        <v>59</v>
      </c>
      <c r="O683">
        <v>30</v>
      </c>
      <c r="P683">
        <v>58</v>
      </c>
      <c r="Q683">
        <v>33</v>
      </c>
      <c r="R683">
        <v>84</v>
      </c>
    </row>
    <row r="684" spans="1:18" x14ac:dyDescent="0.25">
      <c r="A684" t="s">
        <v>763</v>
      </c>
      <c r="B684" t="s">
        <v>52</v>
      </c>
      <c r="C684" t="s">
        <v>732</v>
      </c>
      <c r="D684" t="s">
        <v>52</v>
      </c>
      <c r="E684" t="s">
        <v>78</v>
      </c>
      <c r="F684" t="s">
        <v>252</v>
      </c>
      <c r="G684">
        <v>6.1632490000000004</v>
      </c>
      <c r="H684">
        <v>-75.594163600000002</v>
      </c>
      <c r="J684">
        <v>11</v>
      </c>
      <c r="M684">
        <v>239</v>
      </c>
      <c r="N684">
        <v>63</v>
      </c>
      <c r="O684">
        <v>38</v>
      </c>
      <c r="P684">
        <v>40</v>
      </c>
      <c r="Q684">
        <v>45</v>
      </c>
      <c r="R684">
        <v>62</v>
      </c>
    </row>
    <row r="685" spans="1:18" x14ac:dyDescent="0.25">
      <c r="A685" t="s">
        <v>764</v>
      </c>
      <c r="B685" t="s">
        <v>52</v>
      </c>
      <c r="C685" t="s">
        <v>732</v>
      </c>
      <c r="D685" t="s">
        <v>52</v>
      </c>
      <c r="E685" t="s">
        <v>78</v>
      </c>
      <c r="F685" t="s">
        <v>252</v>
      </c>
      <c r="G685">
        <v>6.1632490000000004</v>
      </c>
      <c r="H685">
        <v>-75.594163600000002</v>
      </c>
      <c r="J685">
        <v>11</v>
      </c>
      <c r="M685">
        <v>238</v>
      </c>
      <c r="N685">
        <v>78</v>
      </c>
      <c r="O685">
        <v>32</v>
      </c>
      <c r="P685">
        <v>40</v>
      </c>
      <c r="Q685">
        <v>29</v>
      </c>
      <c r="R685">
        <v>82</v>
      </c>
    </row>
    <row r="686" spans="1:18" x14ac:dyDescent="0.25">
      <c r="A686" t="s">
        <v>765</v>
      </c>
      <c r="B686" t="s">
        <v>52</v>
      </c>
      <c r="C686" t="s">
        <v>732</v>
      </c>
      <c r="D686" t="s">
        <v>52</v>
      </c>
      <c r="E686" t="s">
        <v>78</v>
      </c>
      <c r="F686" t="s">
        <v>252</v>
      </c>
      <c r="G686">
        <v>6.1632490000000004</v>
      </c>
      <c r="H686">
        <v>-75.594163600000002</v>
      </c>
      <c r="J686">
        <v>11</v>
      </c>
      <c r="M686">
        <v>236</v>
      </c>
      <c r="N686">
        <v>12</v>
      </c>
      <c r="O686">
        <v>44</v>
      </c>
      <c r="P686">
        <v>58</v>
      </c>
      <c r="Q686">
        <v>59</v>
      </c>
      <c r="R686">
        <v>96</v>
      </c>
    </row>
    <row r="687" spans="1:18" x14ac:dyDescent="0.25">
      <c r="A687" t="s">
        <v>766</v>
      </c>
      <c r="B687" t="s">
        <v>52</v>
      </c>
      <c r="C687" t="s">
        <v>732</v>
      </c>
      <c r="D687" t="s">
        <v>52</v>
      </c>
      <c r="E687" t="s">
        <v>78</v>
      </c>
      <c r="F687" t="s">
        <v>252</v>
      </c>
      <c r="G687">
        <v>6.1632490000000004</v>
      </c>
      <c r="H687">
        <v>-75.594163600000002</v>
      </c>
      <c r="J687">
        <v>11</v>
      </c>
      <c r="M687">
        <v>234</v>
      </c>
      <c r="N687">
        <v>59</v>
      </c>
      <c r="O687">
        <v>42</v>
      </c>
      <c r="P687">
        <v>44</v>
      </c>
      <c r="Q687">
        <v>40</v>
      </c>
      <c r="R687">
        <v>56</v>
      </c>
    </row>
    <row r="688" spans="1:18" x14ac:dyDescent="0.25">
      <c r="A688" t="s">
        <v>767</v>
      </c>
      <c r="B688" t="s">
        <v>52</v>
      </c>
      <c r="C688" t="s">
        <v>732</v>
      </c>
      <c r="D688" t="s">
        <v>52</v>
      </c>
      <c r="E688" t="s">
        <v>78</v>
      </c>
      <c r="F688" t="s">
        <v>252</v>
      </c>
      <c r="G688">
        <v>6.1632490000000004</v>
      </c>
      <c r="H688">
        <v>-75.594163600000002</v>
      </c>
      <c r="J688">
        <v>11</v>
      </c>
      <c r="M688">
        <v>233</v>
      </c>
      <c r="N688">
        <v>49</v>
      </c>
      <c r="O688">
        <v>44</v>
      </c>
      <c r="P688">
        <v>40</v>
      </c>
      <c r="Q688">
        <v>50</v>
      </c>
      <c r="R688">
        <v>58</v>
      </c>
    </row>
    <row r="689" spans="1:18" x14ac:dyDescent="0.25">
      <c r="A689" t="s">
        <v>768</v>
      </c>
      <c r="B689" t="s">
        <v>52</v>
      </c>
      <c r="C689" t="s">
        <v>732</v>
      </c>
      <c r="D689" t="s">
        <v>52</v>
      </c>
      <c r="E689" t="s">
        <v>78</v>
      </c>
      <c r="F689" t="s">
        <v>252</v>
      </c>
      <c r="G689">
        <v>6.1632490000000004</v>
      </c>
      <c r="H689">
        <v>-75.594163600000002</v>
      </c>
      <c r="J689">
        <v>11</v>
      </c>
      <c r="M689">
        <v>233</v>
      </c>
      <c r="N689">
        <v>51</v>
      </c>
      <c r="O689">
        <v>46</v>
      </c>
      <c r="P689">
        <v>62</v>
      </c>
      <c r="Q689">
        <v>26</v>
      </c>
      <c r="R689">
        <v>51</v>
      </c>
    </row>
    <row r="690" spans="1:18" x14ac:dyDescent="0.25">
      <c r="A690" t="s">
        <v>769</v>
      </c>
      <c r="B690" t="s">
        <v>52</v>
      </c>
      <c r="C690" t="s">
        <v>732</v>
      </c>
      <c r="D690" t="s">
        <v>52</v>
      </c>
      <c r="E690" t="s">
        <v>78</v>
      </c>
      <c r="F690" t="s">
        <v>252</v>
      </c>
      <c r="G690">
        <v>6.1632490000000004</v>
      </c>
      <c r="H690">
        <v>-75.594163600000002</v>
      </c>
      <c r="J690">
        <v>11</v>
      </c>
      <c r="M690">
        <v>231</v>
      </c>
      <c r="N690">
        <v>66</v>
      </c>
      <c r="O690">
        <v>28</v>
      </c>
      <c r="P690">
        <v>42</v>
      </c>
      <c r="Q690">
        <v>41</v>
      </c>
      <c r="R690">
        <v>69</v>
      </c>
    </row>
    <row r="691" spans="1:18" x14ac:dyDescent="0.25">
      <c r="A691" t="s">
        <v>770</v>
      </c>
      <c r="B691" t="s">
        <v>52</v>
      </c>
      <c r="C691" t="s">
        <v>732</v>
      </c>
      <c r="D691" t="s">
        <v>52</v>
      </c>
      <c r="E691" t="s">
        <v>78</v>
      </c>
      <c r="F691" t="s">
        <v>252</v>
      </c>
      <c r="G691">
        <v>6.1632490000000004</v>
      </c>
      <c r="H691">
        <v>-75.594163600000002</v>
      </c>
      <c r="J691">
        <v>11</v>
      </c>
      <c r="M691">
        <v>230</v>
      </c>
      <c r="N691">
        <v>76</v>
      </c>
      <c r="O691">
        <v>42</v>
      </c>
      <c r="P691">
        <v>36</v>
      </c>
      <c r="Q691">
        <v>34</v>
      </c>
      <c r="R691">
        <v>35</v>
      </c>
    </row>
    <row r="692" spans="1:18" x14ac:dyDescent="0.25">
      <c r="A692" t="s">
        <v>771</v>
      </c>
      <c r="B692" t="s">
        <v>52</v>
      </c>
      <c r="C692" t="s">
        <v>732</v>
      </c>
      <c r="D692" t="s">
        <v>52</v>
      </c>
      <c r="E692" t="s">
        <v>78</v>
      </c>
      <c r="F692" t="s">
        <v>252</v>
      </c>
      <c r="G692">
        <v>6.1632490000000004</v>
      </c>
      <c r="H692">
        <v>-75.594163600000002</v>
      </c>
      <c r="J692">
        <v>11</v>
      </c>
      <c r="M692">
        <v>229</v>
      </c>
      <c r="N692">
        <v>51</v>
      </c>
      <c r="O692">
        <v>40</v>
      </c>
      <c r="P692">
        <v>60</v>
      </c>
      <c r="Q692">
        <v>33</v>
      </c>
      <c r="R692">
        <v>44</v>
      </c>
    </row>
    <row r="693" spans="1:18" x14ac:dyDescent="0.25">
      <c r="A693" t="s">
        <v>772</v>
      </c>
      <c r="B693" t="s">
        <v>52</v>
      </c>
      <c r="C693" t="s">
        <v>732</v>
      </c>
      <c r="D693" t="s">
        <v>52</v>
      </c>
      <c r="E693" t="s">
        <v>78</v>
      </c>
      <c r="F693" t="s">
        <v>252</v>
      </c>
      <c r="G693">
        <v>6.1632490000000004</v>
      </c>
      <c r="H693">
        <v>-75.594163600000002</v>
      </c>
      <c r="J693">
        <v>11</v>
      </c>
      <c r="M693">
        <v>228</v>
      </c>
      <c r="N693">
        <v>39</v>
      </c>
      <c r="O693">
        <v>36</v>
      </c>
      <c r="P693">
        <v>50</v>
      </c>
      <c r="Q693">
        <v>48</v>
      </c>
      <c r="R693">
        <v>73</v>
      </c>
    </row>
    <row r="694" spans="1:18" x14ac:dyDescent="0.25">
      <c r="A694" t="s">
        <v>773</v>
      </c>
      <c r="B694" t="s">
        <v>52</v>
      </c>
      <c r="C694" t="s">
        <v>732</v>
      </c>
      <c r="D694" t="s">
        <v>52</v>
      </c>
      <c r="E694" t="s">
        <v>78</v>
      </c>
      <c r="F694" t="s">
        <v>252</v>
      </c>
      <c r="G694">
        <v>6.1632490000000004</v>
      </c>
      <c r="H694">
        <v>-75.594163600000002</v>
      </c>
      <c r="J694">
        <v>11</v>
      </c>
      <c r="M694">
        <v>223</v>
      </c>
      <c r="N694">
        <v>56</v>
      </c>
      <c r="O694">
        <v>30</v>
      </c>
      <c r="P694">
        <v>48</v>
      </c>
      <c r="Q694">
        <v>41</v>
      </c>
      <c r="R694">
        <v>55</v>
      </c>
    </row>
    <row r="695" spans="1:18" x14ac:dyDescent="0.25">
      <c r="A695" t="s">
        <v>774</v>
      </c>
      <c r="B695" t="s">
        <v>52</v>
      </c>
      <c r="C695" t="s">
        <v>732</v>
      </c>
      <c r="D695" t="s">
        <v>52</v>
      </c>
      <c r="E695" t="s">
        <v>78</v>
      </c>
      <c r="F695" t="s">
        <v>252</v>
      </c>
      <c r="G695">
        <v>6.1632490000000004</v>
      </c>
      <c r="H695">
        <v>-75.594163600000002</v>
      </c>
      <c r="J695">
        <v>11</v>
      </c>
      <c r="M695">
        <v>222</v>
      </c>
      <c r="N695">
        <v>51</v>
      </c>
      <c r="O695">
        <v>34</v>
      </c>
      <c r="P695">
        <v>38</v>
      </c>
      <c r="Q695">
        <v>48</v>
      </c>
      <c r="R695">
        <v>64</v>
      </c>
    </row>
    <row r="696" spans="1:18" x14ac:dyDescent="0.25">
      <c r="A696" t="s">
        <v>775</v>
      </c>
      <c r="B696" t="s">
        <v>52</v>
      </c>
      <c r="C696" t="s">
        <v>732</v>
      </c>
      <c r="D696" t="s">
        <v>52</v>
      </c>
      <c r="E696" t="s">
        <v>78</v>
      </c>
      <c r="F696" t="s">
        <v>252</v>
      </c>
      <c r="G696">
        <v>6.1632490000000004</v>
      </c>
      <c r="H696">
        <v>-75.594163600000002</v>
      </c>
      <c r="J696">
        <v>11</v>
      </c>
      <c r="M696">
        <v>220</v>
      </c>
      <c r="N696">
        <v>37</v>
      </c>
      <c r="O696">
        <v>52</v>
      </c>
      <c r="P696">
        <v>28</v>
      </c>
      <c r="Q696">
        <v>53</v>
      </c>
      <c r="R696">
        <v>62</v>
      </c>
    </row>
    <row r="697" spans="1:18" x14ac:dyDescent="0.25">
      <c r="A697" t="s">
        <v>776</v>
      </c>
      <c r="B697" t="s">
        <v>52</v>
      </c>
      <c r="C697" t="s">
        <v>732</v>
      </c>
      <c r="D697" t="s">
        <v>52</v>
      </c>
      <c r="E697" t="s">
        <v>78</v>
      </c>
      <c r="F697" t="s">
        <v>252</v>
      </c>
      <c r="G697">
        <v>6.1632490000000004</v>
      </c>
      <c r="H697">
        <v>-75.594163600000002</v>
      </c>
      <c r="J697">
        <v>11</v>
      </c>
      <c r="M697">
        <v>220</v>
      </c>
      <c r="N697">
        <v>68</v>
      </c>
      <c r="O697">
        <v>30</v>
      </c>
      <c r="P697">
        <v>54</v>
      </c>
      <c r="Q697">
        <v>24</v>
      </c>
      <c r="R697">
        <v>42</v>
      </c>
    </row>
    <row r="698" spans="1:18" x14ac:dyDescent="0.25">
      <c r="A698" t="s">
        <v>777</v>
      </c>
      <c r="B698" t="s">
        <v>52</v>
      </c>
      <c r="C698" t="s">
        <v>732</v>
      </c>
      <c r="D698" t="s">
        <v>52</v>
      </c>
      <c r="E698" t="s">
        <v>78</v>
      </c>
      <c r="F698" t="s">
        <v>252</v>
      </c>
      <c r="G698">
        <v>6.1632490000000004</v>
      </c>
      <c r="H698">
        <v>-75.594163600000002</v>
      </c>
      <c r="J698">
        <v>11</v>
      </c>
      <c r="M698">
        <v>219</v>
      </c>
      <c r="N698">
        <v>54</v>
      </c>
      <c r="O698">
        <v>34</v>
      </c>
      <c r="P698">
        <v>48</v>
      </c>
      <c r="Q698">
        <v>38</v>
      </c>
      <c r="R698">
        <v>49</v>
      </c>
    </row>
    <row r="699" spans="1:18" x14ac:dyDescent="0.25">
      <c r="A699" t="s">
        <v>778</v>
      </c>
      <c r="B699" t="s">
        <v>52</v>
      </c>
      <c r="C699" t="s">
        <v>732</v>
      </c>
      <c r="D699" t="s">
        <v>52</v>
      </c>
      <c r="E699" t="s">
        <v>78</v>
      </c>
      <c r="F699" t="s">
        <v>252</v>
      </c>
      <c r="G699">
        <v>6.1632490000000004</v>
      </c>
      <c r="H699">
        <v>-75.594163600000002</v>
      </c>
      <c r="J699">
        <v>11</v>
      </c>
      <c r="M699">
        <v>218</v>
      </c>
      <c r="N699">
        <v>61</v>
      </c>
      <c r="O699">
        <v>38</v>
      </c>
      <c r="P699">
        <v>44</v>
      </c>
      <c r="Q699">
        <v>28</v>
      </c>
      <c r="R699">
        <v>55</v>
      </c>
    </row>
    <row r="700" spans="1:18" x14ac:dyDescent="0.25">
      <c r="A700" t="s">
        <v>779</v>
      </c>
      <c r="B700" t="s">
        <v>52</v>
      </c>
      <c r="C700" t="s">
        <v>732</v>
      </c>
      <c r="D700" t="s">
        <v>52</v>
      </c>
      <c r="E700" t="s">
        <v>78</v>
      </c>
      <c r="F700" t="s">
        <v>252</v>
      </c>
      <c r="G700">
        <v>6.1632490000000004</v>
      </c>
      <c r="H700">
        <v>-75.594163600000002</v>
      </c>
      <c r="J700">
        <v>11</v>
      </c>
      <c r="M700">
        <v>217</v>
      </c>
      <c r="N700">
        <v>56</v>
      </c>
      <c r="O700">
        <v>30</v>
      </c>
      <c r="P700">
        <v>24</v>
      </c>
      <c r="Q700">
        <v>62</v>
      </c>
      <c r="R700">
        <v>47</v>
      </c>
    </row>
    <row r="701" spans="1:18" x14ac:dyDescent="0.25">
      <c r="A701" t="s">
        <v>780</v>
      </c>
      <c r="B701" t="s">
        <v>52</v>
      </c>
      <c r="C701" t="s">
        <v>732</v>
      </c>
      <c r="D701" t="s">
        <v>52</v>
      </c>
      <c r="E701" t="s">
        <v>78</v>
      </c>
      <c r="F701" t="s">
        <v>252</v>
      </c>
      <c r="G701">
        <v>6.1632490000000004</v>
      </c>
      <c r="H701">
        <v>-75.594163600000002</v>
      </c>
      <c r="J701">
        <v>11</v>
      </c>
      <c r="M701">
        <v>214</v>
      </c>
      <c r="N701">
        <v>41</v>
      </c>
      <c r="O701">
        <v>34</v>
      </c>
      <c r="P701">
        <v>40</v>
      </c>
      <c r="Q701">
        <v>47</v>
      </c>
      <c r="R701">
        <v>69</v>
      </c>
    </row>
    <row r="702" spans="1:18" x14ac:dyDescent="0.25">
      <c r="A702" t="s">
        <v>781</v>
      </c>
      <c r="B702" t="s">
        <v>52</v>
      </c>
      <c r="C702" t="s">
        <v>732</v>
      </c>
      <c r="D702" t="s">
        <v>52</v>
      </c>
      <c r="E702" t="s">
        <v>78</v>
      </c>
      <c r="F702" t="s">
        <v>252</v>
      </c>
      <c r="G702">
        <v>6.1632490000000004</v>
      </c>
      <c r="H702">
        <v>-75.594163600000002</v>
      </c>
      <c r="J702">
        <v>11</v>
      </c>
      <c r="M702">
        <v>212</v>
      </c>
      <c r="N702">
        <v>54</v>
      </c>
      <c r="O702">
        <v>32</v>
      </c>
      <c r="P702">
        <v>48</v>
      </c>
      <c r="Q702">
        <v>43</v>
      </c>
      <c r="R702">
        <v>22</v>
      </c>
    </row>
    <row r="703" spans="1:18" x14ac:dyDescent="0.25">
      <c r="A703" t="s">
        <v>782</v>
      </c>
      <c r="B703" t="s">
        <v>52</v>
      </c>
      <c r="C703" t="s">
        <v>732</v>
      </c>
      <c r="D703" t="s">
        <v>52</v>
      </c>
      <c r="E703" t="s">
        <v>78</v>
      </c>
      <c r="F703" t="s">
        <v>252</v>
      </c>
      <c r="G703">
        <v>6.1632490000000004</v>
      </c>
      <c r="H703">
        <v>-75.594163600000002</v>
      </c>
      <c r="J703">
        <v>11</v>
      </c>
      <c r="M703">
        <v>208</v>
      </c>
      <c r="N703">
        <v>49</v>
      </c>
      <c r="O703">
        <v>34</v>
      </c>
      <c r="P703">
        <v>32</v>
      </c>
      <c r="Q703">
        <v>38</v>
      </c>
      <c r="R703">
        <v>84</v>
      </c>
    </row>
    <row r="704" spans="1:18" x14ac:dyDescent="0.25">
      <c r="A704" t="s">
        <v>783</v>
      </c>
      <c r="B704" t="s">
        <v>52</v>
      </c>
      <c r="C704" t="s">
        <v>732</v>
      </c>
      <c r="D704" t="s">
        <v>52</v>
      </c>
      <c r="E704" t="s">
        <v>78</v>
      </c>
      <c r="F704" t="s">
        <v>252</v>
      </c>
      <c r="G704">
        <v>6.1632490000000004</v>
      </c>
      <c r="H704">
        <v>-75.594163600000002</v>
      </c>
      <c r="J704">
        <v>11</v>
      </c>
      <c r="M704">
        <v>207</v>
      </c>
      <c r="N704">
        <v>51</v>
      </c>
      <c r="O704">
        <v>34</v>
      </c>
      <c r="P704">
        <v>32</v>
      </c>
      <c r="Q704">
        <v>45</v>
      </c>
      <c r="R704">
        <v>53</v>
      </c>
    </row>
    <row r="705" spans="1:18" x14ac:dyDescent="0.25">
      <c r="A705" t="s">
        <v>784</v>
      </c>
      <c r="B705" t="s">
        <v>52</v>
      </c>
      <c r="C705" t="s">
        <v>732</v>
      </c>
      <c r="D705" t="s">
        <v>52</v>
      </c>
      <c r="E705" t="s">
        <v>78</v>
      </c>
      <c r="F705" t="s">
        <v>252</v>
      </c>
      <c r="G705">
        <v>6.1632490000000004</v>
      </c>
      <c r="H705">
        <v>-75.594163600000002</v>
      </c>
      <c r="J705">
        <v>11</v>
      </c>
      <c r="M705">
        <v>207</v>
      </c>
      <c r="N705">
        <v>49</v>
      </c>
      <c r="O705">
        <v>42</v>
      </c>
      <c r="P705">
        <v>34</v>
      </c>
      <c r="Q705">
        <v>33</v>
      </c>
      <c r="R705">
        <v>65</v>
      </c>
    </row>
    <row r="706" spans="1:18" x14ac:dyDescent="0.25">
      <c r="A706" t="s">
        <v>785</v>
      </c>
      <c r="B706" t="s">
        <v>52</v>
      </c>
      <c r="C706" t="s">
        <v>732</v>
      </c>
      <c r="D706" t="s">
        <v>52</v>
      </c>
      <c r="E706" t="s">
        <v>78</v>
      </c>
      <c r="F706" t="s">
        <v>252</v>
      </c>
      <c r="G706">
        <v>6.1632490000000004</v>
      </c>
      <c r="H706">
        <v>-75.594163600000002</v>
      </c>
      <c r="J706">
        <v>11</v>
      </c>
      <c r="M706">
        <v>206</v>
      </c>
      <c r="N706">
        <v>41</v>
      </c>
      <c r="O706">
        <v>40</v>
      </c>
      <c r="P706">
        <v>40</v>
      </c>
      <c r="Q706">
        <v>40</v>
      </c>
      <c r="R706">
        <v>53</v>
      </c>
    </row>
    <row r="707" spans="1:18" x14ac:dyDescent="0.25">
      <c r="A707" t="s">
        <v>786</v>
      </c>
      <c r="B707" t="s">
        <v>52</v>
      </c>
      <c r="C707" t="s">
        <v>732</v>
      </c>
      <c r="D707" t="s">
        <v>52</v>
      </c>
      <c r="E707" t="s">
        <v>78</v>
      </c>
      <c r="F707" t="s">
        <v>252</v>
      </c>
      <c r="G707">
        <v>6.1632490000000004</v>
      </c>
      <c r="H707">
        <v>-75.594163600000002</v>
      </c>
      <c r="J707">
        <v>11</v>
      </c>
      <c r="M707">
        <v>205</v>
      </c>
      <c r="N707">
        <v>54</v>
      </c>
      <c r="O707">
        <v>24</v>
      </c>
      <c r="P707">
        <v>44</v>
      </c>
      <c r="Q707">
        <v>29</v>
      </c>
      <c r="R707">
        <v>80</v>
      </c>
    </row>
    <row r="708" spans="1:18" x14ac:dyDescent="0.25">
      <c r="A708" t="s">
        <v>787</v>
      </c>
      <c r="B708" t="s">
        <v>52</v>
      </c>
      <c r="C708" t="s">
        <v>732</v>
      </c>
      <c r="D708" t="s">
        <v>52</v>
      </c>
      <c r="E708" t="s">
        <v>78</v>
      </c>
      <c r="F708" t="s">
        <v>252</v>
      </c>
      <c r="G708">
        <v>6.1632490000000004</v>
      </c>
      <c r="H708">
        <v>-75.594163600000002</v>
      </c>
      <c r="J708">
        <v>11</v>
      </c>
      <c r="M708">
        <v>203</v>
      </c>
      <c r="N708">
        <v>46</v>
      </c>
      <c r="O708">
        <v>30</v>
      </c>
      <c r="P708">
        <v>36</v>
      </c>
      <c r="Q708">
        <v>52</v>
      </c>
      <c r="R708">
        <v>35</v>
      </c>
    </row>
    <row r="709" spans="1:18" x14ac:dyDescent="0.25">
      <c r="A709" t="s">
        <v>788</v>
      </c>
      <c r="B709" t="s">
        <v>52</v>
      </c>
      <c r="C709" t="s">
        <v>732</v>
      </c>
      <c r="D709" t="s">
        <v>52</v>
      </c>
      <c r="E709" t="s">
        <v>78</v>
      </c>
      <c r="F709" t="s">
        <v>252</v>
      </c>
      <c r="G709">
        <v>6.1632490000000004</v>
      </c>
      <c r="H709">
        <v>-75.594163600000002</v>
      </c>
      <c r="J709">
        <v>11</v>
      </c>
      <c r="M709">
        <v>201</v>
      </c>
      <c r="N709">
        <v>49</v>
      </c>
      <c r="O709">
        <v>34</v>
      </c>
      <c r="P709">
        <v>28</v>
      </c>
      <c r="Q709">
        <v>45</v>
      </c>
      <c r="R709">
        <v>55</v>
      </c>
    </row>
    <row r="710" spans="1:18" x14ac:dyDescent="0.25">
      <c r="A710" t="s">
        <v>789</v>
      </c>
      <c r="B710" t="s">
        <v>52</v>
      </c>
      <c r="C710" t="s">
        <v>732</v>
      </c>
      <c r="D710" t="s">
        <v>52</v>
      </c>
      <c r="E710" t="s">
        <v>78</v>
      </c>
      <c r="F710" t="s">
        <v>252</v>
      </c>
      <c r="G710">
        <v>6.1632490000000004</v>
      </c>
      <c r="H710">
        <v>-75.594163600000002</v>
      </c>
      <c r="J710">
        <v>11</v>
      </c>
      <c r="M710">
        <v>199</v>
      </c>
      <c r="N710">
        <v>46</v>
      </c>
      <c r="O710">
        <v>24</v>
      </c>
      <c r="P710">
        <v>34</v>
      </c>
      <c r="Q710">
        <v>52</v>
      </c>
      <c r="R710">
        <v>49</v>
      </c>
    </row>
    <row r="711" spans="1:18" x14ac:dyDescent="0.25">
      <c r="A711" t="s">
        <v>790</v>
      </c>
      <c r="B711" t="s">
        <v>52</v>
      </c>
      <c r="C711" t="s">
        <v>732</v>
      </c>
      <c r="D711" t="s">
        <v>52</v>
      </c>
      <c r="E711" t="s">
        <v>78</v>
      </c>
      <c r="F711" t="s">
        <v>252</v>
      </c>
      <c r="G711">
        <v>6.1632490000000004</v>
      </c>
      <c r="H711">
        <v>-75.594163600000002</v>
      </c>
      <c r="J711">
        <v>11</v>
      </c>
      <c r="M711">
        <v>198</v>
      </c>
      <c r="N711">
        <v>46</v>
      </c>
      <c r="O711">
        <v>24</v>
      </c>
      <c r="P711">
        <v>46</v>
      </c>
      <c r="Q711">
        <v>41</v>
      </c>
      <c r="R711">
        <v>42</v>
      </c>
    </row>
    <row r="712" spans="1:18" x14ac:dyDescent="0.25">
      <c r="A712" t="s">
        <v>791</v>
      </c>
      <c r="B712" t="s">
        <v>52</v>
      </c>
      <c r="C712" t="s">
        <v>732</v>
      </c>
      <c r="D712" t="s">
        <v>52</v>
      </c>
      <c r="E712" t="s">
        <v>78</v>
      </c>
      <c r="F712" t="s">
        <v>252</v>
      </c>
      <c r="G712">
        <v>6.1632490000000004</v>
      </c>
      <c r="H712">
        <v>-75.594163600000002</v>
      </c>
      <c r="J712">
        <v>11</v>
      </c>
      <c r="M712">
        <v>195</v>
      </c>
      <c r="N712">
        <v>39</v>
      </c>
      <c r="O712">
        <v>42</v>
      </c>
      <c r="P712">
        <v>32</v>
      </c>
      <c r="Q712">
        <v>43</v>
      </c>
      <c r="R712">
        <v>38</v>
      </c>
    </row>
    <row r="713" spans="1:18" x14ac:dyDescent="0.25">
      <c r="A713" t="s">
        <v>792</v>
      </c>
      <c r="B713" t="s">
        <v>52</v>
      </c>
      <c r="C713" t="s">
        <v>732</v>
      </c>
      <c r="D713" t="s">
        <v>52</v>
      </c>
      <c r="E713" t="s">
        <v>78</v>
      </c>
      <c r="F713" t="s">
        <v>252</v>
      </c>
      <c r="G713">
        <v>6.1632490000000004</v>
      </c>
      <c r="H713">
        <v>-75.594163600000002</v>
      </c>
      <c r="J713">
        <v>11</v>
      </c>
      <c r="M713">
        <v>193</v>
      </c>
      <c r="N713">
        <v>27</v>
      </c>
      <c r="O713">
        <v>50</v>
      </c>
      <c r="P713">
        <v>30</v>
      </c>
      <c r="Q713">
        <v>36</v>
      </c>
      <c r="R713">
        <v>73</v>
      </c>
    </row>
    <row r="714" spans="1:18" x14ac:dyDescent="0.25">
      <c r="A714" t="s">
        <v>793</v>
      </c>
      <c r="B714" t="s">
        <v>52</v>
      </c>
      <c r="C714" t="s">
        <v>732</v>
      </c>
      <c r="D714" t="s">
        <v>52</v>
      </c>
      <c r="E714" t="s">
        <v>78</v>
      </c>
      <c r="F714" t="s">
        <v>252</v>
      </c>
      <c r="G714">
        <v>6.1632490000000004</v>
      </c>
      <c r="H714">
        <v>-75.594163600000002</v>
      </c>
      <c r="J714">
        <v>11</v>
      </c>
      <c r="M714">
        <v>188</v>
      </c>
      <c r="N714">
        <v>54</v>
      </c>
      <c r="O714">
        <v>44</v>
      </c>
      <c r="P714">
        <v>24</v>
      </c>
      <c r="Q714">
        <v>19</v>
      </c>
      <c r="R714">
        <v>67</v>
      </c>
    </row>
    <row r="715" spans="1:18" x14ac:dyDescent="0.25">
      <c r="A715" t="s">
        <v>794</v>
      </c>
      <c r="B715" t="s">
        <v>52</v>
      </c>
      <c r="C715" t="s">
        <v>732</v>
      </c>
      <c r="D715" t="s">
        <v>52</v>
      </c>
      <c r="E715" t="s">
        <v>78</v>
      </c>
      <c r="F715" t="s">
        <v>252</v>
      </c>
      <c r="G715">
        <v>6.1632490000000004</v>
      </c>
      <c r="H715">
        <v>-75.594163600000002</v>
      </c>
      <c r="J715">
        <v>11</v>
      </c>
      <c r="M715">
        <v>188</v>
      </c>
      <c r="N715">
        <v>68</v>
      </c>
      <c r="O715">
        <v>26</v>
      </c>
      <c r="P715">
        <v>18</v>
      </c>
      <c r="Q715">
        <v>31</v>
      </c>
      <c r="R715">
        <v>58</v>
      </c>
    </row>
    <row r="716" spans="1:18" x14ac:dyDescent="0.25">
      <c r="A716" t="s">
        <v>795</v>
      </c>
      <c r="B716" t="s">
        <v>52</v>
      </c>
      <c r="C716" t="s">
        <v>732</v>
      </c>
      <c r="D716" t="s">
        <v>52</v>
      </c>
      <c r="E716" t="s">
        <v>78</v>
      </c>
      <c r="F716" t="s">
        <v>252</v>
      </c>
      <c r="G716">
        <v>6.1632490000000004</v>
      </c>
      <c r="H716">
        <v>-75.594163600000002</v>
      </c>
      <c r="J716">
        <v>11</v>
      </c>
      <c r="M716">
        <v>188</v>
      </c>
      <c r="N716">
        <v>66</v>
      </c>
      <c r="O716">
        <v>30</v>
      </c>
      <c r="P716">
        <v>34</v>
      </c>
      <c r="Q716">
        <v>33</v>
      </c>
      <c r="R716">
        <v>0</v>
      </c>
    </row>
    <row r="717" spans="1:18" x14ac:dyDescent="0.25">
      <c r="A717" t="s">
        <v>796</v>
      </c>
      <c r="B717" t="s">
        <v>52</v>
      </c>
      <c r="C717" t="s">
        <v>732</v>
      </c>
      <c r="D717" t="s">
        <v>52</v>
      </c>
      <c r="E717" t="s">
        <v>78</v>
      </c>
      <c r="F717" t="s">
        <v>252</v>
      </c>
      <c r="G717">
        <v>6.1632490000000004</v>
      </c>
      <c r="H717">
        <v>-75.594163600000002</v>
      </c>
      <c r="J717">
        <v>11</v>
      </c>
      <c r="M717">
        <v>184</v>
      </c>
      <c r="N717">
        <v>51</v>
      </c>
      <c r="O717">
        <v>38</v>
      </c>
      <c r="P717">
        <v>28</v>
      </c>
      <c r="Q717">
        <v>31</v>
      </c>
      <c r="R717">
        <v>35</v>
      </c>
    </row>
    <row r="718" spans="1:18" x14ac:dyDescent="0.25">
      <c r="A718" t="s">
        <v>797</v>
      </c>
      <c r="B718" t="s">
        <v>52</v>
      </c>
      <c r="C718" t="s">
        <v>732</v>
      </c>
      <c r="D718" t="s">
        <v>52</v>
      </c>
      <c r="E718" t="s">
        <v>78</v>
      </c>
      <c r="F718" t="s">
        <v>252</v>
      </c>
      <c r="G718">
        <v>6.1632490000000004</v>
      </c>
      <c r="H718">
        <v>-75.594163600000002</v>
      </c>
      <c r="J718">
        <v>11</v>
      </c>
      <c r="M718">
        <v>184</v>
      </c>
      <c r="N718">
        <v>54</v>
      </c>
      <c r="O718">
        <v>30</v>
      </c>
      <c r="P718">
        <v>32</v>
      </c>
      <c r="Q718">
        <v>33</v>
      </c>
      <c r="R718">
        <v>33</v>
      </c>
    </row>
    <row r="719" spans="1:18" x14ac:dyDescent="0.25">
      <c r="A719" t="s">
        <v>798</v>
      </c>
      <c r="B719" t="s">
        <v>52</v>
      </c>
      <c r="C719" t="s">
        <v>732</v>
      </c>
      <c r="D719" t="s">
        <v>52</v>
      </c>
      <c r="E719" t="s">
        <v>78</v>
      </c>
      <c r="F719" t="s">
        <v>252</v>
      </c>
      <c r="G719">
        <v>6.1632490000000004</v>
      </c>
      <c r="H719">
        <v>-75.594163600000002</v>
      </c>
      <c r="J719">
        <v>11</v>
      </c>
      <c r="M719">
        <v>182</v>
      </c>
      <c r="N719">
        <v>39</v>
      </c>
      <c r="O719">
        <v>22</v>
      </c>
      <c r="P719">
        <v>52</v>
      </c>
      <c r="Q719">
        <v>29</v>
      </c>
      <c r="R719">
        <v>45</v>
      </c>
    </row>
    <row r="720" spans="1:18" x14ac:dyDescent="0.25">
      <c r="A720" t="s">
        <v>799</v>
      </c>
      <c r="B720" t="s">
        <v>52</v>
      </c>
      <c r="C720" t="s">
        <v>732</v>
      </c>
      <c r="D720" t="s">
        <v>52</v>
      </c>
      <c r="E720" t="s">
        <v>78</v>
      </c>
      <c r="F720" t="s">
        <v>252</v>
      </c>
      <c r="G720">
        <v>6.1632490000000004</v>
      </c>
      <c r="H720">
        <v>-75.594163600000002</v>
      </c>
      <c r="J720">
        <v>11</v>
      </c>
      <c r="M720">
        <v>182</v>
      </c>
      <c r="N720">
        <v>63</v>
      </c>
      <c r="O720">
        <v>38</v>
      </c>
      <c r="P720">
        <v>16</v>
      </c>
      <c r="Q720">
        <v>24</v>
      </c>
      <c r="R720">
        <v>47</v>
      </c>
    </row>
    <row r="721" spans="1:18" x14ac:dyDescent="0.25">
      <c r="A721" t="s">
        <v>800</v>
      </c>
      <c r="B721" t="s">
        <v>52</v>
      </c>
      <c r="C721" t="s">
        <v>732</v>
      </c>
      <c r="D721" t="s">
        <v>52</v>
      </c>
      <c r="E721" t="s">
        <v>78</v>
      </c>
      <c r="F721" t="s">
        <v>252</v>
      </c>
      <c r="G721">
        <v>6.1632490000000004</v>
      </c>
      <c r="H721">
        <v>-75.594163600000002</v>
      </c>
      <c r="J721">
        <v>11</v>
      </c>
      <c r="M721">
        <v>181</v>
      </c>
      <c r="N721">
        <v>51</v>
      </c>
      <c r="O721">
        <v>28</v>
      </c>
      <c r="P721">
        <v>34</v>
      </c>
      <c r="Q721">
        <v>28</v>
      </c>
      <c r="R721">
        <v>47</v>
      </c>
    </row>
    <row r="722" spans="1:18" x14ac:dyDescent="0.25">
      <c r="A722" t="s">
        <v>801</v>
      </c>
      <c r="B722" t="s">
        <v>52</v>
      </c>
      <c r="C722" t="s">
        <v>732</v>
      </c>
      <c r="D722" t="s">
        <v>52</v>
      </c>
      <c r="E722" t="s">
        <v>78</v>
      </c>
      <c r="F722" t="s">
        <v>252</v>
      </c>
      <c r="G722">
        <v>6.1632490000000004</v>
      </c>
      <c r="H722">
        <v>-75.594163600000002</v>
      </c>
      <c r="J722">
        <v>11</v>
      </c>
      <c r="M722">
        <v>176</v>
      </c>
      <c r="N722">
        <v>46</v>
      </c>
      <c r="O722">
        <v>28</v>
      </c>
      <c r="P722">
        <v>34</v>
      </c>
      <c r="Q722">
        <v>29</v>
      </c>
      <c r="R722">
        <v>44</v>
      </c>
    </row>
    <row r="723" spans="1:18" x14ac:dyDescent="0.25">
      <c r="A723" t="s">
        <v>802</v>
      </c>
      <c r="B723" t="s">
        <v>52</v>
      </c>
      <c r="C723" t="s">
        <v>732</v>
      </c>
      <c r="D723" t="s">
        <v>52</v>
      </c>
      <c r="E723" t="s">
        <v>78</v>
      </c>
      <c r="F723" t="s">
        <v>252</v>
      </c>
      <c r="G723">
        <v>6.1632490000000004</v>
      </c>
      <c r="H723">
        <v>-75.594163600000002</v>
      </c>
      <c r="J723">
        <v>11</v>
      </c>
      <c r="M723">
        <v>171</v>
      </c>
      <c r="N723">
        <v>46</v>
      </c>
      <c r="O723">
        <v>30</v>
      </c>
      <c r="P723">
        <v>30</v>
      </c>
      <c r="Q723">
        <v>26</v>
      </c>
      <c r="R723">
        <v>49</v>
      </c>
    </row>
    <row r="724" spans="1:18" x14ac:dyDescent="0.25">
      <c r="A724" t="s">
        <v>803</v>
      </c>
      <c r="B724" t="s">
        <v>52</v>
      </c>
      <c r="C724" t="s">
        <v>732</v>
      </c>
      <c r="D724" t="s">
        <v>52</v>
      </c>
      <c r="E724" t="s">
        <v>78</v>
      </c>
      <c r="F724" t="s">
        <v>252</v>
      </c>
      <c r="G724">
        <v>6.1632490000000004</v>
      </c>
      <c r="H724">
        <v>-75.594163600000002</v>
      </c>
      <c r="J724">
        <v>11</v>
      </c>
      <c r="M724">
        <v>171</v>
      </c>
      <c r="N724">
        <v>37</v>
      </c>
      <c r="O724">
        <v>36</v>
      </c>
      <c r="P724">
        <v>32</v>
      </c>
      <c r="Q724">
        <v>26</v>
      </c>
      <c r="R724">
        <v>53</v>
      </c>
    </row>
    <row r="725" spans="1:18" x14ac:dyDescent="0.25">
      <c r="A725" t="s">
        <v>804</v>
      </c>
      <c r="B725" t="s">
        <v>52</v>
      </c>
      <c r="C725" t="s">
        <v>732</v>
      </c>
      <c r="D725" t="s">
        <v>52</v>
      </c>
      <c r="E725" t="s">
        <v>78</v>
      </c>
      <c r="F725" t="s">
        <v>252</v>
      </c>
      <c r="G725">
        <v>6.1632490000000004</v>
      </c>
      <c r="H725">
        <v>-75.594163600000002</v>
      </c>
      <c r="J725">
        <v>11</v>
      </c>
      <c r="M725">
        <v>168</v>
      </c>
      <c r="N725">
        <v>24</v>
      </c>
      <c r="O725">
        <v>32</v>
      </c>
      <c r="P725">
        <v>36</v>
      </c>
      <c r="Q725">
        <v>40</v>
      </c>
      <c r="R725">
        <v>42</v>
      </c>
    </row>
    <row r="726" spans="1:18" x14ac:dyDescent="0.25">
      <c r="A726" t="s">
        <v>805</v>
      </c>
      <c r="B726" t="s">
        <v>52</v>
      </c>
      <c r="C726" t="s">
        <v>732</v>
      </c>
      <c r="D726" t="s">
        <v>52</v>
      </c>
      <c r="E726" t="s">
        <v>78</v>
      </c>
      <c r="F726" t="s">
        <v>252</v>
      </c>
      <c r="G726">
        <v>6.1632490000000004</v>
      </c>
      <c r="H726">
        <v>-75.594163600000002</v>
      </c>
      <c r="J726">
        <v>11</v>
      </c>
      <c r="M726">
        <v>167</v>
      </c>
      <c r="N726">
        <v>41</v>
      </c>
      <c r="O726">
        <v>28</v>
      </c>
      <c r="P726">
        <v>24</v>
      </c>
      <c r="Q726">
        <v>36</v>
      </c>
      <c r="R726">
        <v>45</v>
      </c>
    </row>
    <row r="727" spans="1:18" x14ac:dyDescent="0.25">
      <c r="A727" t="s">
        <v>806</v>
      </c>
      <c r="B727" t="s">
        <v>52</v>
      </c>
      <c r="C727" t="s">
        <v>732</v>
      </c>
      <c r="D727" t="s">
        <v>52</v>
      </c>
      <c r="E727" t="s">
        <v>78</v>
      </c>
      <c r="F727" t="s">
        <v>252</v>
      </c>
      <c r="G727">
        <v>6.1632490000000004</v>
      </c>
      <c r="H727">
        <v>-75.594163600000002</v>
      </c>
      <c r="J727">
        <v>11</v>
      </c>
      <c r="M727">
        <v>167</v>
      </c>
      <c r="N727">
        <v>44</v>
      </c>
      <c r="O727">
        <v>24</v>
      </c>
      <c r="P727">
        <v>34</v>
      </c>
      <c r="Q727">
        <v>19</v>
      </c>
      <c r="R727">
        <v>71</v>
      </c>
    </row>
    <row r="728" spans="1:18" x14ac:dyDescent="0.25">
      <c r="A728" t="s">
        <v>807</v>
      </c>
      <c r="B728" t="s">
        <v>52</v>
      </c>
      <c r="C728" t="s">
        <v>732</v>
      </c>
      <c r="D728" t="s">
        <v>52</v>
      </c>
      <c r="E728" t="s">
        <v>78</v>
      </c>
      <c r="F728" t="s">
        <v>252</v>
      </c>
      <c r="G728">
        <v>6.1632490000000004</v>
      </c>
      <c r="H728">
        <v>-75.594163600000002</v>
      </c>
      <c r="J728">
        <v>11</v>
      </c>
      <c r="M728">
        <v>165</v>
      </c>
      <c r="N728">
        <v>37</v>
      </c>
      <c r="O728">
        <v>28</v>
      </c>
      <c r="P728">
        <v>28</v>
      </c>
      <c r="Q728">
        <v>29</v>
      </c>
      <c r="R728">
        <v>64</v>
      </c>
    </row>
    <row r="729" spans="1:18" x14ac:dyDescent="0.25">
      <c r="A729" t="s">
        <v>808</v>
      </c>
      <c r="B729" t="s">
        <v>52</v>
      </c>
      <c r="C729" t="s">
        <v>732</v>
      </c>
      <c r="D729" t="s">
        <v>52</v>
      </c>
      <c r="E729" t="s">
        <v>78</v>
      </c>
      <c r="F729" t="s">
        <v>252</v>
      </c>
      <c r="G729">
        <v>6.1632490000000004</v>
      </c>
      <c r="H729">
        <v>-75.594163600000002</v>
      </c>
      <c r="J729">
        <v>11</v>
      </c>
      <c r="M729">
        <v>162</v>
      </c>
      <c r="N729">
        <v>44</v>
      </c>
      <c r="O729">
        <v>38</v>
      </c>
      <c r="P729">
        <v>20</v>
      </c>
      <c r="Q729">
        <v>22</v>
      </c>
      <c r="R729">
        <v>47</v>
      </c>
    </row>
    <row r="730" spans="1:18" x14ac:dyDescent="0.25">
      <c r="A730" t="s">
        <v>809</v>
      </c>
      <c r="B730" t="s">
        <v>52</v>
      </c>
      <c r="C730" t="s">
        <v>732</v>
      </c>
      <c r="D730" t="s">
        <v>52</v>
      </c>
      <c r="E730" t="s">
        <v>78</v>
      </c>
      <c r="F730" t="s">
        <v>252</v>
      </c>
      <c r="G730">
        <v>6.1632490000000004</v>
      </c>
      <c r="H730">
        <v>-75.594163600000002</v>
      </c>
      <c r="J730">
        <v>11</v>
      </c>
      <c r="M730">
        <v>158</v>
      </c>
      <c r="N730">
        <v>29</v>
      </c>
      <c r="O730">
        <v>26</v>
      </c>
      <c r="P730">
        <v>34</v>
      </c>
      <c r="Q730">
        <v>38</v>
      </c>
      <c r="R730">
        <v>29</v>
      </c>
    </row>
    <row r="731" spans="1:18" x14ac:dyDescent="0.25">
      <c r="A731" t="s">
        <v>810</v>
      </c>
      <c r="B731" t="s">
        <v>52</v>
      </c>
      <c r="C731" t="s">
        <v>732</v>
      </c>
      <c r="D731" t="s">
        <v>52</v>
      </c>
      <c r="E731" t="s">
        <v>78</v>
      </c>
      <c r="F731" t="s">
        <v>252</v>
      </c>
      <c r="G731">
        <v>6.1632490000000004</v>
      </c>
      <c r="H731">
        <v>-75.594163600000002</v>
      </c>
      <c r="J731">
        <v>11</v>
      </c>
      <c r="M731">
        <v>151</v>
      </c>
      <c r="N731">
        <v>32</v>
      </c>
      <c r="O731">
        <v>28</v>
      </c>
      <c r="P731">
        <v>30</v>
      </c>
      <c r="Q731">
        <v>28</v>
      </c>
      <c r="R731">
        <v>40</v>
      </c>
    </row>
    <row r="732" spans="1:18" x14ac:dyDescent="0.25">
      <c r="A732" t="s">
        <v>811</v>
      </c>
      <c r="B732" t="s">
        <v>52</v>
      </c>
      <c r="C732" t="s">
        <v>732</v>
      </c>
      <c r="D732" t="s">
        <v>52</v>
      </c>
      <c r="E732" t="s">
        <v>78</v>
      </c>
      <c r="F732" t="s">
        <v>252</v>
      </c>
      <c r="G732">
        <v>6.1632490000000004</v>
      </c>
      <c r="H732">
        <v>-75.594163600000002</v>
      </c>
      <c r="J732">
        <v>11</v>
      </c>
      <c r="M732">
        <v>150</v>
      </c>
      <c r="N732">
        <v>32</v>
      </c>
      <c r="O732">
        <v>28</v>
      </c>
      <c r="P732">
        <v>34</v>
      </c>
      <c r="Q732">
        <v>26</v>
      </c>
      <c r="R732">
        <v>31</v>
      </c>
    </row>
    <row r="733" spans="1:18" x14ac:dyDescent="0.25">
      <c r="A733" t="s">
        <v>812</v>
      </c>
      <c r="B733" t="s">
        <v>52</v>
      </c>
      <c r="C733" t="s">
        <v>732</v>
      </c>
      <c r="D733" t="s">
        <v>52</v>
      </c>
      <c r="E733" t="s">
        <v>78</v>
      </c>
      <c r="F733" t="s">
        <v>252</v>
      </c>
      <c r="G733">
        <v>6.1632490000000004</v>
      </c>
      <c r="H733">
        <v>-75.594163600000002</v>
      </c>
      <c r="J733">
        <v>11</v>
      </c>
      <c r="M733">
        <v>146</v>
      </c>
      <c r="N733">
        <v>29</v>
      </c>
      <c r="O733">
        <v>34</v>
      </c>
      <c r="P733">
        <v>26</v>
      </c>
      <c r="Q733">
        <v>26</v>
      </c>
      <c r="R733">
        <v>35</v>
      </c>
    </row>
    <row r="734" spans="1:18" x14ac:dyDescent="0.25">
      <c r="A734" t="s">
        <v>813</v>
      </c>
      <c r="B734" t="s">
        <v>52</v>
      </c>
      <c r="C734" t="s">
        <v>732</v>
      </c>
      <c r="D734" t="s">
        <v>52</v>
      </c>
      <c r="E734" t="s">
        <v>78</v>
      </c>
      <c r="F734" t="s">
        <v>252</v>
      </c>
      <c r="G734">
        <v>6.1632490000000004</v>
      </c>
      <c r="H734">
        <v>-75.594163600000002</v>
      </c>
      <c r="J734">
        <v>11</v>
      </c>
      <c r="M734">
        <v>145</v>
      </c>
      <c r="N734">
        <v>34</v>
      </c>
      <c r="O734">
        <v>36</v>
      </c>
      <c r="P734">
        <v>20</v>
      </c>
      <c r="Q734">
        <v>22</v>
      </c>
      <c r="R734">
        <v>40</v>
      </c>
    </row>
    <row r="735" spans="1:18" x14ac:dyDescent="0.25">
      <c r="A735" t="s">
        <v>814</v>
      </c>
      <c r="B735" t="s">
        <v>52</v>
      </c>
      <c r="C735" t="s">
        <v>732</v>
      </c>
      <c r="D735" t="s">
        <v>52</v>
      </c>
      <c r="E735" t="s">
        <v>78</v>
      </c>
      <c r="F735" t="s">
        <v>252</v>
      </c>
      <c r="G735">
        <v>6.1632490000000004</v>
      </c>
      <c r="H735">
        <v>-75.594163600000002</v>
      </c>
      <c r="J735">
        <v>11</v>
      </c>
      <c r="M735">
        <v>142</v>
      </c>
      <c r="N735">
        <v>29</v>
      </c>
      <c r="O735">
        <v>32</v>
      </c>
      <c r="P735">
        <v>16</v>
      </c>
      <c r="Q735">
        <v>33</v>
      </c>
      <c r="R735">
        <v>40</v>
      </c>
    </row>
    <row r="736" spans="1:18" x14ac:dyDescent="0.25">
      <c r="A736" t="s">
        <v>815</v>
      </c>
      <c r="B736" t="s">
        <v>52</v>
      </c>
      <c r="C736" t="s">
        <v>732</v>
      </c>
      <c r="D736" t="s">
        <v>52</v>
      </c>
      <c r="E736" t="s">
        <v>78</v>
      </c>
      <c r="F736" t="s">
        <v>252</v>
      </c>
      <c r="G736">
        <v>6.1632490000000004</v>
      </c>
      <c r="H736">
        <v>-75.594163600000002</v>
      </c>
      <c r="J736">
        <v>11</v>
      </c>
      <c r="M736">
        <v>142</v>
      </c>
      <c r="N736">
        <v>39</v>
      </c>
      <c r="O736">
        <v>26</v>
      </c>
      <c r="P736">
        <v>18</v>
      </c>
      <c r="Q736">
        <v>29</v>
      </c>
      <c r="R736">
        <v>33</v>
      </c>
    </row>
    <row r="737" spans="1:18" x14ac:dyDescent="0.25">
      <c r="A737" t="s">
        <v>816</v>
      </c>
      <c r="B737" t="s">
        <v>52</v>
      </c>
      <c r="C737" t="s">
        <v>732</v>
      </c>
      <c r="D737" t="s">
        <v>52</v>
      </c>
      <c r="E737" t="s">
        <v>78</v>
      </c>
      <c r="F737" t="s">
        <v>252</v>
      </c>
      <c r="G737">
        <v>6.1632490000000004</v>
      </c>
      <c r="H737">
        <v>-75.594163600000002</v>
      </c>
      <c r="J737">
        <v>11</v>
      </c>
      <c r="M737">
        <v>141</v>
      </c>
      <c r="N737">
        <v>34</v>
      </c>
      <c r="O737">
        <v>26</v>
      </c>
      <c r="P737">
        <v>20</v>
      </c>
      <c r="Q737">
        <v>29</v>
      </c>
      <c r="R737">
        <v>38</v>
      </c>
    </row>
    <row r="738" spans="1:18" x14ac:dyDescent="0.25">
      <c r="A738" t="s">
        <v>817</v>
      </c>
      <c r="B738" t="s">
        <v>52</v>
      </c>
      <c r="C738" t="s">
        <v>732</v>
      </c>
      <c r="D738" t="s">
        <v>52</v>
      </c>
      <c r="E738" t="s">
        <v>78</v>
      </c>
      <c r="F738" t="s">
        <v>252</v>
      </c>
      <c r="G738">
        <v>6.1632490000000004</v>
      </c>
      <c r="H738">
        <v>-75.594163600000002</v>
      </c>
      <c r="J738">
        <v>11</v>
      </c>
      <c r="M738">
        <v>140</v>
      </c>
      <c r="N738">
        <v>34</v>
      </c>
      <c r="O738">
        <v>24</v>
      </c>
      <c r="P738">
        <v>20</v>
      </c>
      <c r="Q738">
        <v>28</v>
      </c>
      <c r="R738">
        <v>47</v>
      </c>
    </row>
    <row r="739" spans="1:18" x14ac:dyDescent="0.25">
      <c r="A739" t="s">
        <v>818</v>
      </c>
      <c r="B739" t="s">
        <v>52</v>
      </c>
      <c r="C739" t="s">
        <v>732</v>
      </c>
      <c r="D739" t="s">
        <v>52</v>
      </c>
      <c r="E739" t="s">
        <v>78</v>
      </c>
      <c r="F739" t="s">
        <v>252</v>
      </c>
      <c r="G739">
        <v>6.1632490000000004</v>
      </c>
      <c r="H739">
        <v>-75.594163600000002</v>
      </c>
      <c r="J739">
        <v>11</v>
      </c>
      <c r="M739">
        <v>138</v>
      </c>
      <c r="N739">
        <v>27</v>
      </c>
      <c r="O739">
        <v>26</v>
      </c>
      <c r="P739">
        <v>30</v>
      </c>
      <c r="Q739">
        <v>28</v>
      </c>
      <c r="R739">
        <v>27</v>
      </c>
    </row>
    <row r="740" spans="1:18" x14ac:dyDescent="0.25">
      <c r="A740" t="s">
        <v>819</v>
      </c>
      <c r="B740" t="s">
        <v>52</v>
      </c>
      <c r="C740" t="s">
        <v>732</v>
      </c>
      <c r="D740" t="s">
        <v>52</v>
      </c>
      <c r="E740" t="s">
        <v>78</v>
      </c>
      <c r="F740" t="s">
        <v>252</v>
      </c>
      <c r="G740">
        <v>6.1632490000000004</v>
      </c>
      <c r="H740">
        <v>-75.594163600000002</v>
      </c>
      <c r="J740">
        <v>11</v>
      </c>
      <c r="M740">
        <v>131</v>
      </c>
      <c r="N740">
        <v>37</v>
      </c>
      <c r="O740">
        <v>20</v>
      </c>
      <c r="P740">
        <v>22</v>
      </c>
      <c r="Q740">
        <v>24</v>
      </c>
      <c r="R740">
        <v>33</v>
      </c>
    </row>
    <row r="741" spans="1:18" x14ac:dyDescent="0.25">
      <c r="A741" t="s">
        <v>820</v>
      </c>
      <c r="B741" t="s">
        <v>52</v>
      </c>
      <c r="C741" t="s">
        <v>732</v>
      </c>
      <c r="D741" t="s">
        <v>52</v>
      </c>
      <c r="E741" t="s">
        <v>78</v>
      </c>
      <c r="F741" t="s">
        <v>252</v>
      </c>
      <c r="G741">
        <v>6.1632490000000004</v>
      </c>
      <c r="H741">
        <v>-75.594163600000002</v>
      </c>
      <c r="J741">
        <v>11</v>
      </c>
      <c r="M741">
        <v>127</v>
      </c>
      <c r="N741">
        <v>54</v>
      </c>
      <c r="O741">
        <v>24</v>
      </c>
      <c r="P741">
        <v>8</v>
      </c>
      <c r="Q741">
        <v>24</v>
      </c>
      <c r="R741">
        <v>0</v>
      </c>
    </row>
    <row r="742" spans="1:18" x14ac:dyDescent="0.25">
      <c r="A742" t="s">
        <v>821</v>
      </c>
      <c r="B742" t="s">
        <v>52</v>
      </c>
      <c r="C742" t="s">
        <v>732</v>
      </c>
      <c r="D742" t="s">
        <v>52</v>
      </c>
      <c r="E742" t="s">
        <v>78</v>
      </c>
      <c r="F742" t="s">
        <v>252</v>
      </c>
      <c r="G742">
        <v>6.1632490000000004</v>
      </c>
      <c r="H742">
        <v>-75.594163600000002</v>
      </c>
      <c r="J742">
        <v>11</v>
      </c>
      <c r="M742">
        <v>126</v>
      </c>
      <c r="N742">
        <v>27</v>
      </c>
      <c r="O742">
        <v>28</v>
      </c>
      <c r="P742">
        <v>32</v>
      </c>
      <c r="Q742">
        <v>16</v>
      </c>
      <c r="R742">
        <v>22</v>
      </c>
    </row>
    <row r="743" spans="1:18" x14ac:dyDescent="0.25">
      <c r="A743" t="s">
        <v>822</v>
      </c>
      <c r="B743" t="s">
        <v>52</v>
      </c>
      <c r="C743" t="s">
        <v>732</v>
      </c>
      <c r="D743" t="s">
        <v>52</v>
      </c>
      <c r="E743" t="s">
        <v>78</v>
      </c>
      <c r="F743" t="s">
        <v>252</v>
      </c>
      <c r="G743">
        <v>6.1632490000000004</v>
      </c>
      <c r="H743">
        <v>-75.594163600000002</v>
      </c>
      <c r="J743">
        <v>11</v>
      </c>
      <c r="M743">
        <v>107</v>
      </c>
      <c r="N743">
        <v>20</v>
      </c>
      <c r="O743">
        <v>18</v>
      </c>
      <c r="P743">
        <v>28</v>
      </c>
      <c r="Q743">
        <v>19</v>
      </c>
      <c r="R743">
        <v>25</v>
      </c>
    </row>
    <row r="744" spans="1:18" x14ac:dyDescent="0.25">
      <c r="A744" t="s">
        <v>823</v>
      </c>
      <c r="B744" t="s">
        <v>52</v>
      </c>
      <c r="C744" t="s">
        <v>732</v>
      </c>
      <c r="D744" t="s">
        <v>52</v>
      </c>
      <c r="E744" t="s">
        <v>78</v>
      </c>
      <c r="F744" t="s">
        <v>252</v>
      </c>
      <c r="G744">
        <v>6.1632490000000004</v>
      </c>
      <c r="H744">
        <v>-75.594163600000002</v>
      </c>
      <c r="J744">
        <v>11</v>
      </c>
      <c r="M744">
        <v>103</v>
      </c>
      <c r="N744">
        <v>17</v>
      </c>
      <c r="O744">
        <v>22</v>
      </c>
      <c r="P744">
        <v>18</v>
      </c>
      <c r="Q744">
        <v>22</v>
      </c>
      <c r="R744">
        <v>29</v>
      </c>
    </row>
    <row r="745" spans="1:18" x14ac:dyDescent="0.25">
      <c r="A745" t="s">
        <v>824</v>
      </c>
      <c r="B745" t="s">
        <v>52</v>
      </c>
      <c r="C745" t="s">
        <v>732</v>
      </c>
      <c r="D745" t="s">
        <v>52</v>
      </c>
      <c r="E745" t="s">
        <v>78</v>
      </c>
      <c r="F745" t="s">
        <v>252</v>
      </c>
      <c r="G745">
        <v>6.1632490000000004</v>
      </c>
      <c r="H745">
        <v>-75.594163600000002</v>
      </c>
      <c r="J745">
        <v>11</v>
      </c>
      <c r="M745">
        <v>98</v>
      </c>
      <c r="N745">
        <v>39</v>
      </c>
      <c r="O745">
        <v>20</v>
      </c>
      <c r="P745">
        <v>10</v>
      </c>
      <c r="Q745">
        <v>16</v>
      </c>
      <c r="R745">
        <v>0</v>
      </c>
    </row>
    <row r="746" spans="1:18" x14ac:dyDescent="0.25">
      <c r="A746" t="s">
        <v>825</v>
      </c>
      <c r="B746" t="s">
        <v>52</v>
      </c>
      <c r="C746" t="s">
        <v>732</v>
      </c>
      <c r="D746" t="s">
        <v>52</v>
      </c>
      <c r="E746" t="s">
        <v>78</v>
      </c>
      <c r="F746" t="s">
        <v>252</v>
      </c>
      <c r="G746">
        <v>6.1632490000000004</v>
      </c>
      <c r="H746">
        <v>-75.594163600000002</v>
      </c>
      <c r="J746">
        <v>11</v>
      </c>
      <c r="M746">
        <v>89</v>
      </c>
      <c r="N746">
        <v>0</v>
      </c>
      <c r="O746">
        <v>16</v>
      </c>
      <c r="P746">
        <v>28</v>
      </c>
      <c r="Q746">
        <v>21</v>
      </c>
      <c r="R746">
        <v>38</v>
      </c>
    </row>
    <row r="747" spans="1:18" x14ac:dyDescent="0.25">
      <c r="A747" t="s">
        <v>826</v>
      </c>
      <c r="B747" t="s">
        <v>52</v>
      </c>
      <c r="C747" t="s">
        <v>732</v>
      </c>
      <c r="D747" t="s">
        <v>52</v>
      </c>
      <c r="E747" t="s">
        <v>78</v>
      </c>
      <c r="F747" t="s">
        <v>252</v>
      </c>
      <c r="G747">
        <v>6.1632490000000004</v>
      </c>
      <c r="H747">
        <v>-75.594163600000002</v>
      </c>
      <c r="J747">
        <v>11</v>
      </c>
      <c r="M747">
        <v>86</v>
      </c>
      <c r="N747">
        <v>0</v>
      </c>
      <c r="O747">
        <v>10</v>
      </c>
      <c r="P747">
        <v>26</v>
      </c>
      <c r="Q747">
        <v>21</v>
      </c>
      <c r="R747">
        <v>53</v>
      </c>
    </row>
    <row r="748" spans="1:18" x14ac:dyDescent="0.25">
      <c r="A748" t="s">
        <v>827</v>
      </c>
      <c r="B748" t="s">
        <v>52</v>
      </c>
      <c r="C748" t="s">
        <v>732</v>
      </c>
      <c r="D748" t="s">
        <v>52</v>
      </c>
      <c r="E748" t="s">
        <v>78</v>
      </c>
      <c r="F748" t="s">
        <v>252</v>
      </c>
      <c r="G748">
        <v>6.1632490000000004</v>
      </c>
      <c r="H748">
        <v>-75.594163600000002</v>
      </c>
      <c r="J748">
        <v>11</v>
      </c>
      <c r="M748">
        <v>76</v>
      </c>
      <c r="N748">
        <v>0</v>
      </c>
      <c r="O748">
        <v>14</v>
      </c>
      <c r="P748">
        <v>16</v>
      </c>
      <c r="Q748">
        <v>14</v>
      </c>
      <c r="R748">
        <v>65</v>
      </c>
    </row>
    <row r="749" spans="1:18" x14ac:dyDescent="0.25">
      <c r="A749" t="s">
        <v>828</v>
      </c>
      <c r="B749" t="s">
        <v>52</v>
      </c>
      <c r="C749" t="s">
        <v>732</v>
      </c>
      <c r="D749" t="s">
        <v>52</v>
      </c>
      <c r="E749" t="s">
        <v>78</v>
      </c>
      <c r="F749" t="s">
        <v>252</v>
      </c>
      <c r="G749">
        <v>6.1632490000000004</v>
      </c>
      <c r="H749">
        <v>-75.594163600000002</v>
      </c>
      <c r="J749">
        <v>11</v>
      </c>
      <c r="M749">
        <v>75</v>
      </c>
      <c r="N749">
        <v>0</v>
      </c>
      <c r="O749">
        <v>12</v>
      </c>
      <c r="P749">
        <v>20</v>
      </c>
      <c r="Q749">
        <v>21</v>
      </c>
      <c r="R749">
        <v>38</v>
      </c>
    </row>
    <row r="750" spans="1:18" x14ac:dyDescent="0.25">
      <c r="A750" t="s">
        <v>829</v>
      </c>
      <c r="B750" t="s">
        <v>52</v>
      </c>
      <c r="C750" t="s">
        <v>830</v>
      </c>
      <c r="D750" t="s">
        <v>52</v>
      </c>
      <c r="E750" t="s">
        <v>78</v>
      </c>
      <c r="F750" t="s">
        <v>252</v>
      </c>
      <c r="G750">
        <v>6.1702636999999996</v>
      </c>
      <c r="H750">
        <v>-75.589518400000003</v>
      </c>
      <c r="J750">
        <v>11</v>
      </c>
      <c r="M750">
        <v>359</v>
      </c>
      <c r="N750">
        <v>85</v>
      </c>
      <c r="O750">
        <v>48</v>
      </c>
      <c r="P750">
        <v>84</v>
      </c>
      <c r="Q750">
        <v>66</v>
      </c>
      <c r="R750">
        <v>85</v>
      </c>
    </row>
    <row r="751" spans="1:18" x14ac:dyDescent="0.25">
      <c r="A751" t="s">
        <v>831</v>
      </c>
      <c r="B751" t="s">
        <v>52</v>
      </c>
      <c r="C751" t="s">
        <v>830</v>
      </c>
      <c r="D751" t="s">
        <v>52</v>
      </c>
      <c r="E751" t="s">
        <v>78</v>
      </c>
      <c r="F751" t="s">
        <v>252</v>
      </c>
      <c r="G751">
        <v>6.1702636999999996</v>
      </c>
      <c r="H751">
        <v>-75.589518400000003</v>
      </c>
      <c r="J751">
        <v>11</v>
      </c>
      <c r="M751">
        <v>336</v>
      </c>
      <c r="N751">
        <v>85</v>
      </c>
      <c r="O751">
        <v>42</v>
      </c>
      <c r="P751">
        <v>68</v>
      </c>
      <c r="Q751">
        <v>71</v>
      </c>
      <c r="R751">
        <v>76</v>
      </c>
    </row>
    <row r="752" spans="1:18" x14ac:dyDescent="0.25">
      <c r="A752" t="s">
        <v>832</v>
      </c>
      <c r="B752" t="s">
        <v>52</v>
      </c>
      <c r="C752" t="s">
        <v>830</v>
      </c>
      <c r="D752" t="s">
        <v>52</v>
      </c>
      <c r="E752" t="s">
        <v>78</v>
      </c>
      <c r="F752" t="s">
        <v>252</v>
      </c>
      <c r="G752">
        <v>6.1702636999999996</v>
      </c>
      <c r="H752">
        <v>-75.589518400000003</v>
      </c>
      <c r="J752">
        <v>11</v>
      </c>
      <c r="M752">
        <v>326</v>
      </c>
      <c r="N752">
        <v>78</v>
      </c>
      <c r="O752">
        <v>36</v>
      </c>
      <c r="P752">
        <v>82</v>
      </c>
      <c r="Q752">
        <v>57</v>
      </c>
      <c r="R752">
        <v>89</v>
      </c>
    </row>
    <row r="753" spans="1:18" x14ac:dyDescent="0.25">
      <c r="A753" t="s">
        <v>833</v>
      </c>
      <c r="B753" t="s">
        <v>52</v>
      </c>
      <c r="C753" t="s">
        <v>830</v>
      </c>
      <c r="D753" t="s">
        <v>52</v>
      </c>
      <c r="E753" t="s">
        <v>78</v>
      </c>
      <c r="F753" t="s">
        <v>252</v>
      </c>
      <c r="G753">
        <v>6.1702636999999996</v>
      </c>
      <c r="H753">
        <v>-75.589518400000003</v>
      </c>
      <c r="J753">
        <v>11</v>
      </c>
      <c r="M753">
        <v>318</v>
      </c>
      <c r="N753">
        <v>66</v>
      </c>
      <c r="O753">
        <v>56</v>
      </c>
      <c r="P753">
        <v>84</v>
      </c>
      <c r="Q753">
        <v>38</v>
      </c>
      <c r="R753">
        <v>95</v>
      </c>
    </row>
    <row r="754" spans="1:18" x14ac:dyDescent="0.25">
      <c r="A754" t="s">
        <v>834</v>
      </c>
      <c r="B754" t="s">
        <v>52</v>
      </c>
      <c r="C754" t="s">
        <v>830</v>
      </c>
      <c r="D754" t="s">
        <v>52</v>
      </c>
      <c r="E754" t="s">
        <v>78</v>
      </c>
      <c r="F754" t="s">
        <v>252</v>
      </c>
      <c r="G754">
        <v>6.1702636999999996</v>
      </c>
      <c r="H754">
        <v>-75.589518400000003</v>
      </c>
      <c r="J754">
        <v>11</v>
      </c>
      <c r="M754">
        <v>306</v>
      </c>
      <c r="N754">
        <v>56</v>
      </c>
      <c r="O754">
        <v>56</v>
      </c>
      <c r="P754">
        <v>60</v>
      </c>
      <c r="Q754">
        <v>71</v>
      </c>
      <c r="R754">
        <v>67</v>
      </c>
    </row>
    <row r="755" spans="1:18" x14ac:dyDescent="0.25">
      <c r="A755" t="s">
        <v>835</v>
      </c>
      <c r="B755" t="s">
        <v>52</v>
      </c>
      <c r="C755" t="s">
        <v>830</v>
      </c>
      <c r="D755" t="s">
        <v>52</v>
      </c>
      <c r="E755" t="s">
        <v>78</v>
      </c>
      <c r="F755" t="s">
        <v>252</v>
      </c>
      <c r="G755">
        <v>6.1702636999999996</v>
      </c>
      <c r="H755">
        <v>-75.589518400000003</v>
      </c>
      <c r="J755">
        <v>11</v>
      </c>
      <c r="M755">
        <v>306</v>
      </c>
      <c r="N755">
        <v>68</v>
      </c>
      <c r="O755">
        <v>48</v>
      </c>
      <c r="P755">
        <v>52</v>
      </c>
      <c r="Q755">
        <v>64</v>
      </c>
      <c r="R755">
        <v>98</v>
      </c>
    </row>
    <row r="756" spans="1:18" x14ac:dyDescent="0.25">
      <c r="A756" t="s">
        <v>836</v>
      </c>
      <c r="B756" t="s">
        <v>52</v>
      </c>
      <c r="C756" t="s">
        <v>830</v>
      </c>
      <c r="D756" t="s">
        <v>52</v>
      </c>
      <c r="E756" t="s">
        <v>78</v>
      </c>
      <c r="F756" t="s">
        <v>252</v>
      </c>
      <c r="G756">
        <v>6.1702636999999996</v>
      </c>
      <c r="H756">
        <v>-75.589518400000003</v>
      </c>
      <c r="J756">
        <v>11</v>
      </c>
      <c r="M756">
        <v>297</v>
      </c>
      <c r="N756">
        <v>59</v>
      </c>
      <c r="O756">
        <v>48</v>
      </c>
      <c r="P756">
        <v>62</v>
      </c>
      <c r="Q756">
        <v>71</v>
      </c>
      <c r="R756">
        <v>55</v>
      </c>
    </row>
    <row r="757" spans="1:18" x14ac:dyDescent="0.25">
      <c r="A757" t="s">
        <v>837</v>
      </c>
      <c r="B757" t="s">
        <v>52</v>
      </c>
      <c r="C757" t="s">
        <v>830</v>
      </c>
      <c r="D757" t="s">
        <v>52</v>
      </c>
      <c r="E757" t="s">
        <v>78</v>
      </c>
      <c r="F757" t="s">
        <v>252</v>
      </c>
      <c r="G757">
        <v>6.1702636999999996</v>
      </c>
      <c r="H757">
        <v>-75.589518400000003</v>
      </c>
      <c r="J757">
        <v>11</v>
      </c>
      <c r="M757">
        <v>297</v>
      </c>
      <c r="N757">
        <v>76</v>
      </c>
      <c r="O757">
        <v>52</v>
      </c>
      <c r="P757">
        <v>62</v>
      </c>
      <c r="Q757">
        <v>48</v>
      </c>
      <c r="R757">
        <v>58</v>
      </c>
    </row>
    <row r="758" spans="1:18" x14ac:dyDescent="0.25">
      <c r="A758" t="s">
        <v>838</v>
      </c>
      <c r="B758" t="s">
        <v>52</v>
      </c>
      <c r="C758" t="s">
        <v>830</v>
      </c>
      <c r="D758" t="s">
        <v>52</v>
      </c>
      <c r="E758" t="s">
        <v>78</v>
      </c>
      <c r="F758" t="s">
        <v>252</v>
      </c>
      <c r="G758">
        <v>6.1702636999999996</v>
      </c>
      <c r="H758">
        <v>-75.589518400000003</v>
      </c>
      <c r="J758">
        <v>11</v>
      </c>
      <c r="M758">
        <v>282</v>
      </c>
      <c r="N758">
        <v>73</v>
      </c>
      <c r="O758">
        <v>32</v>
      </c>
      <c r="P758">
        <v>66</v>
      </c>
      <c r="Q758">
        <v>45</v>
      </c>
      <c r="R758">
        <v>85</v>
      </c>
    </row>
    <row r="759" spans="1:18" x14ac:dyDescent="0.25">
      <c r="A759" t="s">
        <v>839</v>
      </c>
      <c r="B759" t="s">
        <v>52</v>
      </c>
      <c r="C759" t="s">
        <v>830</v>
      </c>
      <c r="D759" t="s">
        <v>52</v>
      </c>
      <c r="E759" t="s">
        <v>78</v>
      </c>
      <c r="F759" t="s">
        <v>252</v>
      </c>
      <c r="G759">
        <v>6.1702636999999996</v>
      </c>
      <c r="H759">
        <v>-75.589518400000003</v>
      </c>
      <c r="J759">
        <v>11</v>
      </c>
      <c r="M759">
        <v>275</v>
      </c>
      <c r="N759">
        <v>71</v>
      </c>
      <c r="O759">
        <v>30</v>
      </c>
      <c r="P759">
        <v>58</v>
      </c>
      <c r="Q759">
        <v>55</v>
      </c>
      <c r="R759">
        <v>75</v>
      </c>
    </row>
    <row r="760" spans="1:18" x14ac:dyDescent="0.25">
      <c r="A760" t="s">
        <v>840</v>
      </c>
      <c r="B760" t="s">
        <v>52</v>
      </c>
      <c r="C760" t="s">
        <v>830</v>
      </c>
      <c r="D760" t="s">
        <v>52</v>
      </c>
      <c r="E760" t="s">
        <v>78</v>
      </c>
      <c r="F760" t="s">
        <v>252</v>
      </c>
      <c r="G760">
        <v>6.1702636999999996</v>
      </c>
      <c r="H760">
        <v>-75.589518400000003</v>
      </c>
      <c r="J760">
        <v>11</v>
      </c>
      <c r="M760">
        <v>274</v>
      </c>
      <c r="N760">
        <v>63</v>
      </c>
      <c r="O760">
        <v>38</v>
      </c>
      <c r="P760">
        <v>72</v>
      </c>
      <c r="Q760">
        <v>47</v>
      </c>
      <c r="R760">
        <v>53</v>
      </c>
    </row>
    <row r="761" spans="1:18" x14ac:dyDescent="0.25">
      <c r="A761" t="s">
        <v>841</v>
      </c>
      <c r="B761" t="s">
        <v>52</v>
      </c>
      <c r="C761" t="s">
        <v>830</v>
      </c>
      <c r="D761" t="s">
        <v>52</v>
      </c>
      <c r="E761" t="s">
        <v>78</v>
      </c>
      <c r="F761" t="s">
        <v>252</v>
      </c>
      <c r="G761">
        <v>6.1702636999999996</v>
      </c>
      <c r="H761">
        <v>-75.589518400000003</v>
      </c>
      <c r="J761">
        <v>11</v>
      </c>
      <c r="M761">
        <v>274</v>
      </c>
      <c r="N761">
        <v>71</v>
      </c>
      <c r="O761">
        <v>40</v>
      </c>
      <c r="P761">
        <v>54</v>
      </c>
      <c r="Q761">
        <v>52</v>
      </c>
      <c r="R761">
        <v>62</v>
      </c>
    </row>
    <row r="762" spans="1:18" x14ac:dyDescent="0.25">
      <c r="A762" t="s">
        <v>842</v>
      </c>
      <c r="B762" t="s">
        <v>52</v>
      </c>
      <c r="C762" t="s">
        <v>830</v>
      </c>
      <c r="D762" t="s">
        <v>52</v>
      </c>
      <c r="E762" t="s">
        <v>78</v>
      </c>
      <c r="F762" t="s">
        <v>252</v>
      </c>
      <c r="G762">
        <v>6.1702636999999996</v>
      </c>
      <c r="H762">
        <v>-75.589518400000003</v>
      </c>
      <c r="J762">
        <v>11</v>
      </c>
      <c r="M762">
        <v>269</v>
      </c>
      <c r="N762">
        <v>68</v>
      </c>
      <c r="O762">
        <v>40</v>
      </c>
      <c r="P762">
        <v>50</v>
      </c>
      <c r="Q762">
        <v>50</v>
      </c>
      <c r="R762">
        <v>75</v>
      </c>
    </row>
    <row r="763" spans="1:18" x14ac:dyDescent="0.25">
      <c r="A763" t="s">
        <v>843</v>
      </c>
      <c r="B763" t="s">
        <v>52</v>
      </c>
      <c r="C763" t="s">
        <v>830</v>
      </c>
      <c r="D763" t="s">
        <v>52</v>
      </c>
      <c r="E763" t="s">
        <v>78</v>
      </c>
      <c r="F763" t="s">
        <v>252</v>
      </c>
      <c r="G763">
        <v>6.1702636999999996</v>
      </c>
      <c r="H763">
        <v>-75.589518400000003</v>
      </c>
      <c r="J763">
        <v>11</v>
      </c>
      <c r="M763">
        <v>267</v>
      </c>
      <c r="N763">
        <v>54</v>
      </c>
      <c r="O763">
        <v>42</v>
      </c>
      <c r="P763">
        <v>54</v>
      </c>
      <c r="Q763">
        <v>53</v>
      </c>
      <c r="R763">
        <v>85</v>
      </c>
    </row>
    <row r="764" spans="1:18" x14ac:dyDescent="0.25">
      <c r="A764" t="s">
        <v>844</v>
      </c>
      <c r="B764" t="s">
        <v>52</v>
      </c>
      <c r="C764" t="s">
        <v>830</v>
      </c>
      <c r="D764" t="s">
        <v>52</v>
      </c>
      <c r="E764" t="s">
        <v>78</v>
      </c>
      <c r="F764" t="s">
        <v>252</v>
      </c>
      <c r="G764">
        <v>6.1702636999999996</v>
      </c>
      <c r="H764">
        <v>-75.589518400000003</v>
      </c>
      <c r="J764">
        <v>11</v>
      </c>
      <c r="M764">
        <v>259</v>
      </c>
      <c r="N764">
        <v>59</v>
      </c>
      <c r="O764">
        <v>42</v>
      </c>
      <c r="P764">
        <v>58</v>
      </c>
      <c r="Q764">
        <v>50</v>
      </c>
      <c r="R764">
        <v>47</v>
      </c>
    </row>
    <row r="765" spans="1:18" x14ac:dyDescent="0.25">
      <c r="A765" t="s">
        <v>845</v>
      </c>
      <c r="B765" t="s">
        <v>52</v>
      </c>
      <c r="C765" t="s">
        <v>830</v>
      </c>
      <c r="D765" t="s">
        <v>52</v>
      </c>
      <c r="E765" t="s">
        <v>78</v>
      </c>
      <c r="F765" t="s">
        <v>252</v>
      </c>
      <c r="G765">
        <v>6.1702636999999996</v>
      </c>
      <c r="H765">
        <v>-75.589518400000003</v>
      </c>
      <c r="J765">
        <v>11</v>
      </c>
      <c r="M765">
        <v>256</v>
      </c>
      <c r="N765">
        <v>68</v>
      </c>
      <c r="O765">
        <v>50</v>
      </c>
      <c r="P765">
        <v>62</v>
      </c>
      <c r="Q765">
        <v>28</v>
      </c>
      <c r="R765">
        <v>42</v>
      </c>
    </row>
    <row r="766" spans="1:18" x14ac:dyDescent="0.25">
      <c r="A766" t="s">
        <v>846</v>
      </c>
      <c r="B766" t="s">
        <v>52</v>
      </c>
      <c r="C766" t="s">
        <v>830</v>
      </c>
      <c r="D766" t="s">
        <v>52</v>
      </c>
      <c r="E766" t="s">
        <v>78</v>
      </c>
      <c r="F766" t="s">
        <v>252</v>
      </c>
      <c r="G766">
        <v>6.1702636999999996</v>
      </c>
      <c r="H766">
        <v>-75.589518400000003</v>
      </c>
      <c r="J766">
        <v>11</v>
      </c>
      <c r="M766">
        <v>252</v>
      </c>
      <c r="N766">
        <v>73</v>
      </c>
      <c r="O766">
        <v>34</v>
      </c>
      <c r="P766">
        <v>52</v>
      </c>
      <c r="Q766">
        <v>45</v>
      </c>
      <c r="R766">
        <v>44</v>
      </c>
    </row>
    <row r="767" spans="1:18" x14ac:dyDescent="0.25">
      <c r="A767" t="s">
        <v>847</v>
      </c>
      <c r="B767" t="s">
        <v>52</v>
      </c>
      <c r="C767" t="s">
        <v>830</v>
      </c>
      <c r="D767" t="s">
        <v>52</v>
      </c>
      <c r="E767" t="s">
        <v>78</v>
      </c>
      <c r="F767" t="s">
        <v>252</v>
      </c>
      <c r="G767">
        <v>6.1702636999999996</v>
      </c>
      <c r="H767">
        <v>-75.589518400000003</v>
      </c>
      <c r="J767">
        <v>11</v>
      </c>
      <c r="M767">
        <v>250</v>
      </c>
      <c r="N767">
        <v>54</v>
      </c>
      <c r="O767">
        <v>38</v>
      </c>
      <c r="P767">
        <v>46</v>
      </c>
      <c r="Q767">
        <v>59</v>
      </c>
      <c r="R767">
        <v>62</v>
      </c>
    </row>
    <row r="768" spans="1:18" x14ac:dyDescent="0.25">
      <c r="A768" t="s">
        <v>848</v>
      </c>
      <c r="B768" t="s">
        <v>52</v>
      </c>
      <c r="C768" t="s">
        <v>830</v>
      </c>
      <c r="D768" t="s">
        <v>52</v>
      </c>
      <c r="E768" t="s">
        <v>78</v>
      </c>
      <c r="F768" t="s">
        <v>252</v>
      </c>
      <c r="G768">
        <v>6.1702636999999996</v>
      </c>
      <c r="H768">
        <v>-75.589518400000003</v>
      </c>
      <c r="J768">
        <v>11</v>
      </c>
      <c r="M768">
        <v>249</v>
      </c>
      <c r="N768">
        <v>66</v>
      </c>
      <c r="O768">
        <v>38</v>
      </c>
      <c r="P768">
        <v>40</v>
      </c>
      <c r="Q768">
        <v>50</v>
      </c>
      <c r="R768">
        <v>65</v>
      </c>
    </row>
    <row r="769" spans="1:18" x14ac:dyDescent="0.25">
      <c r="A769" t="s">
        <v>849</v>
      </c>
      <c r="B769" t="s">
        <v>52</v>
      </c>
      <c r="C769" t="s">
        <v>830</v>
      </c>
      <c r="D769" t="s">
        <v>52</v>
      </c>
      <c r="E769" t="s">
        <v>78</v>
      </c>
      <c r="F769" t="s">
        <v>252</v>
      </c>
      <c r="G769">
        <v>6.1702636999999996</v>
      </c>
      <c r="H769">
        <v>-75.589518400000003</v>
      </c>
      <c r="J769">
        <v>11</v>
      </c>
      <c r="M769">
        <v>247</v>
      </c>
      <c r="N769">
        <v>73</v>
      </c>
      <c r="O769">
        <v>52</v>
      </c>
      <c r="P769">
        <v>30</v>
      </c>
      <c r="Q769">
        <v>38</v>
      </c>
      <c r="R769">
        <v>64</v>
      </c>
    </row>
    <row r="770" spans="1:18" x14ac:dyDescent="0.25">
      <c r="A770" t="s">
        <v>850</v>
      </c>
      <c r="B770" t="s">
        <v>52</v>
      </c>
      <c r="C770" t="s">
        <v>830</v>
      </c>
      <c r="D770" t="s">
        <v>52</v>
      </c>
      <c r="E770" t="s">
        <v>78</v>
      </c>
      <c r="F770" t="s">
        <v>252</v>
      </c>
      <c r="G770">
        <v>6.1702636999999996</v>
      </c>
      <c r="H770">
        <v>-75.589518400000003</v>
      </c>
      <c r="J770">
        <v>11</v>
      </c>
      <c r="M770">
        <v>247</v>
      </c>
      <c r="N770">
        <v>54</v>
      </c>
      <c r="O770">
        <v>30</v>
      </c>
      <c r="P770">
        <v>52</v>
      </c>
      <c r="Q770">
        <v>52</v>
      </c>
      <c r="R770">
        <v>80</v>
      </c>
    </row>
    <row r="771" spans="1:18" x14ac:dyDescent="0.25">
      <c r="A771" t="s">
        <v>851</v>
      </c>
      <c r="B771" t="s">
        <v>52</v>
      </c>
      <c r="C771" t="s">
        <v>830</v>
      </c>
      <c r="D771" t="s">
        <v>52</v>
      </c>
      <c r="E771" t="s">
        <v>78</v>
      </c>
      <c r="F771" t="s">
        <v>252</v>
      </c>
      <c r="G771">
        <v>6.1702636999999996</v>
      </c>
      <c r="H771">
        <v>-75.589518400000003</v>
      </c>
      <c r="J771">
        <v>11</v>
      </c>
      <c r="M771">
        <v>247</v>
      </c>
      <c r="N771">
        <v>80</v>
      </c>
      <c r="O771">
        <v>26</v>
      </c>
      <c r="P771">
        <v>52</v>
      </c>
      <c r="Q771">
        <v>38</v>
      </c>
      <c r="R771">
        <v>53</v>
      </c>
    </row>
    <row r="772" spans="1:18" x14ac:dyDescent="0.25">
      <c r="A772" t="s">
        <v>852</v>
      </c>
      <c r="B772" t="s">
        <v>52</v>
      </c>
      <c r="C772" t="s">
        <v>830</v>
      </c>
      <c r="D772" t="s">
        <v>52</v>
      </c>
      <c r="E772" t="s">
        <v>78</v>
      </c>
      <c r="F772" t="s">
        <v>252</v>
      </c>
      <c r="G772">
        <v>6.1702636999999996</v>
      </c>
      <c r="H772">
        <v>-75.589518400000003</v>
      </c>
      <c r="J772">
        <v>11</v>
      </c>
      <c r="M772">
        <v>247</v>
      </c>
      <c r="N772">
        <v>66</v>
      </c>
      <c r="O772">
        <v>32</v>
      </c>
      <c r="P772">
        <v>42</v>
      </c>
      <c r="Q772">
        <v>55</v>
      </c>
      <c r="R772">
        <v>56</v>
      </c>
    </row>
    <row r="773" spans="1:18" x14ac:dyDescent="0.25">
      <c r="A773" t="s">
        <v>853</v>
      </c>
      <c r="B773" t="s">
        <v>52</v>
      </c>
      <c r="C773" t="s">
        <v>830</v>
      </c>
      <c r="D773" t="s">
        <v>52</v>
      </c>
      <c r="E773" t="s">
        <v>78</v>
      </c>
      <c r="F773" t="s">
        <v>252</v>
      </c>
      <c r="G773">
        <v>6.1702636999999996</v>
      </c>
      <c r="H773">
        <v>-75.589518400000003</v>
      </c>
      <c r="J773">
        <v>11</v>
      </c>
      <c r="M773">
        <v>246</v>
      </c>
      <c r="N773">
        <v>73</v>
      </c>
      <c r="O773">
        <v>32</v>
      </c>
      <c r="P773">
        <v>58</v>
      </c>
      <c r="Q773">
        <v>31</v>
      </c>
      <c r="R773">
        <v>58</v>
      </c>
    </row>
    <row r="774" spans="1:18" x14ac:dyDescent="0.25">
      <c r="A774" t="s">
        <v>854</v>
      </c>
      <c r="B774" t="s">
        <v>52</v>
      </c>
      <c r="C774" t="s">
        <v>830</v>
      </c>
      <c r="D774" t="s">
        <v>52</v>
      </c>
      <c r="E774" t="s">
        <v>78</v>
      </c>
      <c r="F774" t="s">
        <v>252</v>
      </c>
      <c r="G774">
        <v>6.1702636999999996</v>
      </c>
      <c r="H774">
        <v>-75.589518400000003</v>
      </c>
      <c r="J774">
        <v>11</v>
      </c>
      <c r="M774">
        <v>243</v>
      </c>
      <c r="N774">
        <v>61</v>
      </c>
      <c r="O774">
        <v>36</v>
      </c>
      <c r="P774">
        <v>44</v>
      </c>
      <c r="Q774">
        <v>41</v>
      </c>
      <c r="R774">
        <v>85</v>
      </c>
    </row>
    <row r="775" spans="1:18" x14ac:dyDescent="0.25">
      <c r="A775" t="s">
        <v>855</v>
      </c>
      <c r="B775" t="s">
        <v>52</v>
      </c>
      <c r="C775" t="s">
        <v>830</v>
      </c>
      <c r="D775" t="s">
        <v>52</v>
      </c>
      <c r="E775" t="s">
        <v>78</v>
      </c>
      <c r="F775" t="s">
        <v>252</v>
      </c>
      <c r="G775">
        <v>6.1702636999999996</v>
      </c>
      <c r="H775">
        <v>-75.589518400000003</v>
      </c>
      <c r="J775">
        <v>11</v>
      </c>
      <c r="M775">
        <v>241</v>
      </c>
      <c r="N775">
        <v>54</v>
      </c>
      <c r="O775">
        <v>32</v>
      </c>
      <c r="P775">
        <v>48</v>
      </c>
      <c r="Q775">
        <v>50</v>
      </c>
      <c r="R775">
        <v>76</v>
      </c>
    </row>
    <row r="776" spans="1:18" x14ac:dyDescent="0.25">
      <c r="A776" t="s">
        <v>856</v>
      </c>
      <c r="B776" t="s">
        <v>52</v>
      </c>
      <c r="C776" t="s">
        <v>830</v>
      </c>
      <c r="D776" t="s">
        <v>52</v>
      </c>
      <c r="E776" t="s">
        <v>78</v>
      </c>
      <c r="F776" t="s">
        <v>252</v>
      </c>
      <c r="G776">
        <v>6.1702636999999996</v>
      </c>
      <c r="H776">
        <v>-75.589518400000003</v>
      </c>
      <c r="J776">
        <v>11</v>
      </c>
      <c r="M776">
        <v>233</v>
      </c>
      <c r="N776">
        <v>54</v>
      </c>
      <c r="O776">
        <v>28</v>
      </c>
      <c r="P776">
        <v>60</v>
      </c>
      <c r="Q776">
        <v>43</v>
      </c>
      <c r="R776">
        <v>51</v>
      </c>
    </row>
    <row r="777" spans="1:18" x14ac:dyDescent="0.25">
      <c r="A777" t="s">
        <v>857</v>
      </c>
      <c r="B777" t="s">
        <v>52</v>
      </c>
      <c r="C777" t="s">
        <v>830</v>
      </c>
      <c r="D777" t="s">
        <v>52</v>
      </c>
      <c r="E777" t="s">
        <v>78</v>
      </c>
      <c r="F777" t="s">
        <v>252</v>
      </c>
      <c r="G777">
        <v>6.1702636999999996</v>
      </c>
      <c r="H777">
        <v>-75.589518400000003</v>
      </c>
      <c r="J777">
        <v>11</v>
      </c>
      <c r="M777">
        <v>233</v>
      </c>
      <c r="N777">
        <v>63</v>
      </c>
      <c r="O777">
        <v>44</v>
      </c>
      <c r="P777">
        <v>44</v>
      </c>
      <c r="Q777">
        <v>26</v>
      </c>
      <c r="R777">
        <v>73</v>
      </c>
    </row>
    <row r="778" spans="1:18" x14ac:dyDescent="0.25">
      <c r="A778" t="s">
        <v>858</v>
      </c>
      <c r="B778" t="s">
        <v>52</v>
      </c>
      <c r="C778" t="s">
        <v>830</v>
      </c>
      <c r="D778" t="s">
        <v>52</v>
      </c>
      <c r="E778" t="s">
        <v>78</v>
      </c>
      <c r="F778" t="s">
        <v>252</v>
      </c>
      <c r="G778">
        <v>6.1702636999999996</v>
      </c>
      <c r="H778">
        <v>-75.589518400000003</v>
      </c>
      <c r="J778">
        <v>11</v>
      </c>
      <c r="M778">
        <v>232</v>
      </c>
      <c r="N778">
        <v>66</v>
      </c>
      <c r="O778">
        <v>42</v>
      </c>
      <c r="P778">
        <v>38</v>
      </c>
      <c r="Q778">
        <v>38</v>
      </c>
      <c r="R778">
        <v>53</v>
      </c>
    </row>
    <row r="779" spans="1:18" x14ac:dyDescent="0.25">
      <c r="A779" t="s">
        <v>859</v>
      </c>
      <c r="B779" t="s">
        <v>52</v>
      </c>
      <c r="C779" t="s">
        <v>830</v>
      </c>
      <c r="D779" t="s">
        <v>52</v>
      </c>
      <c r="E779" t="s">
        <v>78</v>
      </c>
      <c r="F779" t="s">
        <v>252</v>
      </c>
      <c r="G779">
        <v>6.1702636999999996</v>
      </c>
      <c r="H779">
        <v>-75.589518400000003</v>
      </c>
      <c r="J779">
        <v>11</v>
      </c>
      <c r="M779">
        <v>227</v>
      </c>
      <c r="N779">
        <v>66</v>
      </c>
      <c r="O779">
        <v>32</v>
      </c>
      <c r="P779">
        <v>58</v>
      </c>
      <c r="Q779">
        <v>21</v>
      </c>
      <c r="R779">
        <v>62</v>
      </c>
    </row>
    <row r="780" spans="1:18" x14ac:dyDescent="0.25">
      <c r="A780" t="s">
        <v>860</v>
      </c>
      <c r="B780" t="s">
        <v>52</v>
      </c>
      <c r="C780" t="s">
        <v>830</v>
      </c>
      <c r="D780" t="s">
        <v>52</v>
      </c>
      <c r="E780" t="s">
        <v>78</v>
      </c>
      <c r="F780" t="s">
        <v>252</v>
      </c>
      <c r="G780">
        <v>6.1702636999999996</v>
      </c>
      <c r="H780">
        <v>-75.589518400000003</v>
      </c>
      <c r="J780">
        <v>11</v>
      </c>
      <c r="M780">
        <v>227</v>
      </c>
      <c r="N780">
        <v>56</v>
      </c>
      <c r="O780">
        <v>38</v>
      </c>
      <c r="P780">
        <v>32</v>
      </c>
      <c r="Q780">
        <v>55</v>
      </c>
      <c r="R780">
        <v>45</v>
      </c>
    </row>
    <row r="781" spans="1:18" x14ac:dyDescent="0.25">
      <c r="A781" t="s">
        <v>861</v>
      </c>
      <c r="B781" t="s">
        <v>52</v>
      </c>
      <c r="C781" t="s">
        <v>830</v>
      </c>
      <c r="D781" t="s">
        <v>52</v>
      </c>
      <c r="E781" t="s">
        <v>78</v>
      </c>
      <c r="F781" t="s">
        <v>252</v>
      </c>
      <c r="G781">
        <v>6.1702636999999996</v>
      </c>
      <c r="H781">
        <v>-75.589518400000003</v>
      </c>
      <c r="J781">
        <v>11</v>
      </c>
      <c r="M781">
        <v>225</v>
      </c>
      <c r="N781">
        <v>59</v>
      </c>
      <c r="O781">
        <v>34</v>
      </c>
      <c r="P781">
        <v>36</v>
      </c>
      <c r="Q781">
        <v>43</v>
      </c>
      <c r="R781">
        <v>69</v>
      </c>
    </row>
    <row r="782" spans="1:18" x14ac:dyDescent="0.25">
      <c r="A782" t="s">
        <v>862</v>
      </c>
      <c r="B782" t="s">
        <v>52</v>
      </c>
      <c r="C782" t="s">
        <v>830</v>
      </c>
      <c r="D782" t="s">
        <v>52</v>
      </c>
      <c r="E782" t="s">
        <v>78</v>
      </c>
      <c r="F782" t="s">
        <v>252</v>
      </c>
      <c r="G782">
        <v>6.1702636999999996</v>
      </c>
      <c r="H782">
        <v>-75.589518400000003</v>
      </c>
      <c r="J782">
        <v>11</v>
      </c>
      <c r="M782">
        <v>224</v>
      </c>
      <c r="N782">
        <v>49</v>
      </c>
      <c r="O782">
        <v>34</v>
      </c>
      <c r="P782">
        <v>44</v>
      </c>
      <c r="Q782">
        <v>47</v>
      </c>
      <c r="R782">
        <v>64</v>
      </c>
    </row>
    <row r="783" spans="1:18" x14ac:dyDescent="0.25">
      <c r="A783" t="s">
        <v>863</v>
      </c>
      <c r="B783" t="s">
        <v>52</v>
      </c>
      <c r="C783" t="s">
        <v>830</v>
      </c>
      <c r="D783" t="s">
        <v>52</v>
      </c>
      <c r="E783" t="s">
        <v>78</v>
      </c>
      <c r="F783" t="s">
        <v>252</v>
      </c>
      <c r="G783">
        <v>6.1702636999999996</v>
      </c>
      <c r="H783">
        <v>-75.589518400000003</v>
      </c>
      <c r="J783">
        <v>11</v>
      </c>
      <c r="M783">
        <v>224</v>
      </c>
      <c r="N783">
        <v>63</v>
      </c>
      <c r="O783">
        <v>36</v>
      </c>
      <c r="P783">
        <v>34</v>
      </c>
      <c r="Q783">
        <v>36</v>
      </c>
      <c r="R783">
        <v>73</v>
      </c>
    </row>
    <row r="784" spans="1:18" x14ac:dyDescent="0.25">
      <c r="A784" t="s">
        <v>864</v>
      </c>
      <c r="B784" t="s">
        <v>52</v>
      </c>
      <c r="C784" t="s">
        <v>830</v>
      </c>
      <c r="D784" t="s">
        <v>52</v>
      </c>
      <c r="E784" t="s">
        <v>78</v>
      </c>
      <c r="F784" t="s">
        <v>252</v>
      </c>
      <c r="G784">
        <v>6.1702636999999996</v>
      </c>
      <c r="H784">
        <v>-75.589518400000003</v>
      </c>
      <c r="J784">
        <v>11</v>
      </c>
      <c r="M784">
        <v>223</v>
      </c>
      <c r="N784">
        <v>51</v>
      </c>
      <c r="O784">
        <v>32</v>
      </c>
      <c r="P784">
        <v>50</v>
      </c>
      <c r="Q784">
        <v>43</v>
      </c>
      <c r="R784">
        <v>51</v>
      </c>
    </row>
    <row r="785" spans="1:18" x14ac:dyDescent="0.25">
      <c r="A785" t="s">
        <v>865</v>
      </c>
      <c r="B785" t="s">
        <v>52</v>
      </c>
      <c r="C785" t="s">
        <v>830</v>
      </c>
      <c r="D785" t="s">
        <v>52</v>
      </c>
      <c r="E785" t="s">
        <v>78</v>
      </c>
      <c r="F785" t="s">
        <v>252</v>
      </c>
      <c r="G785">
        <v>6.1702636999999996</v>
      </c>
      <c r="H785">
        <v>-75.589518400000003</v>
      </c>
      <c r="J785">
        <v>11</v>
      </c>
      <c r="M785">
        <v>220</v>
      </c>
      <c r="N785">
        <v>44</v>
      </c>
      <c r="O785">
        <v>26</v>
      </c>
      <c r="P785">
        <v>50</v>
      </c>
      <c r="Q785">
        <v>52</v>
      </c>
      <c r="R785">
        <v>58</v>
      </c>
    </row>
    <row r="786" spans="1:18" x14ac:dyDescent="0.25">
      <c r="A786" t="s">
        <v>866</v>
      </c>
      <c r="B786" t="s">
        <v>52</v>
      </c>
      <c r="C786" t="s">
        <v>830</v>
      </c>
      <c r="D786" t="s">
        <v>52</v>
      </c>
      <c r="E786" t="s">
        <v>78</v>
      </c>
      <c r="F786" t="s">
        <v>252</v>
      </c>
      <c r="G786">
        <v>6.1702636999999996</v>
      </c>
      <c r="H786">
        <v>-75.589518400000003</v>
      </c>
      <c r="J786">
        <v>11</v>
      </c>
      <c r="M786">
        <v>217</v>
      </c>
      <c r="N786">
        <v>49</v>
      </c>
      <c r="O786">
        <v>40</v>
      </c>
      <c r="P786">
        <v>44</v>
      </c>
      <c r="Q786">
        <v>38</v>
      </c>
      <c r="R786">
        <v>51</v>
      </c>
    </row>
    <row r="787" spans="1:18" x14ac:dyDescent="0.25">
      <c r="A787" t="s">
        <v>867</v>
      </c>
      <c r="B787" t="s">
        <v>52</v>
      </c>
      <c r="C787" t="s">
        <v>830</v>
      </c>
      <c r="D787" t="s">
        <v>52</v>
      </c>
      <c r="E787" t="s">
        <v>78</v>
      </c>
      <c r="F787" t="s">
        <v>252</v>
      </c>
      <c r="G787">
        <v>6.1702636999999996</v>
      </c>
      <c r="H787">
        <v>-75.589518400000003</v>
      </c>
      <c r="J787">
        <v>11</v>
      </c>
      <c r="M787">
        <v>216</v>
      </c>
      <c r="N787">
        <v>44</v>
      </c>
      <c r="O787">
        <v>32</v>
      </c>
      <c r="P787">
        <v>32</v>
      </c>
      <c r="Q787">
        <v>52</v>
      </c>
      <c r="R787">
        <v>82</v>
      </c>
    </row>
    <row r="788" spans="1:18" x14ac:dyDescent="0.25">
      <c r="A788" t="s">
        <v>868</v>
      </c>
      <c r="B788" t="s">
        <v>52</v>
      </c>
      <c r="C788" t="s">
        <v>830</v>
      </c>
      <c r="D788" t="s">
        <v>52</v>
      </c>
      <c r="E788" t="s">
        <v>78</v>
      </c>
      <c r="F788" t="s">
        <v>252</v>
      </c>
      <c r="G788">
        <v>6.1702636999999996</v>
      </c>
      <c r="H788">
        <v>-75.589518400000003</v>
      </c>
      <c r="J788">
        <v>11</v>
      </c>
      <c r="M788">
        <v>216</v>
      </c>
      <c r="N788">
        <v>63</v>
      </c>
      <c r="O788">
        <v>36</v>
      </c>
      <c r="P788">
        <v>42</v>
      </c>
      <c r="Q788">
        <v>34</v>
      </c>
      <c r="R788">
        <v>33</v>
      </c>
    </row>
    <row r="789" spans="1:18" x14ac:dyDescent="0.25">
      <c r="A789" t="s">
        <v>869</v>
      </c>
      <c r="B789" t="s">
        <v>52</v>
      </c>
      <c r="C789" t="s">
        <v>830</v>
      </c>
      <c r="D789" t="s">
        <v>52</v>
      </c>
      <c r="E789" t="s">
        <v>78</v>
      </c>
      <c r="F789" t="s">
        <v>252</v>
      </c>
      <c r="G789">
        <v>6.1702636999999996</v>
      </c>
      <c r="H789">
        <v>-75.589518400000003</v>
      </c>
      <c r="J789">
        <v>11</v>
      </c>
      <c r="M789">
        <v>215</v>
      </c>
      <c r="N789">
        <v>54</v>
      </c>
      <c r="O789">
        <v>38</v>
      </c>
      <c r="P789">
        <v>48</v>
      </c>
      <c r="Q789">
        <v>33</v>
      </c>
      <c r="R789">
        <v>42</v>
      </c>
    </row>
    <row r="790" spans="1:18" x14ac:dyDescent="0.25">
      <c r="A790" t="s">
        <v>870</v>
      </c>
      <c r="B790" t="s">
        <v>52</v>
      </c>
      <c r="C790" t="s">
        <v>830</v>
      </c>
      <c r="D790" t="s">
        <v>52</v>
      </c>
      <c r="E790" t="s">
        <v>78</v>
      </c>
      <c r="F790" t="s">
        <v>252</v>
      </c>
      <c r="G790">
        <v>6.1702636999999996</v>
      </c>
      <c r="H790">
        <v>-75.589518400000003</v>
      </c>
      <c r="J790">
        <v>11</v>
      </c>
      <c r="M790">
        <v>215</v>
      </c>
      <c r="N790">
        <v>56</v>
      </c>
      <c r="O790">
        <v>38</v>
      </c>
      <c r="P790">
        <v>42</v>
      </c>
      <c r="Q790">
        <v>36</v>
      </c>
      <c r="R790">
        <v>42</v>
      </c>
    </row>
    <row r="791" spans="1:18" x14ac:dyDescent="0.25">
      <c r="A791" t="s">
        <v>871</v>
      </c>
      <c r="B791" t="s">
        <v>52</v>
      </c>
      <c r="C791" t="s">
        <v>830</v>
      </c>
      <c r="D791" t="s">
        <v>52</v>
      </c>
      <c r="E791" t="s">
        <v>78</v>
      </c>
      <c r="F791" t="s">
        <v>252</v>
      </c>
      <c r="G791">
        <v>6.1702636999999996</v>
      </c>
      <c r="H791">
        <v>-75.589518400000003</v>
      </c>
      <c r="J791">
        <v>11</v>
      </c>
      <c r="M791">
        <v>215</v>
      </c>
      <c r="N791">
        <v>56</v>
      </c>
      <c r="O791">
        <v>44</v>
      </c>
      <c r="P791">
        <v>44</v>
      </c>
      <c r="Q791">
        <v>31</v>
      </c>
      <c r="R791">
        <v>33</v>
      </c>
    </row>
    <row r="792" spans="1:18" x14ac:dyDescent="0.25">
      <c r="A792" t="s">
        <v>872</v>
      </c>
      <c r="B792" t="s">
        <v>52</v>
      </c>
      <c r="C792" t="s">
        <v>830</v>
      </c>
      <c r="D792" t="s">
        <v>52</v>
      </c>
      <c r="E792" t="s">
        <v>78</v>
      </c>
      <c r="F792" t="s">
        <v>252</v>
      </c>
      <c r="G792">
        <v>6.1702636999999996</v>
      </c>
      <c r="H792">
        <v>-75.589518400000003</v>
      </c>
      <c r="J792">
        <v>11</v>
      </c>
      <c r="M792">
        <v>213</v>
      </c>
      <c r="N792">
        <v>63</v>
      </c>
      <c r="O792">
        <v>34</v>
      </c>
      <c r="P792">
        <v>32</v>
      </c>
      <c r="Q792">
        <v>38</v>
      </c>
      <c r="R792">
        <v>53</v>
      </c>
    </row>
    <row r="793" spans="1:18" x14ac:dyDescent="0.25">
      <c r="A793" t="s">
        <v>873</v>
      </c>
      <c r="B793" t="s">
        <v>52</v>
      </c>
      <c r="C793" t="s">
        <v>830</v>
      </c>
      <c r="D793" t="s">
        <v>52</v>
      </c>
      <c r="E793" t="s">
        <v>78</v>
      </c>
      <c r="F793" t="s">
        <v>252</v>
      </c>
      <c r="G793">
        <v>6.1702636999999996</v>
      </c>
      <c r="H793">
        <v>-75.589518400000003</v>
      </c>
      <c r="J793">
        <v>11</v>
      </c>
      <c r="M793">
        <v>210</v>
      </c>
      <c r="N793">
        <v>44</v>
      </c>
      <c r="O793">
        <v>34</v>
      </c>
      <c r="P793">
        <v>48</v>
      </c>
      <c r="Q793">
        <v>43</v>
      </c>
      <c r="R793">
        <v>40</v>
      </c>
    </row>
    <row r="794" spans="1:18" x14ac:dyDescent="0.25">
      <c r="A794" t="s">
        <v>874</v>
      </c>
      <c r="B794" t="s">
        <v>52</v>
      </c>
      <c r="C794" t="s">
        <v>830</v>
      </c>
      <c r="D794" t="s">
        <v>52</v>
      </c>
      <c r="E794" t="s">
        <v>78</v>
      </c>
      <c r="F794" t="s">
        <v>252</v>
      </c>
      <c r="G794">
        <v>6.1702636999999996</v>
      </c>
      <c r="H794">
        <v>-75.589518400000003</v>
      </c>
      <c r="J794">
        <v>11</v>
      </c>
      <c r="M794">
        <v>210</v>
      </c>
      <c r="N794">
        <v>71</v>
      </c>
      <c r="O794">
        <v>22</v>
      </c>
      <c r="P794">
        <v>42</v>
      </c>
      <c r="Q794">
        <v>31</v>
      </c>
      <c r="R794">
        <v>49</v>
      </c>
    </row>
    <row r="795" spans="1:18" x14ac:dyDescent="0.25">
      <c r="A795" t="s">
        <v>875</v>
      </c>
      <c r="B795" t="s">
        <v>52</v>
      </c>
      <c r="C795" t="s">
        <v>830</v>
      </c>
      <c r="D795" t="s">
        <v>52</v>
      </c>
      <c r="E795" t="s">
        <v>78</v>
      </c>
      <c r="F795" t="s">
        <v>252</v>
      </c>
      <c r="G795">
        <v>6.1702636999999996</v>
      </c>
      <c r="H795">
        <v>-75.589518400000003</v>
      </c>
      <c r="J795">
        <v>11</v>
      </c>
      <c r="M795">
        <v>209</v>
      </c>
      <c r="N795">
        <v>41</v>
      </c>
      <c r="O795">
        <v>28</v>
      </c>
      <c r="P795">
        <v>38</v>
      </c>
      <c r="Q795">
        <v>55</v>
      </c>
      <c r="R795">
        <v>55</v>
      </c>
    </row>
    <row r="796" spans="1:18" x14ac:dyDescent="0.25">
      <c r="A796" t="s">
        <v>876</v>
      </c>
      <c r="B796" t="s">
        <v>52</v>
      </c>
      <c r="C796" t="s">
        <v>830</v>
      </c>
      <c r="D796" t="s">
        <v>52</v>
      </c>
      <c r="E796" t="s">
        <v>78</v>
      </c>
      <c r="F796" t="s">
        <v>252</v>
      </c>
      <c r="G796">
        <v>6.1702636999999996</v>
      </c>
      <c r="H796">
        <v>-75.589518400000003</v>
      </c>
      <c r="J796">
        <v>11</v>
      </c>
      <c r="M796">
        <v>208</v>
      </c>
      <c r="N796">
        <v>66</v>
      </c>
      <c r="O796">
        <v>28</v>
      </c>
      <c r="P796">
        <v>32</v>
      </c>
      <c r="Q796">
        <v>38</v>
      </c>
      <c r="R796">
        <v>49</v>
      </c>
    </row>
    <row r="797" spans="1:18" x14ac:dyDescent="0.25">
      <c r="A797" t="s">
        <v>877</v>
      </c>
      <c r="B797" t="s">
        <v>52</v>
      </c>
      <c r="C797" t="s">
        <v>830</v>
      </c>
      <c r="D797" t="s">
        <v>52</v>
      </c>
      <c r="E797" t="s">
        <v>78</v>
      </c>
      <c r="F797" t="s">
        <v>252</v>
      </c>
      <c r="G797">
        <v>6.1702636999999996</v>
      </c>
      <c r="H797">
        <v>-75.589518400000003</v>
      </c>
      <c r="J797">
        <v>11</v>
      </c>
      <c r="M797">
        <v>206</v>
      </c>
      <c r="N797">
        <v>63</v>
      </c>
      <c r="O797">
        <v>50</v>
      </c>
      <c r="P797">
        <v>18</v>
      </c>
      <c r="Q797">
        <v>24</v>
      </c>
      <c r="R797">
        <v>69</v>
      </c>
    </row>
    <row r="798" spans="1:18" x14ac:dyDescent="0.25">
      <c r="A798" t="s">
        <v>878</v>
      </c>
      <c r="B798" t="s">
        <v>52</v>
      </c>
      <c r="C798" t="s">
        <v>830</v>
      </c>
      <c r="D798" t="s">
        <v>52</v>
      </c>
      <c r="E798" t="s">
        <v>78</v>
      </c>
      <c r="F798" t="s">
        <v>252</v>
      </c>
      <c r="G798">
        <v>6.1702636999999996</v>
      </c>
      <c r="H798">
        <v>-75.589518400000003</v>
      </c>
      <c r="J798">
        <v>11</v>
      </c>
      <c r="M798">
        <v>206</v>
      </c>
      <c r="N798">
        <v>61</v>
      </c>
      <c r="O798">
        <v>28</v>
      </c>
      <c r="P798">
        <v>32</v>
      </c>
      <c r="Q798">
        <v>45</v>
      </c>
      <c r="R798">
        <v>38</v>
      </c>
    </row>
    <row r="799" spans="1:18" x14ac:dyDescent="0.25">
      <c r="A799" t="s">
        <v>879</v>
      </c>
      <c r="B799" t="s">
        <v>52</v>
      </c>
      <c r="C799" t="s">
        <v>830</v>
      </c>
      <c r="D799" t="s">
        <v>52</v>
      </c>
      <c r="E799" t="s">
        <v>78</v>
      </c>
      <c r="F799" t="s">
        <v>252</v>
      </c>
      <c r="G799">
        <v>6.1702636999999996</v>
      </c>
      <c r="H799">
        <v>-75.589518400000003</v>
      </c>
      <c r="J799">
        <v>11</v>
      </c>
      <c r="M799">
        <v>205</v>
      </c>
      <c r="N799">
        <v>54</v>
      </c>
      <c r="O799">
        <v>30</v>
      </c>
      <c r="P799">
        <v>28</v>
      </c>
      <c r="Q799">
        <v>41</v>
      </c>
      <c r="R799">
        <v>73</v>
      </c>
    </row>
    <row r="800" spans="1:18" x14ac:dyDescent="0.25">
      <c r="A800" t="s">
        <v>880</v>
      </c>
      <c r="B800" t="s">
        <v>52</v>
      </c>
      <c r="C800" t="s">
        <v>830</v>
      </c>
      <c r="D800" t="s">
        <v>52</v>
      </c>
      <c r="E800" t="s">
        <v>78</v>
      </c>
      <c r="F800" t="s">
        <v>252</v>
      </c>
      <c r="G800">
        <v>6.1702636999999996</v>
      </c>
      <c r="H800">
        <v>-75.589518400000003</v>
      </c>
      <c r="J800">
        <v>11</v>
      </c>
      <c r="M800">
        <v>202</v>
      </c>
      <c r="N800">
        <v>49</v>
      </c>
      <c r="O800">
        <v>38</v>
      </c>
      <c r="P800">
        <v>32</v>
      </c>
      <c r="Q800">
        <v>33</v>
      </c>
      <c r="R800">
        <v>71</v>
      </c>
    </row>
    <row r="801" spans="1:18" x14ac:dyDescent="0.25">
      <c r="A801" t="s">
        <v>881</v>
      </c>
      <c r="B801" t="s">
        <v>52</v>
      </c>
      <c r="C801" t="s">
        <v>830</v>
      </c>
      <c r="D801" t="s">
        <v>52</v>
      </c>
      <c r="E801" t="s">
        <v>78</v>
      </c>
      <c r="F801" t="s">
        <v>252</v>
      </c>
      <c r="G801">
        <v>6.1702636999999996</v>
      </c>
      <c r="H801">
        <v>-75.589518400000003</v>
      </c>
      <c r="J801">
        <v>11</v>
      </c>
      <c r="M801">
        <v>202</v>
      </c>
      <c r="N801">
        <v>59</v>
      </c>
      <c r="O801">
        <v>24</v>
      </c>
      <c r="P801">
        <v>46</v>
      </c>
      <c r="Q801">
        <v>31</v>
      </c>
      <c r="R801">
        <v>45</v>
      </c>
    </row>
    <row r="802" spans="1:18" x14ac:dyDescent="0.25">
      <c r="A802" t="s">
        <v>882</v>
      </c>
      <c r="B802" t="s">
        <v>52</v>
      </c>
      <c r="C802" t="s">
        <v>830</v>
      </c>
      <c r="D802" t="s">
        <v>52</v>
      </c>
      <c r="E802" t="s">
        <v>78</v>
      </c>
      <c r="F802" t="s">
        <v>252</v>
      </c>
      <c r="G802">
        <v>6.1702636999999996</v>
      </c>
      <c r="H802">
        <v>-75.589518400000003</v>
      </c>
      <c r="J802">
        <v>11</v>
      </c>
      <c r="M802">
        <v>200</v>
      </c>
      <c r="N802">
        <v>49</v>
      </c>
      <c r="O802">
        <v>26</v>
      </c>
      <c r="P802">
        <v>34</v>
      </c>
      <c r="Q802">
        <v>40</v>
      </c>
      <c r="R802">
        <v>75</v>
      </c>
    </row>
    <row r="803" spans="1:18" x14ac:dyDescent="0.25">
      <c r="A803" t="s">
        <v>883</v>
      </c>
      <c r="B803" t="s">
        <v>52</v>
      </c>
      <c r="C803" t="s">
        <v>830</v>
      </c>
      <c r="D803" t="s">
        <v>52</v>
      </c>
      <c r="E803" t="s">
        <v>78</v>
      </c>
      <c r="F803" t="s">
        <v>252</v>
      </c>
      <c r="G803">
        <v>6.1702636999999996</v>
      </c>
      <c r="H803">
        <v>-75.589518400000003</v>
      </c>
      <c r="J803">
        <v>11</v>
      </c>
      <c r="M803">
        <v>199</v>
      </c>
      <c r="N803">
        <v>63</v>
      </c>
      <c r="O803">
        <v>24</v>
      </c>
      <c r="P803">
        <v>34</v>
      </c>
      <c r="Q803">
        <v>38</v>
      </c>
      <c r="R803">
        <v>40</v>
      </c>
    </row>
    <row r="804" spans="1:18" x14ac:dyDescent="0.25">
      <c r="A804" t="s">
        <v>884</v>
      </c>
      <c r="B804" t="s">
        <v>52</v>
      </c>
      <c r="C804" t="s">
        <v>830</v>
      </c>
      <c r="D804" t="s">
        <v>52</v>
      </c>
      <c r="E804" t="s">
        <v>78</v>
      </c>
      <c r="F804" t="s">
        <v>252</v>
      </c>
      <c r="G804">
        <v>6.1702636999999996</v>
      </c>
      <c r="H804">
        <v>-75.589518400000003</v>
      </c>
      <c r="J804">
        <v>11</v>
      </c>
      <c r="M804">
        <v>198</v>
      </c>
      <c r="N804">
        <v>49</v>
      </c>
      <c r="O804">
        <v>30</v>
      </c>
      <c r="P804">
        <v>46</v>
      </c>
      <c r="Q804">
        <v>26</v>
      </c>
      <c r="R804">
        <v>62</v>
      </c>
    </row>
    <row r="805" spans="1:18" x14ac:dyDescent="0.25">
      <c r="A805" t="s">
        <v>885</v>
      </c>
      <c r="B805" t="s">
        <v>52</v>
      </c>
      <c r="C805" t="s">
        <v>830</v>
      </c>
      <c r="D805" t="s">
        <v>52</v>
      </c>
      <c r="E805" t="s">
        <v>78</v>
      </c>
      <c r="F805" t="s">
        <v>252</v>
      </c>
      <c r="G805">
        <v>6.1702636999999996</v>
      </c>
      <c r="H805">
        <v>-75.589518400000003</v>
      </c>
      <c r="J805">
        <v>11</v>
      </c>
      <c r="M805">
        <v>197</v>
      </c>
      <c r="N805">
        <v>41</v>
      </c>
      <c r="O805">
        <v>40</v>
      </c>
      <c r="P805">
        <v>46</v>
      </c>
      <c r="Q805">
        <v>29</v>
      </c>
      <c r="R805">
        <v>42</v>
      </c>
    </row>
    <row r="806" spans="1:18" x14ac:dyDescent="0.25">
      <c r="A806" t="s">
        <v>886</v>
      </c>
      <c r="B806" t="s">
        <v>52</v>
      </c>
      <c r="C806" t="s">
        <v>830</v>
      </c>
      <c r="D806" t="s">
        <v>52</v>
      </c>
      <c r="E806" t="s">
        <v>78</v>
      </c>
      <c r="F806" t="s">
        <v>252</v>
      </c>
      <c r="G806">
        <v>6.1702636999999996</v>
      </c>
      <c r="H806">
        <v>-75.589518400000003</v>
      </c>
      <c r="J806">
        <v>11</v>
      </c>
      <c r="M806">
        <v>192</v>
      </c>
      <c r="N806">
        <v>59</v>
      </c>
      <c r="O806">
        <v>28</v>
      </c>
      <c r="P806">
        <v>42</v>
      </c>
      <c r="Q806">
        <v>29</v>
      </c>
      <c r="R806">
        <v>25</v>
      </c>
    </row>
    <row r="807" spans="1:18" x14ac:dyDescent="0.25">
      <c r="A807" t="s">
        <v>887</v>
      </c>
      <c r="B807" t="s">
        <v>52</v>
      </c>
      <c r="C807" t="s">
        <v>830</v>
      </c>
      <c r="D807" t="s">
        <v>52</v>
      </c>
      <c r="E807" t="s">
        <v>78</v>
      </c>
      <c r="F807" t="s">
        <v>252</v>
      </c>
      <c r="G807">
        <v>6.1702636999999996</v>
      </c>
      <c r="H807">
        <v>-75.589518400000003</v>
      </c>
      <c r="J807">
        <v>11</v>
      </c>
      <c r="M807">
        <v>192</v>
      </c>
      <c r="N807">
        <v>39</v>
      </c>
      <c r="O807">
        <v>38</v>
      </c>
      <c r="P807">
        <v>34</v>
      </c>
      <c r="Q807">
        <v>33</v>
      </c>
      <c r="R807">
        <v>67</v>
      </c>
    </row>
    <row r="808" spans="1:18" x14ac:dyDescent="0.25">
      <c r="A808" t="s">
        <v>888</v>
      </c>
      <c r="B808" t="s">
        <v>52</v>
      </c>
      <c r="C808" t="s">
        <v>830</v>
      </c>
      <c r="D808" t="s">
        <v>52</v>
      </c>
      <c r="E808" t="s">
        <v>78</v>
      </c>
      <c r="F808" t="s">
        <v>252</v>
      </c>
      <c r="G808">
        <v>6.1702636999999996</v>
      </c>
      <c r="H808">
        <v>-75.589518400000003</v>
      </c>
      <c r="J808">
        <v>11</v>
      </c>
      <c r="M808">
        <v>191</v>
      </c>
      <c r="N808">
        <v>41</v>
      </c>
      <c r="O808">
        <v>28</v>
      </c>
      <c r="P808">
        <v>52</v>
      </c>
      <c r="Q808">
        <v>31</v>
      </c>
      <c r="R808">
        <v>40</v>
      </c>
    </row>
    <row r="809" spans="1:18" x14ac:dyDescent="0.25">
      <c r="A809" t="s">
        <v>889</v>
      </c>
      <c r="B809" t="s">
        <v>52</v>
      </c>
      <c r="C809" t="s">
        <v>830</v>
      </c>
      <c r="D809" t="s">
        <v>52</v>
      </c>
      <c r="E809" t="s">
        <v>78</v>
      </c>
      <c r="F809" t="s">
        <v>252</v>
      </c>
      <c r="G809">
        <v>6.1702636999999996</v>
      </c>
      <c r="H809">
        <v>-75.589518400000003</v>
      </c>
      <c r="J809">
        <v>11</v>
      </c>
      <c r="M809">
        <v>191</v>
      </c>
      <c r="N809">
        <v>44</v>
      </c>
      <c r="O809">
        <v>32</v>
      </c>
      <c r="P809">
        <v>40</v>
      </c>
      <c r="Q809">
        <v>34</v>
      </c>
      <c r="R809">
        <v>45</v>
      </c>
    </row>
    <row r="810" spans="1:18" x14ac:dyDescent="0.25">
      <c r="A810" t="s">
        <v>890</v>
      </c>
      <c r="B810" t="s">
        <v>52</v>
      </c>
      <c r="C810" t="s">
        <v>830</v>
      </c>
      <c r="D810" t="s">
        <v>52</v>
      </c>
      <c r="E810" t="s">
        <v>78</v>
      </c>
      <c r="F810" t="s">
        <v>252</v>
      </c>
      <c r="G810">
        <v>6.1702636999999996</v>
      </c>
      <c r="H810">
        <v>-75.589518400000003</v>
      </c>
      <c r="J810">
        <v>11</v>
      </c>
      <c r="M810">
        <v>189</v>
      </c>
      <c r="N810">
        <v>46</v>
      </c>
      <c r="O810">
        <v>30</v>
      </c>
      <c r="P810">
        <v>36</v>
      </c>
      <c r="Q810">
        <v>34</v>
      </c>
      <c r="R810">
        <v>51</v>
      </c>
    </row>
    <row r="811" spans="1:18" x14ac:dyDescent="0.25">
      <c r="A811" t="s">
        <v>891</v>
      </c>
      <c r="B811" t="s">
        <v>52</v>
      </c>
      <c r="C811" t="s">
        <v>830</v>
      </c>
      <c r="D811" t="s">
        <v>52</v>
      </c>
      <c r="E811" t="s">
        <v>78</v>
      </c>
      <c r="F811" t="s">
        <v>252</v>
      </c>
      <c r="G811">
        <v>6.1702636999999996</v>
      </c>
      <c r="H811">
        <v>-75.589518400000003</v>
      </c>
      <c r="J811">
        <v>11</v>
      </c>
      <c r="M811">
        <v>188</v>
      </c>
      <c r="N811">
        <v>41</v>
      </c>
      <c r="O811">
        <v>34</v>
      </c>
      <c r="P811">
        <v>38</v>
      </c>
      <c r="Q811">
        <v>36</v>
      </c>
      <c r="R811">
        <v>40</v>
      </c>
    </row>
    <row r="812" spans="1:18" x14ac:dyDescent="0.25">
      <c r="A812" t="s">
        <v>892</v>
      </c>
      <c r="B812" t="s">
        <v>52</v>
      </c>
      <c r="C812" t="s">
        <v>830</v>
      </c>
      <c r="D812" t="s">
        <v>52</v>
      </c>
      <c r="E812" t="s">
        <v>78</v>
      </c>
      <c r="F812" t="s">
        <v>252</v>
      </c>
      <c r="G812">
        <v>6.1702636999999996</v>
      </c>
      <c r="H812">
        <v>-75.589518400000003</v>
      </c>
      <c r="J812">
        <v>11</v>
      </c>
      <c r="M812">
        <v>187</v>
      </c>
      <c r="N812">
        <v>54</v>
      </c>
      <c r="O812">
        <v>28</v>
      </c>
      <c r="P812">
        <v>32</v>
      </c>
      <c r="Q812">
        <v>38</v>
      </c>
      <c r="R812">
        <v>31</v>
      </c>
    </row>
    <row r="813" spans="1:18" x14ac:dyDescent="0.25">
      <c r="A813" t="s">
        <v>893</v>
      </c>
      <c r="B813" t="s">
        <v>52</v>
      </c>
      <c r="C813" t="s">
        <v>830</v>
      </c>
      <c r="D813" t="s">
        <v>52</v>
      </c>
      <c r="E813" t="s">
        <v>78</v>
      </c>
      <c r="F813" t="s">
        <v>252</v>
      </c>
      <c r="G813">
        <v>6.1702636999999996</v>
      </c>
      <c r="H813">
        <v>-75.589518400000003</v>
      </c>
      <c r="J813">
        <v>11</v>
      </c>
      <c r="M813">
        <v>185</v>
      </c>
      <c r="N813">
        <v>61</v>
      </c>
      <c r="O813">
        <v>14</v>
      </c>
      <c r="P813">
        <v>30</v>
      </c>
      <c r="Q813">
        <v>45</v>
      </c>
      <c r="R813">
        <v>33</v>
      </c>
    </row>
    <row r="814" spans="1:18" x14ac:dyDescent="0.25">
      <c r="A814" t="s">
        <v>894</v>
      </c>
      <c r="B814" t="s">
        <v>52</v>
      </c>
      <c r="C814" t="s">
        <v>830</v>
      </c>
      <c r="D814" t="s">
        <v>52</v>
      </c>
      <c r="E814" t="s">
        <v>78</v>
      </c>
      <c r="F814" t="s">
        <v>252</v>
      </c>
      <c r="G814">
        <v>6.1702636999999996</v>
      </c>
      <c r="H814">
        <v>-75.589518400000003</v>
      </c>
      <c r="J814">
        <v>11</v>
      </c>
      <c r="M814">
        <v>184</v>
      </c>
      <c r="N814">
        <v>44</v>
      </c>
      <c r="O814">
        <v>28</v>
      </c>
      <c r="P814">
        <v>38</v>
      </c>
      <c r="Q814">
        <v>38</v>
      </c>
      <c r="R814">
        <v>35</v>
      </c>
    </row>
    <row r="815" spans="1:18" x14ac:dyDescent="0.25">
      <c r="A815" t="s">
        <v>895</v>
      </c>
      <c r="B815" t="s">
        <v>52</v>
      </c>
      <c r="C815" t="s">
        <v>830</v>
      </c>
      <c r="D815" t="s">
        <v>52</v>
      </c>
      <c r="E815" t="s">
        <v>78</v>
      </c>
      <c r="F815" t="s">
        <v>252</v>
      </c>
      <c r="G815">
        <v>6.1702636999999996</v>
      </c>
      <c r="H815">
        <v>-75.589518400000003</v>
      </c>
      <c r="J815">
        <v>11</v>
      </c>
      <c r="M815">
        <v>179</v>
      </c>
      <c r="N815">
        <v>54</v>
      </c>
      <c r="O815">
        <v>24</v>
      </c>
      <c r="P815">
        <v>28</v>
      </c>
      <c r="Q815">
        <v>36</v>
      </c>
      <c r="R815">
        <v>40</v>
      </c>
    </row>
    <row r="816" spans="1:18" x14ac:dyDescent="0.25">
      <c r="A816" t="s">
        <v>896</v>
      </c>
      <c r="B816" t="s">
        <v>52</v>
      </c>
      <c r="C816" t="s">
        <v>830</v>
      </c>
      <c r="D816" t="s">
        <v>52</v>
      </c>
      <c r="E816" t="s">
        <v>78</v>
      </c>
      <c r="F816" t="s">
        <v>252</v>
      </c>
      <c r="G816">
        <v>6.1702636999999996</v>
      </c>
      <c r="H816">
        <v>-75.589518400000003</v>
      </c>
      <c r="J816">
        <v>11</v>
      </c>
      <c r="M816">
        <v>179</v>
      </c>
      <c r="N816">
        <v>37</v>
      </c>
      <c r="O816">
        <v>32</v>
      </c>
      <c r="P816">
        <v>42</v>
      </c>
      <c r="Q816">
        <v>28</v>
      </c>
      <c r="R816">
        <v>51</v>
      </c>
    </row>
    <row r="817" spans="1:18" x14ac:dyDescent="0.25">
      <c r="A817" t="s">
        <v>897</v>
      </c>
      <c r="B817" t="s">
        <v>52</v>
      </c>
      <c r="C817" t="s">
        <v>830</v>
      </c>
      <c r="D817" t="s">
        <v>52</v>
      </c>
      <c r="E817" t="s">
        <v>78</v>
      </c>
      <c r="F817" t="s">
        <v>252</v>
      </c>
      <c r="G817">
        <v>6.1702636999999996</v>
      </c>
      <c r="H817">
        <v>-75.589518400000003</v>
      </c>
      <c r="J817">
        <v>11</v>
      </c>
      <c r="M817">
        <v>178</v>
      </c>
      <c r="N817">
        <v>41</v>
      </c>
      <c r="O817">
        <v>30</v>
      </c>
      <c r="P817">
        <v>38</v>
      </c>
      <c r="Q817">
        <v>33</v>
      </c>
      <c r="R817">
        <v>36</v>
      </c>
    </row>
    <row r="818" spans="1:18" x14ac:dyDescent="0.25">
      <c r="A818" t="s">
        <v>898</v>
      </c>
      <c r="B818" t="s">
        <v>52</v>
      </c>
      <c r="C818" t="s">
        <v>830</v>
      </c>
      <c r="D818" t="s">
        <v>52</v>
      </c>
      <c r="E818" t="s">
        <v>78</v>
      </c>
      <c r="F818" t="s">
        <v>252</v>
      </c>
      <c r="G818">
        <v>6.1702636999999996</v>
      </c>
      <c r="H818">
        <v>-75.589518400000003</v>
      </c>
      <c r="J818">
        <v>11</v>
      </c>
      <c r="M818">
        <v>177</v>
      </c>
      <c r="N818">
        <v>54</v>
      </c>
      <c r="O818">
        <v>24</v>
      </c>
      <c r="P818">
        <v>34</v>
      </c>
      <c r="Q818">
        <v>22</v>
      </c>
      <c r="R818">
        <v>58</v>
      </c>
    </row>
    <row r="819" spans="1:18" x14ac:dyDescent="0.25">
      <c r="A819" t="s">
        <v>899</v>
      </c>
      <c r="B819" t="s">
        <v>52</v>
      </c>
      <c r="C819" t="s">
        <v>830</v>
      </c>
      <c r="D819" t="s">
        <v>52</v>
      </c>
      <c r="E819" t="s">
        <v>78</v>
      </c>
      <c r="F819" t="s">
        <v>252</v>
      </c>
      <c r="G819">
        <v>6.1702636999999996</v>
      </c>
      <c r="H819">
        <v>-75.589518400000003</v>
      </c>
      <c r="J819">
        <v>11</v>
      </c>
      <c r="M819">
        <v>177</v>
      </c>
      <c r="N819">
        <v>54</v>
      </c>
      <c r="O819">
        <v>24</v>
      </c>
      <c r="P819">
        <v>30</v>
      </c>
      <c r="Q819">
        <v>33</v>
      </c>
      <c r="R819">
        <v>38</v>
      </c>
    </row>
    <row r="820" spans="1:18" x14ac:dyDescent="0.25">
      <c r="A820" t="s">
        <v>900</v>
      </c>
      <c r="B820" t="s">
        <v>52</v>
      </c>
      <c r="C820" t="s">
        <v>830</v>
      </c>
      <c r="D820" t="s">
        <v>52</v>
      </c>
      <c r="E820" t="s">
        <v>78</v>
      </c>
      <c r="F820" t="s">
        <v>252</v>
      </c>
      <c r="G820">
        <v>6.1702636999999996</v>
      </c>
      <c r="H820">
        <v>-75.589518400000003</v>
      </c>
      <c r="J820">
        <v>11</v>
      </c>
      <c r="M820">
        <v>177</v>
      </c>
      <c r="N820">
        <v>41</v>
      </c>
      <c r="O820">
        <v>28</v>
      </c>
      <c r="P820">
        <v>40</v>
      </c>
      <c r="Q820">
        <v>22</v>
      </c>
      <c r="R820">
        <v>64</v>
      </c>
    </row>
    <row r="821" spans="1:18" x14ac:dyDescent="0.25">
      <c r="A821" t="s">
        <v>901</v>
      </c>
      <c r="B821" t="s">
        <v>52</v>
      </c>
      <c r="C821" t="s">
        <v>830</v>
      </c>
      <c r="D821" t="s">
        <v>52</v>
      </c>
      <c r="E821" t="s">
        <v>78</v>
      </c>
      <c r="F821" t="s">
        <v>252</v>
      </c>
      <c r="G821">
        <v>6.1702636999999996</v>
      </c>
      <c r="H821">
        <v>-75.589518400000003</v>
      </c>
      <c r="J821">
        <v>11</v>
      </c>
      <c r="M821">
        <v>176</v>
      </c>
      <c r="N821">
        <v>46</v>
      </c>
      <c r="O821">
        <v>16</v>
      </c>
      <c r="P821">
        <v>42</v>
      </c>
      <c r="Q821">
        <v>33</v>
      </c>
      <c r="R821">
        <v>47</v>
      </c>
    </row>
    <row r="822" spans="1:18" x14ac:dyDescent="0.25">
      <c r="A822" t="s">
        <v>902</v>
      </c>
      <c r="B822" t="s">
        <v>52</v>
      </c>
      <c r="C822" t="s">
        <v>830</v>
      </c>
      <c r="D822" t="s">
        <v>52</v>
      </c>
      <c r="E822" t="s">
        <v>78</v>
      </c>
      <c r="F822" t="s">
        <v>252</v>
      </c>
      <c r="G822">
        <v>6.1702636999999996</v>
      </c>
      <c r="H822">
        <v>-75.589518400000003</v>
      </c>
      <c r="J822">
        <v>11</v>
      </c>
      <c r="M822">
        <v>176</v>
      </c>
      <c r="N822">
        <v>37</v>
      </c>
      <c r="O822">
        <v>36</v>
      </c>
      <c r="P822">
        <v>40</v>
      </c>
      <c r="Q822">
        <v>24</v>
      </c>
      <c r="R822">
        <v>47</v>
      </c>
    </row>
    <row r="823" spans="1:18" x14ac:dyDescent="0.25">
      <c r="A823" t="s">
        <v>903</v>
      </c>
      <c r="B823" t="s">
        <v>52</v>
      </c>
      <c r="C823" t="s">
        <v>830</v>
      </c>
      <c r="D823" t="s">
        <v>52</v>
      </c>
      <c r="E823" t="s">
        <v>78</v>
      </c>
      <c r="F823" t="s">
        <v>252</v>
      </c>
      <c r="G823">
        <v>6.1702636999999996</v>
      </c>
      <c r="H823">
        <v>-75.589518400000003</v>
      </c>
      <c r="J823">
        <v>11</v>
      </c>
      <c r="M823">
        <v>175</v>
      </c>
      <c r="N823">
        <v>41</v>
      </c>
      <c r="O823">
        <v>12</v>
      </c>
      <c r="P823">
        <v>46</v>
      </c>
      <c r="Q823">
        <v>28</v>
      </c>
      <c r="R823">
        <v>75</v>
      </c>
    </row>
    <row r="824" spans="1:18" x14ac:dyDescent="0.25">
      <c r="A824" t="s">
        <v>904</v>
      </c>
      <c r="B824" t="s">
        <v>52</v>
      </c>
      <c r="C824" t="s">
        <v>830</v>
      </c>
      <c r="D824" t="s">
        <v>52</v>
      </c>
      <c r="E824" t="s">
        <v>78</v>
      </c>
      <c r="F824" t="s">
        <v>252</v>
      </c>
      <c r="G824">
        <v>6.1702636999999996</v>
      </c>
      <c r="H824">
        <v>-75.589518400000003</v>
      </c>
      <c r="J824">
        <v>11</v>
      </c>
      <c r="M824">
        <v>175</v>
      </c>
      <c r="N824">
        <v>49</v>
      </c>
      <c r="O824">
        <v>30</v>
      </c>
      <c r="P824">
        <v>28</v>
      </c>
      <c r="Q824">
        <v>33</v>
      </c>
      <c r="R824">
        <v>36</v>
      </c>
    </row>
    <row r="825" spans="1:18" x14ac:dyDescent="0.25">
      <c r="A825" t="s">
        <v>905</v>
      </c>
      <c r="B825" t="s">
        <v>52</v>
      </c>
      <c r="C825" t="s">
        <v>830</v>
      </c>
      <c r="D825" t="s">
        <v>52</v>
      </c>
      <c r="E825" t="s">
        <v>78</v>
      </c>
      <c r="F825" t="s">
        <v>252</v>
      </c>
      <c r="G825">
        <v>6.1702636999999996</v>
      </c>
      <c r="H825">
        <v>-75.589518400000003</v>
      </c>
      <c r="J825">
        <v>11</v>
      </c>
      <c r="M825">
        <v>173</v>
      </c>
      <c r="N825">
        <v>54</v>
      </c>
      <c r="O825">
        <v>32</v>
      </c>
      <c r="P825">
        <v>24</v>
      </c>
      <c r="Q825">
        <v>22</v>
      </c>
      <c r="R825">
        <v>55</v>
      </c>
    </row>
    <row r="826" spans="1:18" x14ac:dyDescent="0.25">
      <c r="A826" t="s">
        <v>906</v>
      </c>
      <c r="B826" t="s">
        <v>52</v>
      </c>
      <c r="C826" t="s">
        <v>830</v>
      </c>
      <c r="D826" t="s">
        <v>52</v>
      </c>
      <c r="E826" t="s">
        <v>78</v>
      </c>
      <c r="F826" t="s">
        <v>252</v>
      </c>
      <c r="G826">
        <v>6.1702636999999996</v>
      </c>
      <c r="H826">
        <v>-75.589518400000003</v>
      </c>
      <c r="J826">
        <v>11</v>
      </c>
      <c r="M826">
        <v>168</v>
      </c>
      <c r="N826">
        <v>24</v>
      </c>
      <c r="O826">
        <v>30</v>
      </c>
      <c r="P826">
        <v>50</v>
      </c>
      <c r="Q826">
        <v>29</v>
      </c>
      <c r="R826">
        <v>35</v>
      </c>
    </row>
    <row r="827" spans="1:18" x14ac:dyDescent="0.25">
      <c r="A827" t="s">
        <v>907</v>
      </c>
      <c r="B827" t="s">
        <v>52</v>
      </c>
      <c r="C827" t="s">
        <v>830</v>
      </c>
      <c r="D827" t="s">
        <v>52</v>
      </c>
      <c r="E827" t="s">
        <v>78</v>
      </c>
      <c r="F827" t="s">
        <v>252</v>
      </c>
      <c r="G827">
        <v>6.1702636999999996</v>
      </c>
      <c r="H827">
        <v>-75.589518400000003</v>
      </c>
      <c r="J827">
        <v>11</v>
      </c>
      <c r="M827">
        <v>163</v>
      </c>
      <c r="N827">
        <v>54</v>
      </c>
      <c r="O827">
        <v>28</v>
      </c>
      <c r="P827">
        <v>14</v>
      </c>
      <c r="Q827">
        <v>34</v>
      </c>
      <c r="R827">
        <v>33</v>
      </c>
    </row>
    <row r="828" spans="1:18" x14ac:dyDescent="0.25">
      <c r="A828" t="s">
        <v>908</v>
      </c>
      <c r="B828" t="s">
        <v>52</v>
      </c>
      <c r="C828" t="s">
        <v>830</v>
      </c>
      <c r="D828" t="s">
        <v>52</v>
      </c>
      <c r="E828" t="s">
        <v>78</v>
      </c>
      <c r="F828" t="s">
        <v>252</v>
      </c>
      <c r="G828">
        <v>6.1702636999999996</v>
      </c>
      <c r="H828">
        <v>-75.589518400000003</v>
      </c>
      <c r="J828">
        <v>11</v>
      </c>
      <c r="M828">
        <v>161</v>
      </c>
      <c r="N828">
        <v>39</v>
      </c>
      <c r="O828">
        <v>22</v>
      </c>
      <c r="P828">
        <v>38</v>
      </c>
      <c r="Q828">
        <v>29</v>
      </c>
      <c r="R828">
        <v>33</v>
      </c>
    </row>
    <row r="829" spans="1:18" x14ac:dyDescent="0.25">
      <c r="A829" t="s">
        <v>909</v>
      </c>
      <c r="B829" t="s">
        <v>52</v>
      </c>
      <c r="C829" t="s">
        <v>830</v>
      </c>
      <c r="D829" t="s">
        <v>52</v>
      </c>
      <c r="E829" t="s">
        <v>78</v>
      </c>
      <c r="F829" t="s">
        <v>252</v>
      </c>
      <c r="G829">
        <v>6.1702636999999996</v>
      </c>
      <c r="H829">
        <v>-75.589518400000003</v>
      </c>
      <c r="J829">
        <v>11</v>
      </c>
      <c r="M829">
        <v>160</v>
      </c>
      <c r="N829">
        <v>46</v>
      </c>
      <c r="O829">
        <v>34</v>
      </c>
      <c r="P829">
        <v>20</v>
      </c>
      <c r="Q829">
        <v>17</v>
      </c>
      <c r="R829">
        <v>64</v>
      </c>
    </row>
    <row r="830" spans="1:18" x14ac:dyDescent="0.25">
      <c r="A830" t="s">
        <v>910</v>
      </c>
      <c r="B830" t="s">
        <v>52</v>
      </c>
      <c r="C830" t="s">
        <v>830</v>
      </c>
      <c r="D830" t="s">
        <v>52</v>
      </c>
      <c r="E830" t="s">
        <v>78</v>
      </c>
      <c r="F830" t="s">
        <v>252</v>
      </c>
      <c r="G830">
        <v>6.1702636999999996</v>
      </c>
      <c r="H830">
        <v>-75.589518400000003</v>
      </c>
      <c r="J830">
        <v>11</v>
      </c>
      <c r="M830">
        <v>158</v>
      </c>
      <c r="N830">
        <v>46</v>
      </c>
      <c r="O830">
        <v>28</v>
      </c>
      <c r="P830">
        <v>24</v>
      </c>
      <c r="Q830">
        <v>26</v>
      </c>
      <c r="R830">
        <v>38</v>
      </c>
    </row>
    <row r="831" spans="1:18" x14ac:dyDescent="0.25">
      <c r="A831" t="s">
        <v>911</v>
      </c>
      <c r="B831" t="s">
        <v>52</v>
      </c>
      <c r="C831" t="s">
        <v>830</v>
      </c>
      <c r="D831" t="s">
        <v>52</v>
      </c>
      <c r="E831" t="s">
        <v>78</v>
      </c>
      <c r="F831" t="s">
        <v>252</v>
      </c>
      <c r="G831">
        <v>6.1702636999999996</v>
      </c>
      <c r="H831">
        <v>-75.589518400000003</v>
      </c>
      <c r="J831">
        <v>11</v>
      </c>
      <c r="M831">
        <v>157</v>
      </c>
      <c r="N831">
        <v>29</v>
      </c>
      <c r="O831">
        <v>28</v>
      </c>
      <c r="P831">
        <v>42</v>
      </c>
      <c r="Q831">
        <v>24</v>
      </c>
      <c r="R831">
        <v>38</v>
      </c>
    </row>
    <row r="832" spans="1:18" x14ac:dyDescent="0.25">
      <c r="A832" t="s">
        <v>912</v>
      </c>
      <c r="B832" t="s">
        <v>52</v>
      </c>
      <c r="C832" t="s">
        <v>830</v>
      </c>
      <c r="D832" t="s">
        <v>52</v>
      </c>
      <c r="E832" t="s">
        <v>78</v>
      </c>
      <c r="F832" t="s">
        <v>252</v>
      </c>
      <c r="G832">
        <v>6.1702636999999996</v>
      </c>
      <c r="H832">
        <v>-75.589518400000003</v>
      </c>
      <c r="J832">
        <v>11</v>
      </c>
      <c r="M832">
        <v>155</v>
      </c>
      <c r="N832">
        <v>41</v>
      </c>
      <c r="O832">
        <v>32</v>
      </c>
      <c r="P832">
        <v>26</v>
      </c>
      <c r="Q832">
        <v>22</v>
      </c>
      <c r="R832">
        <v>38</v>
      </c>
    </row>
    <row r="833" spans="1:18" x14ac:dyDescent="0.25">
      <c r="A833" t="s">
        <v>913</v>
      </c>
      <c r="B833" t="s">
        <v>52</v>
      </c>
      <c r="C833" t="s">
        <v>830</v>
      </c>
      <c r="D833" t="s">
        <v>52</v>
      </c>
      <c r="E833" t="s">
        <v>78</v>
      </c>
      <c r="F833" t="s">
        <v>252</v>
      </c>
      <c r="G833">
        <v>6.1702636999999996</v>
      </c>
      <c r="H833">
        <v>-75.589518400000003</v>
      </c>
      <c r="J833">
        <v>11</v>
      </c>
      <c r="M833">
        <v>154</v>
      </c>
      <c r="N833">
        <v>41</v>
      </c>
      <c r="O833">
        <v>28</v>
      </c>
      <c r="P833">
        <v>20</v>
      </c>
      <c r="Q833">
        <v>31</v>
      </c>
      <c r="R833">
        <v>40</v>
      </c>
    </row>
    <row r="834" spans="1:18" x14ac:dyDescent="0.25">
      <c r="A834" t="s">
        <v>914</v>
      </c>
      <c r="B834" t="s">
        <v>52</v>
      </c>
      <c r="C834" t="s">
        <v>830</v>
      </c>
      <c r="D834" t="s">
        <v>52</v>
      </c>
      <c r="E834" t="s">
        <v>78</v>
      </c>
      <c r="F834" t="s">
        <v>252</v>
      </c>
      <c r="G834">
        <v>6.1702636999999996</v>
      </c>
      <c r="H834">
        <v>-75.589518400000003</v>
      </c>
      <c r="J834">
        <v>11</v>
      </c>
      <c r="M834">
        <v>152</v>
      </c>
      <c r="N834">
        <v>32</v>
      </c>
      <c r="O834">
        <v>24</v>
      </c>
      <c r="P834">
        <v>30</v>
      </c>
      <c r="Q834">
        <v>29</v>
      </c>
      <c r="R834">
        <v>49</v>
      </c>
    </row>
    <row r="835" spans="1:18" x14ac:dyDescent="0.25">
      <c r="A835" t="s">
        <v>915</v>
      </c>
      <c r="B835" t="s">
        <v>52</v>
      </c>
      <c r="C835" t="s">
        <v>830</v>
      </c>
      <c r="D835" t="s">
        <v>52</v>
      </c>
      <c r="E835" t="s">
        <v>78</v>
      </c>
      <c r="F835" t="s">
        <v>252</v>
      </c>
      <c r="G835">
        <v>6.1702636999999996</v>
      </c>
      <c r="H835">
        <v>-75.589518400000003</v>
      </c>
      <c r="J835">
        <v>11</v>
      </c>
      <c r="M835">
        <v>150</v>
      </c>
      <c r="N835">
        <v>32</v>
      </c>
      <c r="O835">
        <v>28</v>
      </c>
      <c r="P835">
        <v>26</v>
      </c>
      <c r="Q835">
        <v>31</v>
      </c>
      <c r="R835">
        <v>40</v>
      </c>
    </row>
    <row r="836" spans="1:18" x14ac:dyDescent="0.25">
      <c r="A836" t="s">
        <v>916</v>
      </c>
      <c r="B836" t="s">
        <v>52</v>
      </c>
      <c r="C836" t="s">
        <v>830</v>
      </c>
      <c r="D836" t="s">
        <v>52</v>
      </c>
      <c r="E836" t="s">
        <v>78</v>
      </c>
      <c r="F836" t="s">
        <v>252</v>
      </c>
      <c r="G836">
        <v>6.1702636999999996</v>
      </c>
      <c r="H836">
        <v>-75.589518400000003</v>
      </c>
      <c r="J836">
        <v>11</v>
      </c>
      <c r="M836">
        <v>138</v>
      </c>
      <c r="N836">
        <v>17</v>
      </c>
      <c r="O836">
        <v>28</v>
      </c>
      <c r="P836">
        <v>26</v>
      </c>
      <c r="Q836">
        <v>36</v>
      </c>
      <c r="R836">
        <v>38</v>
      </c>
    </row>
    <row r="837" spans="1:18" x14ac:dyDescent="0.25">
      <c r="A837" t="s">
        <v>917</v>
      </c>
      <c r="B837" t="s">
        <v>52</v>
      </c>
      <c r="C837" t="s">
        <v>830</v>
      </c>
      <c r="D837" t="s">
        <v>52</v>
      </c>
      <c r="E837" t="s">
        <v>78</v>
      </c>
      <c r="F837" t="s">
        <v>252</v>
      </c>
      <c r="G837">
        <v>6.1702636999999996</v>
      </c>
      <c r="H837">
        <v>-75.589518400000003</v>
      </c>
      <c r="J837">
        <v>11</v>
      </c>
      <c r="M837">
        <v>137</v>
      </c>
      <c r="N837">
        <v>27</v>
      </c>
      <c r="O837">
        <v>32</v>
      </c>
      <c r="P837">
        <v>24</v>
      </c>
      <c r="Q837">
        <v>24</v>
      </c>
      <c r="R837">
        <v>36</v>
      </c>
    </row>
    <row r="838" spans="1:18" x14ac:dyDescent="0.25">
      <c r="A838" t="s">
        <v>918</v>
      </c>
      <c r="B838" t="s">
        <v>52</v>
      </c>
      <c r="C838" t="s">
        <v>830</v>
      </c>
      <c r="D838" t="s">
        <v>52</v>
      </c>
      <c r="E838" t="s">
        <v>78</v>
      </c>
      <c r="F838" t="s">
        <v>252</v>
      </c>
      <c r="G838">
        <v>6.1702636999999996</v>
      </c>
      <c r="H838">
        <v>-75.589518400000003</v>
      </c>
      <c r="J838">
        <v>11</v>
      </c>
      <c r="M838">
        <v>136</v>
      </c>
      <c r="N838">
        <v>27</v>
      </c>
      <c r="O838">
        <v>28</v>
      </c>
      <c r="P838">
        <v>20</v>
      </c>
      <c r="Q838">
        <v>28</v>
      </c>
      <c r="R838">
        <v>45</v>
      </c>
    </row>
    <row r="839" spans="1:18" x14ac:dyDescent="0.25">
      <c r="A839" t="s">
        <v>919</v>
      </c>
      <c r="B839" t="s">
        <v>52</v>
      </c>
      <c r="C839" t="s">
        <v>830</v>
      </c>
      <c r="D839" t="s">
        <v>52</v>
      </c>
      <c r="E839" t="s">
        <v>78</v>
      </c>
      <c r="F839" t="s">
        <v>252</v>
      </c>
      <c r="G839">
        <v>6.1702636999999996</v>
      </c>
      <c r="H839">
        <v>-75.589518400000003</v>
      </c>
      <c r="J839">
        <v>11</v>
      </c>
      <c r="M839">
        <v>134</v>
      </c>
      <c r="N839">
        <v>34</v>
      </c>
      <c r="O839">
        <v>18</v>
      </c>
      <c r="P839">
        <v>18</v>
      </c>
      <c r="Q839">
        <v>31</v>
      </c>
      <c r="R839">
        <v>44</v>
      </c>
    </row>
    <row r="840" spans="1:18" x14ac:dyDescent="0.25">
      <c r="A840" t="s">
        <v>920</v>
      </c>
      <c r="B840" t="s">
        <v>52</v>
      </c>
      <c r="C840" t="s">
        <v>830</v>
      </c>
      <c r="D840" t="s">
        <v>52</v>
      </c>
      <c r="E840" t="s">
        <v>78</v>
      </c>
      <c r="F840" t="s">
        <v>252</v>
      </c>
      <c r="G840">
        <v>6.1702636999999996</v>
      </c>
      <c r="H840">
        <v>-75.589518400000003</v>
      </c>
      <c r="J840">
        <v>11</v>
      </c>
      <c r="M840">
        <v>133</v>
      </c>
      <c r="N840">
        <v>24</v>
      </c>
      <c r="O840">
        <v>30</v>
      </c>
      <c r="P840">
        <v>26</v>
      </c>
      <c r="Q840">
        <v>22</v>
      </c>
      <c r="R840">
        <v>38</v>
      </c>
    </row>
    <row r="841" spans="1:18" x14ac:dyDescent="0.25">
      <c r="A841" t="s">
        <v>921</v>
      </c>
      <c r="B841" t="s">
        <v>52</v>
      </c>
      <c r="C841" t="s">
        <v>830</v>
      </c>
      <c r="D841" t="s">
        <v>52</v>
      </c>
      <c r="E841" t="s">
        <v>78</v>
      </c>
      <c r="F841" t="s">
        <v>252</v>
      </c>
      <c r="G841">
        <v>6.1702636999999996</v>
      </c>
      <c r="H841">
        <v>-75.589518400000003</v>
      </c>
      <c r="J841">
        <v>11</v>
      </c>
      <c r="M841">
        <v>128</v>
      </c>
      <c r="N841">
        <v>24</v>
      </c>
      <c r="O841">
        <v>28</v>
      </c>
      <c r="P841">
        <v>22</v>
      </c>
      <c r="Q841">
        <v>22</v>
      </c>
      <c r="R841">
        <v>42</v>
      </c>
    </row>
    <row r="842" spans="1:18" x14ac:dyDescent="0.25">
      <c r="A842" t="s">
        <v>922</v>
      </c>
      <c r="B842" t="s">
        <v>52</v>
      </c>
      <c r="C842" t="s">
        <v>830</v>
      </c>
      <c r="D842" t="s">
        <v>52</v>
      </c>
      <c r="E842" t="s">
        <v>78</v>
      </c>
      <c r="F842" t="s">
        <v>252</v>
      </c>
      <c r="G842">
        <v>6.1702636999999996</v>
      </c>
      <c r="H842">
        <v>-75.589518400000003</v>
      </c>
      <c r="J842">
        <v>11</v>
      </c>
      <c r="M842">
        <v>126</v>
      </c>
      <c r="N842">
        <v>17</v>
      </c>
      <c r="O842">
        <v>28</v>
      </c>
      <c r="P842">
        <v>26</v>
      </c>
      <c r="Q842">
        <v>28</v>
      </c>
      <c r="R842">
        <v>31</v>
      </c>
    </row>
    <row r="843" spans="1:18" x14ac:dyDescent="0.25">
      <c r="A843" t="s">
        <v>923</v>
      </c>
      <c r="B843" t="s">
        <v>52</v>
      </c>
      <c r="C843" t="s">
        <v>830</v>
      </c>
      <c r="D843" t="s">
        <v>52</v>
      </c>
      <c r="E843" t="s">
        <v>78</v>
      </c>
      <c r="F843" t="s">
        <v>252</v>
      </c>
      <c r="G843">
        <v>6.1702636999999996</v>
      </c>
      <c r="H843">
        <v>-75.589518400000003</v>
      </c>
      <c r="J843">
        <v>11</v>
      </c>
      <c r="M843">
        <v>122</v>
      </c>
      <c r="N843">
        <v>51</v>
      </c>
      <c r="O843">
        <v>14</v>
      </c>
      <c r="P843">
        <v>20</v>
      </c>
      <c r="Q843">
        <v>21</v>
      </c>
      <c r="R843">
        <v>0</v>
      </c>
    </row>
    <row r="844" spans="1:18" x14ac:dyDescent="0.25">
      <c r="A844" t="s">
        <v>924</v>
      </c>
      <c r="B844" t="s">
        <v>52</v>
      </c>
      <c r="C844" t="s">
        <v>830</v>
      </c>
      <c r="D844" t="s">
        <v>52</v>
      </c>
      <c r="E844" t="s">
        <v>78</v>
      </c>
      <c r="F844" t="s">
        <v>252</v>
      </c>
      <c r="G844">
        <v>6.1702636999999996</v>
      </c>
      <c r="H844">
        <v>-75.589518400000003</v>
      </c>
      <c r="J844">
        <v>11</v>
      </c>
      <c r="M844">
        <v>118</v>
      </c>
      <c r="N844">
        <v>17</v>
      </c>
      <c r="O844">
        <v>26</v>
      </c>
      <c r="P844">
        <v>24</v>
      </c>
      <c r="Q844">
        <v>24</v>
      </c>
      <c r="R844">
        <v>33</v>
      </c>
    </row>
    <row r="845" spans="1:18" x14ac:dyDescent="0.25">
      <c r="A845" t="s">
        <v>925</v>
      </c>
      <c r="B845" t="s">
        <v>52</v>
      </c>
      <c r="C845" t="s">
        <v>830</v>
      </c>
      <c r="D845" t="s">
        <v>52</v>
      </c>
      <c r="E845" t="s">
        <v>78</v>
      </c>
      <c r="F845" t="s">
        <v>252</v>
      </c>
      <c r="G845">
        <v>6.1702636999999996</v>
      </c>
      <c r="H845">
        <v>-75.589518400000003</v>
      </c>
      <c r="J845">
        <v>11</v>
      </c>
      <c r="M845">
        <v>117</v>
      </c>
      <c r="N845">
        <v>15</v>
      </c>
      <c r="O845">
        <v>20</v>
      </c>
      <c r="P845">
        <v>26</v>
      </c>
      <c r="Q845">
        <v>29</v>
      </c>
      <c r="R845">
        <v>35</v>
      </c>
    </row>
    <row r="846" spans="1:18" x14ac:dyDescent="0.25">
      <c r="A846" t="s">
        <v>926</v>
      </c>
      <c r="B846" t="s">
        <v>52</v>
      </c>
      <c r="C846" t="s">
        <v>830</v>
      </c>
      <c r="D846" t="s">
        <v>52</v>
      </c>
      <c r="E846" t="s">
        <v>78</v>
      </c>
      <c r="F846" t="s">
        <v>252</v>
      </c>
      <c r="G846">
        <v>6.1702636999999996</v>
      </c>
      <c r="H846">
        <v>-75.589518400000003</v>
      </c>
      <c r="J846">
        <v>11</v>
      </c>
      <c r="M846">
        <v>115</v>
      </c>
      <c r="N846">
        <v>37</v>
      </c>
      <c r="O846">
        <v>18</v>
      </c>
      <c r="P846">
        <v>14</v>
      </c>
      <c r="Q846">
        <v>31</v>
      </c>
      <c r="R846">
        <v>0</v>
      </c>
    </row>
    <row r="847" spans="1:18" x14ac:dyDescent="0.25">
      <c r="A847" t="s">
        <v>927</v>
      </c>
      <c r="B847" t="s">
        <v>52</v>
      </c>
      <c r="C847" t="s">
        <v>830</v>
      </c>
      <c r="D847" t="s">
        <v>52</v>
      </c>
      <c r="E847" t="s">
        <v>78</v>
      </c>
      <c r="F847" t="s">
        <v>252</v>
      </c>
      <c r="G847">
        <v>6.1702636999999996</v>
      </c>
      <c r="H847">
        <v>-75.589518400000003</v>
      </c>
      <c r="J847">
        <v>11</v>
      </c>
      <c r="M847">
        <v>84</v>
      </c>
      <c r="N847">
        <v>0</v>
      </c>
      <c r="O847">
        <v>16</v>
      </c>
      <c r="P847">
        <v>20</v>
      </c>
      <c r="Q847">
        <v>12</v>
      </c>
      <c r="R847">
        <v>75</v>
      </c>
    </row>
    <row r="848" spans="1:18" x14ac:dyDescent="0.25">
      <c r="A848" t="s">
        <v>928</v>
      </c>
      <c r="B848" t="s">
        <v>52</v>
      </c>
      <c r="C848" t="s">
        <v>929</v>
      </c>
      <c r="D848" t="s">
        <v>52</v>
      </c>
      <c r="E848" t="s">
        <v>78</v>
      </c>
      <c r="F848" t="s">
        <v>252</v>
      </c>
      <c r="G848">
        <v>6.1869357999999997</v>
      </c>
      <c r="H848">
        <v>-75.489992200000003</v>
      </c>
      <c r="J848">
        <v>11</v>
      </c>
      <c r="M848">
        <v>326</v>
      </c>
      <c r="N848">
        <v>71</v>
      </c>
      <c r="O848">
        <v>56</v>
      </c>
      <c r="P848">
        <v>78</v>
      </c>
      <c r="Q848">
        <v>55</v>
      </c>
      <c r="R848">
        <v>67</v>
      </c>
    </row>
    <row r="849" spans="1:18" x14ac:dyDescent="0.25">
      <c r="A849" t="s">
        <v>930</v>
      </c>
      <c r="B849" t="s">
        <v>52</v>
      </c>
      <c r="C849" t="s">
        <v>929</v>
      </c>
      <c r="D849" t="s">
        <v>52</v>
      </c>
      <c r="E849" t="s">
        <v>78</v>
      </c>
      <c r="F849" t="s">
        <v>252</v>
      </c>
      <c r="G849">
        <v>6.1869357999999997</v>
      </c>
      <c r="H849">
        <v>-75.489992200000003</v>
      </c>
      <c r="J849">
        <v>11</v>
      </c>
      <c r="M849">
        <v>305</v>
      </c>
      <c r="N849">
        <v>66</v>
      </c>
      <c r="O849">
        <v>50</v>
      </c>
      <c r="P849">
        <v>68</v>
      </c>
      <c r="Q849">
        <v>59</v>
      </c>
      <c r="R849">
        <v>65</v>
      </c>
    </row>
    <row r="850" spans="1:18" x14ac:dyDescent="0.25">
      <c r="A850" t="s">
        <v>931</v>
      </c>
      <c r="B850" t="s">
        <v>52</v>
      </c>
      <c r="C850" t="s">
        <v>929</v>
      </c>
      <c r="D850" t="s">
        <v>52</v>
      </c>
      <c r="E850" t="s">
        <v>78</v>
      </c>
      <c r="F850" t="s">
        <v>252</v>
      </c>
      <c r="G850">
        <v>6.1869357999999997</v>
      </c>
      <c r="H850">
        <v>-75.489992200000003</v>
      </c>
      <c r="J850">
        <v>11</v>
      </c>
      <c r="M850">
        <v>300</v>
      </c>
      <c r="N850">
        <v>73</v>
      </c>
      <c r="O850">
        <v>40</v>
      </c>
      <c r="P850">
        <v>58</v>
      </c>
      <c r="Q850">
        <v>62</v>
      </c>
      <c r="R850">
        <v>80</v>
      </c>
    </row>
    <row r="851" spans="1:18" x14ac:dyDescent="0.25">
      <c r="A851" t="s">
        <v>932</v>
      </c>
      <c r="B851" t="s">
        <v>52</v>
      </c>
      <c r="C851" t="s">
        <v>929</v>
      </c>
      <c r="D851" t="s">
        <v>52</v>
      </c>
      <c r="E851" t="s">
        <v>78</v>
      </c>
      <c r="F851" t="s">
        <v>252</v>
      </c>
      <c r="G851">
        <v>6.1869357999999997</v>
      </c>
      <c r="H851">
        <v>-75.489992200000003</v>
      </c>
      <c r="J851">
        <v>11</v>
      </c>
      <c r="M851">
        <v>297</v>
      </c>
      <c r="N851">
        <v>61</v>
      </c>
      <c r="O851">
        <v>44</v>
      </c>
      <c r="P851">
        <v>86</v>
      </c>
      <c r="Q851">
        <v>41</v>
      </c>
      <c r="R851">
        <v>75</v>
      </c>
    </row>
    <row r="852" spans="1:18" x14ac:dyDescent="0.25">
      <c r="A852" t="s">
        <v>933</v>
      </c>
      <c r="B852" t="s">
        <v>52</v>
      </c>
      <c r="C852" t="s">
        <v>929</v>
      </c>
      <c r="D852" t="s">
        <v>52</v>
      </c>
      <c r="E852" t="s">
        <v>78</v>
      </c>
      <c r="F852" t="s">
        <v>252</v>
      </c>
      <c r="G852">
        <v>6.1869357999999997</v>
      </c>
      <c r="H852">
        <v>-75.489992200000003</v>
      </c>
      <c r="J852">
        <v>11</v>
      </c>
      <c r="M852">
        <v>293</v>
      </c>
      <c r="N852">
        <v>68</v>
      </c>
      <c r="O852">
        <v>42</v>
      </c>
      <c r="P852">
        <v>74</v>
      </c>
      <c r="Q852">
        <v>52</v>
      </c>
      <c r="R852">
        <v>55</v>
      </c>
    </row>
    <row r="853" spans="1:18" x14ac:dyDescent="0.25">
      <c r="A853" t="s">
        <v>934</v>
      </c>
      <c r="B853" t="s">
        <v>52</v>
      </c>
      <c r="C853" t="s">
        <v>929</v>
      </c>
      <c r="D853" t="s">
        <v>52</v>
      </c>
      <c r="E853" t="s">
        <v>78</v>
      </c>
      <c r="F853" t="s">
        <v>252</v>
      </c>
      <c r="G853">
        <v>6.1869357999999997</v>
      </c>
      <c r="H853">
        <v>-75.489992200000003</v>
      </c>
      <c r="J853">
        <v>11</v>
      </c>
      <c r="M853">
        <v>291</v>
      </c>
      <c r="N853">
        <v>76</v>
      </c>
      <c r="O853">
        <v>30</v>
      </c>
      <c r="P853">
        <v>70</v>
      </c>
      <c r="Q853">
        <v>59</v>
      </c>
      <c r="R853">
        <v>55</v>
      </c>
    </row>
    <row r="854" spans="1:18" x14ac:dyDescent="0.25">
      <c r="A854" t="s">
        <v>935</v>
      </c>
      <c r="B854" t="s">
        <v>52</v>
      </c>
      <c r="C854" t="s">
        <v>929</v>
      </c>
      <c r="D854" t="s">
        <v>52</v>
      </c>
      <c r="E854" t="s">
        <v>78</v>
      </c>
      <c r="F854" t="s">
        <v>252</v>
      </c>
      <c r="G854">
        <v>6.1869357999999997</v>
      </c>
      <c r="H854">
        <v>-75.489992200000003</v>
      </c>
      <c r="J854">
        <v>11</v>
      </c>
      <c r="M854">
        <v>280</v>
      </c>
      <c r="N854">
        <v>78</v>
      </c>
      <c r="O854">
        <v>24</v>
      </c>
      <c r="P854">
        <v>70</v>
      </c>
      <c r="Q854">
        <v>57</v>
      </c>
      <c r="R854">
        <v>40</v>
      </c>
    </row>
    <row r="855" spans="1:18" x14ac:dyDescent="0.25">
      <c r="A855" t="s">
        <v>936</v>
      </c>
      <c r="B855" t="s">
        <v>52</v>
      </c>
      <c r="C855" t="s">
        <v>929</v>
      </c>
      <c r="D855" t="s">
        <v>52</v>
      </c>
      <c r="E855" t="s">
        <v>78</v>
      </c>
      <c r="F855" t="s">
        <v>252</v>
      </c>
      <c r="G855">
        <v>6.1869357999999997</v>
      </c>
      <c r="H855">
        <v>-75.489992200000003</v>
      </c>
      <c r="J855">
        <v>11</v>
      </c>
      <c r="M855">
        <v>273</v>
      </c>
      <c r="N855">
        <v>61</v>
      </c>
      <c r="O855">
        <v>42</v>
      </c>
      <c r="P855">
        <v>62</v>
      </c>
      <c r="Q855">
        <v>57</v>
      </c>
      <c r="R855">
        <v>45</v>
      </c>
    </row>
    <row r="856" spans="1:18" x14ac:dyDescent="0.25">
      <c r="A856" t="s">
        <v>937</v>
      </c>
      <c r="B856" t="s">
        <v>52</v>
      </c>
      <c r="C856" t="s">
        <v>929</v>
      </c>
      <c r="D856" t="s">
        <v>52</v>
      </c>
      <c r="E856" t="s">
        <v>78</v>
      </c>
      <c r="F856" t="s">
        <v>252</v>
      </c>
      <c r="G856">
        <v>6.1869357999999997</v>
      </c>
      <c r="H856">
        <v>-75.489992200000003</v>
      </c>
      <c r="J856">
        <v>11</v>
      </c>
      <c r="M856">
        <v>269</v>
      </c>
      <c r="N856">
        <v>76</v>
      </c>
      <c r="O856">
        <v>34</v>
      </c>
      <c r="P856">
        <v>62</v>
      </c>
      <c r="Q856">
        <v>41</v>
      </c>
      <c r="R856">
        <v>60</v>
      </c>
    </row>
    <row r="857" spans="1:18" x14ac:dyDescent="0.25">
      <c r="A857" t="s">
        <v>938</v>
      </c>
      <c r="B857" t="s">
        <v>52</v>
      </c>
      <c r="C857" t="s">
        <v>929</v>
      </c>
      <c r="D857" t="s">
        <v>52</v>
      </c>
      <c r="E857" t="s">
        <v>78</v>
      </c>
      <c r="F857" t="s">
        <v>252</v>
      </c>
      <c r="G857">
        <v>6.1869357999999997</v>
      </c>
      <c r="H857">
        <v>-75.489992200000003</v>
      </c>
      <c r="J857">
        <v>11</v>
      </c>
      <c r="M857">
        <v>247</v>
      </c>
      <c r="N857">
        <v>54</v>
      </c>
      <c r="O857">
        <v>28</v>
      </c>
      <c r="P857">
        <v>62</v>
      </c>
      <c r="Q857">
        <v>50</v>
      </c>
      <c r="R857">
        <v>60</v>
      </c>
    </row>
    <row r="858" spans="1:18" x14ac:dyDescent="0.25">
      <c r="A858" t="s">
        <v>939</v>
      </c>
      <c r="B858" t="s">
        <v>52</v>
      </c>
      <c r="C858" t="s">
        <v>929</v>
      </c>
      <c r="D858" t="s">
        <v>52</v>
      </c>
      <c r="E858" t="s">
        <v>78</v>
      </c>
      <c r="F858" t="s">
        <v>252</v>
      </c>
      <c r="G858">
        <v>6.1869357999999997</v>
      </c>
      <c r="H858">
        <v>-75.489992200000003</v>
      </c>
      <c r="J858">
        <v>11</v>
      </c>
      <c r="M858">
        <v>236</v>
      </c>
      <c r="N858">
        <v>54</v>
      </c>
      <c r="O858">
        <v>30</v>
      </c>
      <c r="P858">
        <v>62</v>
      </c>
      <c r="Q858">
        <v>41</v>
      </c>
      <c r="R858">
        <v>53</v>
      </c>
    </row>
    <row r="859" spans="1:18" x14ac:dyDescent="0.25">
      <c r="A859" t="s">
        <v>940</v>
      </c>
      <c r="B859" t="s">
        <v>52</v>
      </c>
      <c r="C859" t="s">
        <v>929</v>
      </c>
      <c r="D859" t="s">
        <v>52</v>
      </c>
      <c r="E859" t="s">
        <v>78</v>
      </c>
      <c r="F859" t="s">
        <v>252</v>
      </c>
      <c r="G859">
        <v>6.1869357999999997</v>
      </c>
      <c r="H859">
        <v>-75.489992200000003</v>
      </c>
      <c r="J859">
        <v>11</v>
      </c>
      <c r="M859">
        <v>226</v>
      </c>
      <c r="N859">
        <v>51</v>
      </c>
      <c r="O859">
        <v>48</v>
      </c>
      <c r="P859">
        <v>30</v>
      </c>
      <c r="Q859">
        <v>50</v>
      </c>
      <c r="R859">
        <v>49</v>
      </c>
    </row>
    <row r="860" spans="1:18" x14ac:dyDescent="0.25">
      <c r="A860" t="s">
        <v>941</v>
      </c>
      <c r="B860" t="s">
        <v>52</v>
      </c>
      <c r="C860" t="s">
        <v>929</v>
      </c>
      <c r="D860" t="s">
        <v>52</v>
      </c>
      <c r="E860" t="s">
        <v>78</v>
      </c>
      <c r="F860" t="s">
        <v>252</v>
      </c>
      <c r="G860">
        <v>6.1869357999999997</v>
      </c>
      <c r="H860">
        <v>-75.489992200000003</v>
      </c>
      <c r="J860">
        <v>11</v>
      </c>
      <c r="M860">
        <v>218</v>
      </c>
      <c r="N860">
        <v>56</v>
      </c>
      <c r="O860">
        <v>30</v>
      </c>
      <c r="P860">
        <v>44</v>
      </c>
      <c r="Q860">
        <v>50</v>
      </c>
      <c r="R860">
        <v>25</v>
      </c>
    </row>
    <row r="861" spans="1:18" x14ac:dyDescent="0.25">
      <c r="A861" t="s">
        <v>942</v>
      </c>
      <c r="B861" t="s">
        <v>52</v>
      </c>
      <c r="C861" t="s">
        <v>929</v>
      </c>
      <c r="D861" t="s">
        <v>52</v>
      </c>
      <c r="E861" t="s">
        <v>78</v>
      </c>
      <c r="F861" t="s">
        <v>252</v>
      </c>
      <c r="G861">
        <v>6.1869357999999997</v>
      </c>
      <c r="H861">
        <v>-75.489992200000003</v>
      </c>
      <c r="J861">
        <v>11</v>
      </c>
      <c r="M861">
        <v>206</v>
      </c>
      <c r="N861">
        <v>49</v>
      </c>
      <c r="O861">
        <v>38</v>
      </c>
      <c r="P861">
        <v>40</v>
      </c>
      <c r="Q861">
        <v>40</v>
      </c>
      <c r="R861">
        <v>36</v>
      </c>
    </row>
    <row r="862" spans="1:18" x14ac:dyDescent="0.25">
      <c r="A862" t="s">
        <v>943</v>
      </c>
      <c r="B862" t="s">
        <v>52</v>
      </c>
      <c r="C862" t="s">
        <v>929</v>
      </c>
      <c r="D862" t="s">
        <v>52</v>
      </c>
      <c r="E862" t="s">
        <v>78</v>
      </c>
      <c r="F862" t="s">
        <v>252</v>
      </c>
      <c r="G862">
        <v>6.1869357999999997</v>
      </c>
      <c r="H862">
        <v>-75.489992200000003</v>
      </c>
      <c r="J862">
        <v>11</v>
      </c>
      <c r="M862">
        <v>200</v>
      </c>
      <c r="N862">
        <v>34</v>
      </c>
      <c r="O862">
        <v>32</v>
      </c>
      <c r="P862">
        <v>46</v>
      </c>
      <c r="Q862">
        <v>50</v>
      </c>
      <c r="R862">
        <v>33</v>
      </c>
    </row>
    <row r="863" spans="1:18" x14ac:dyDescent="0.25">
      <c r="A863" t="s">
        <v>944</v>
      </c>
      <c r="B863" t="s">
        <v>52</v>
      </c>
      <c r="C863" t="s">
        <v>929</v>
      </c>
      <c r="D863" t="s">
        <v>52</v>
      </c>
      <c r="E863" t="s">
        <v>78</v>
      </c>
      <c r="F863" t="s">
        <v>252</v>
      </c>
      <c r="G863">
        <v>6.1869357999999997</v>
      </c>
      <c r="H863">
        <v>-75.489992200000003</v>
      </c>
      <c r="J863">
        <v>11</v>
      </c>
      <c r="M863">
        <v>178</v>
      </c>
      <c r="N863">
        <v>39</v>
      </c>
      <c r="O863">
        <v>34</v>
      </c>
      <c r="P863">
        <v>26</v>
      </c>
      <c r="Q863">
        <v>36</v>
      </c>
      <c r="R863">
        <v>56</v>
      </c>
    </row>
    <row r="864" spans="1:18" x14ac:dyDescent="0.25">
      <c r="A864" t="s">
        <v>945</v>
      </c>
      <c r="B864" t="s">
        <v>52</v>
      </c>
      <c r="C864" t="s">
        <v>929</v>
      </c>
      <c r="D864" t="s">
        <v>52</v>
      </c>
      <c r="E864" t="s">
        <v>78</v>
      </c>
      <c r="F864" t="s">
        <v>252</v>
      </c>
      <c r="G864">
        <v>6.1869357999999997</v>
      </c>
      <c r="H864">
        <v>-75.489992200000003</v>
      </c>
      <c r="J864">
        <v>11</v>
      </c>
      <c r="M864">
        <v>161</v>
      </c>
      <c r="N864">
        <v>39</v>
      </c>
      <c r="O864">
        <v>22</v>
      </c>
      <c r="P864">
        <v>26</v>
      </c>
      <c r="Q864">
        <v>40</v>
      </c>
      <c r="R864">
        <v>38</v>
      </c>
    </row>
    <row r="865" spans="1:18" x14ac:dyDescent="0.25">
      <c r="A865" t="s">
        <v>946</v>
      </c>
      <c r="B865" t="s">
        <v>52</v>
      </c>
      <c r="C865" t="s">
        <v>947</v>
      </c>
      <c r="D865" t="s">
        <v>52</v>
      </c>
      <c r="E865" t="s">
        <v>78</v>
      </c>
      <c r="F865" t="s">
        <v>252</v>
      </c>
      <c r="G865">
        <v>6.1709288999999998</v>
      </c>
      <c r="H865">
        <v>-75.577122299999999</v>
      </c>
      <c r="J865">
        <v>11</v>
      </c>
      <c r="M865">
        <v>359</v>
      </c>
      <c r="N865">
        <v>68</v>
      </c>
      <c r="O865">
        <v>74</v>
      </c>
      <c r="P865">
        <v>80</v>
      </c>
      <c r="Q865">
        <v>59</v>
      </c>
      <c r="R865">
        <v>91</v>
      </c>
    </row>
    <row r="866" spans="1:18" x14ac:dyDescent="0.25">
      <c r="A866" t="s">
        <v>948</v>
      </c>
      <c r="B866" t="s">
        <v>52</v>
      </c>
      <c r="C866" t="s">
        <v>947</v>
      </c>
      <c r="D866" t="s">
        <v>52</v>
      </c>
      <c r="E866" t="s">
        <v>78</v>
      </c>
      <c r="F866" t="s">
        <v>252</v>
      </c>
      <c r="G866">
        <v>6.1709288999999998</v>
      </c>
      <c r="H866">
        <v>-75.577122299999999</v>
      </c>
      <c r="J866">
        <v>11</v>
      </c>
      <c r="M866">
        <v>322</v>
      </c>
      <c r="N866">
        <v>63</v>
      </c>
      <c r="O866">
        <v>58</v>
      </c>
      <c r="P866">
        <v>80</v>
      </c>
      <c r="Q866">
        <v>48</v>
      </c>
      <c r="R866">
        <v>87</v>
      </c>
    </row>
    <row r="867" spans="1:18" x14ac:dyDescent="0.25">
      <c r="A867" t="s">
        <v>949</v>
      </c>
      <c r="B867" t="s">
        <v>52</v>
      </c>
      <c r="C867" t="s">
        <v>947</v>
      </c>
      <c r="D867" t="s">
        <v>52</v>
      </c>
      <c r="E867" t="s">
        <v>78</v>
      </c>
      <c r="F867" t="s">
        <v>252</v>
      </c>
      <c r="G867">
        <v>6.1709288999999998</v>
      </c>
      <c r="H867">
        <v>-75.577122299999999</v>
      </c>
      <c r="J867">
        <v>11</v>
      </c>
      <c r="M867">
        <v>301</v>
      </c>
      <c r="N867">
        <v>71</v>
      </c>
      <c r="O867">
        <v>44</v>
      </c>
      <c r="P867">
        <v>80</v>
      </c>
      <c r="Q867">
        <v>40</v>
      </c>
      <c r="R867">
        <v>78</v>
      </c>
    </row>
    <row r="868" spans="1:18" x14ac:dyDescent="0.25">
      <c r="A868" t="s">
        <v>950</v>
      </c>
      <c r="B868" t="s">
        <v>52</v>
      </c>
      <c r="C868" t="s">
        <v>947</v>
      </c>
      <c r="D868" t="s">
        <v>52</v>
      </c>
      <c r="E868" t="s">
        <v>78</v>
      </c>
      <c r="F868" t="s">
        <v>252</v>
      </c>
      <c r="G868">
        <v>6.1709288999999998</v>
      </c>
      <c r="H868">
        <v>-75.577122299999999</v>
      </c>
      <c r="J868">
        <v>11</v>
      </c>
      <c r="M868">
        <v>281</v>
      </c>
      <c r="N868">
        <v>59</v>
      </c>
      <c r="O868">
        <v>38</v>
      </c>
      <c r="P868">
        <v>74</v>
      </c>
      <c r="Q868">
        <v>59</v>
      </c>
      <c r="R868">
        <v>44</v>
      </c>
    </row>
    <row r="869" spans="1:18" x14ac:dyDescent="0.25">
      <c r="A869" t="s">
        <v>951</v>
      </c>
      <c r="B869" t="s">
        <v>52</v>
      </c>
      <c r="C869" t="s">
        <v>947</v>
      </c>
      <c r="D869" t="s">
        <v>52</v>
      </c>
      <c r="E869" t="s">
        <v>78</v>
      </c>
      <c r="F869" t="s">
        <v>252</v>
      </c>
      <c r="G869">
        <v>6.1709288999999998</v>
      </c>
      <c r="H869">
        <v>-75.577122299999999</v>
      </c>
      <c r="J869">
        <v>11</v>
      </c>
      <c r="M869">
        <v>271</v>
      </c>
      <c r="N869">
        <v>76</v>
      </c>
      <c r="O869">
        <v>50</v>
      </c>
      <c r="P869">
        <v>38</v>
      </c>
      <c r="Q869">
        <v>53</v>
      </c>
      <c r="R869">
        <v>53</v>
      </c>
    </row>
    <row r="870" spans="1:18" x14ac:dyDescent="0.25">
      <c r="A870" t="s">
        <v>952</v>
      </c>
      <c r="B870" t="s">
        <v>52</v>
      </c>
      <c r="C870" t="s">
        <v>947</v>
      </c>
      <c r="D870" t="s">
        <v>52</v>
      </c>
      <c r="E870" t="s">
        <v>78</v>
      </c>
      <c r="F870" t="s">
        <v>252</v>
      </c>
      <c r="G870">
        <v>6.1709288999999998</v>
      </c>
      <c r="H870">
        <v>-75.577122299999999</v>
      </c>
      <c r="J870">
        <v>11</v>
      </c>
      <c r="M870">
        <v>270</v>
      </c>
      <c r="N870">
        <v>59</v>
      </c>
      <c r="O870">
        <v>42</v>
      </c>
      <c r="P870">
        <v>64</v>
      </c>
      <c r="Q870">
        <v>53</v>
      </c>
      <c r="R870">
        <v>49</v>
      </c>
    </row>
    <row r="871" spans="1:18" x14ac:dyDescent="0.25">
      <c r="A871" t="s">
        <v>953</v>
      </c>
      <c r="B871" t="s">
        <v>52</v>
      </c>
      <c r="C871" t="s">
        <v>947</v>
      </c>
      <c r="D871" t="s">
        <v>52</v>
      </c>
      <c r="E871" t="s">
        <v>78</v>
      </c>
      <c r="F871" t="s">
        <v>252</v>
      </c>
      <c r="G871">
        <v>6.1709288999999998</v>
      </c>
      <c r="H871">
        <v>-75.577122299999999</v>
      </c>
      <c r="J871">
        <v>11</v>
      </c>
      <c r="M871">
        <v>266</v>
      </c>
      <c r="N871">
        <v>73</v>
      </c>
      <c r="O871">
        <v>26</v>
      </c>
      <c r="P871">
        <v>66</v>
      </c>
      <c r="Q871">
        <v>41</v>
      </c>
      <c r="R871">
        <v>73</v>
      </c>
    </row>
    <row r="872" spans="1:18" x14ac:dyDescent="0.25">
      <c r="A872" t="s">
        <v>954</v>
      </c>
      <c r="B872" t="s">
        <v>52</v>
      </c>
      <c r="C872" t="s">
        <v>947</v>
      </c>
      <c r="D872" t="s">
        <v>52</v>
      </c>
      <c r="E872" t="s">
        <v>78</v>
      </c>
      <c r="F872" t="s">
        <v>252</v>
      </c>
      <c r="G872">
        <v>6.1709288999999998</v>
      </c>
      <c r="H872">
        <v>-75.577122299999999</v>
      </c>
      <c r="J872">
        <v>11</v>
      </c>
      <c r="M872">
        <v>266</v>
      </c>
      <c r="N872">
        <v>71</v>
      </c>
      <c r="O872">
        <v>44</v>
      </c>
      <c r="P872">
        <v>66</v>
      </c>
      <c r="Q872">
        <v>33</v>
      </c>
      <c r="R872">
        <v>51</v>
      </c>
    </row>
    <row r="873" spans="1:18" x14ac:dyDescent="0.25">
      <c r="A873" t="s">
        <v>955</v>
      </c>
      <c r="B873" t="s">
        <v>52</v>
      </c>
      <c r="C873" t="s">
        <v>947</v>
      </c>
      <c r="D873" t="s">
        <v>52</v>
      </c>
      <c r="E873" t="s">
        <v>78</v>
      </c>
      <c r="F873" t="s">
        <v>252</v>
      </c>
      <c r="G873">
        <v>6.1709288999999998</v>
      </c>
      <c r="H873">
        <v>-75.577122299999999</v>
      </c>
      <c r="J873">
        <v>11</v>
      </c>
      <c r="M873">
        <v>263</v>
      </c>
      <c r="N873">
        <v>71</v>
      </c>
      <c r="O873">
        <v>42</v>
      </c>
      <c r="P873">
        <v>52</v>
      </c>
      <c r="Q873">
        <v>33</v>
      </c>
      <c r="R873">
        <v>91</v>
      </c>
    </row>
    <row r="874" spans="1:18" x14ac:dyDescent="0.25">
      <c r="A874" t="s">
        <v>956</v>
      </c>
      <c r="B874" t="s">
        <v>52</v>
      </c>
      <c r="C874" t="s">
        <v>947</v>
      </c>
      <c r="D874" t="s">
        <v>52</v>
      </c>
      <c r="E874" t="s">
        <v>78</v>
      </c>
      <c r="F874" t="s">
        <v>252</v>
      </c>
      <c r="G874">
        <v>6.1709288999999998</v>
      </c>
      <c r="H874">
        <v>-75.577122299999999</v>
      </c>
      <c r="J874">
        <v>11</v>
      </c>
      <c r="M874">
        <v>255</v>
      </c>
      <c r="N874">
        <v>71</v>
      </c>
      <c r="O874">
        <v>36</v>
      </c>
      <c r="P874">
        <v>54</v>
      </c>
      <c r="Q874">
        <v>34</v>
      </c>
      <c r="R874">
        <v>78</v>
      </c>
    </row>
    <row r="875" spans="1:18" x14ac:dyDescent="0.25">
      <c r="A875" t="s">
        <v>957</v>
      </c>
      <c r="B875" t="s">
        <v>52</v>
      </c>
      <c r="C875" t="s">
        <v>947</v>
      </c>
      <c r="D875" t="s">
        <v>52</v>
      </c>
      <c r="E875" t="s">
        <v>78</v>
      </c>
      <c r="F875" t="s">
        <v>252</v>
      </c>
      <c r="G875">
        <v>6.1709288999999998</v>
      </c>
      <c r="H875">
        <v>-75.577122299999999</v>
      </c>
      <c r="J875">
        <v>11</v>
      </c>
      <c r="M875">
        <v>250</v>
      </c>
      <c r="N875">
        <v>71</v>
      </c>
      <c r="O875">
        <v>46</v>
      </c>
      <c r="P875">
        <v>38</v>
      </c>
      <c r="Q875">
        <v>38</v>
      </c>
      <c r="R875">
        <v>71</v>
      </c>
    </row>
    <row r="876" spans="1:18" x14ac:dyDescent="0.25">
      <c r="A876" t="s">
        <v>958</v>
      </c>
      <c r="B876" t="s">
        <v>52</v>
      </c>
      <c r="C876" t="s">
        <v>947</v>
      </c>
      <c r="D876" t="s">
        <v>52</v>
      </c>
      <c r="E876" t="s">
        <v>78</v>
      </c>
      <c r="F876" t="s">
        <v>252</v>
      </c>
      <c r="G876">
        <v>6.1709288999999998</v>
      </c>
      <c r="H876">
        <v>-75.577122299999999</v>
      </c>
      <c r="J876">
        <v>11</v>
      </c>
      <c r="M876">
        <v>214</v>
      </c>
      <c r="N876">
        <v>56</v>
      </c>
      <c r="O876">
        <v>36</v>
      </c>
      <c r="P876">
        <v>40</v>
      </c>
      <c r="Q876">
        <v>40</v>
      </c>
      <c r="R876">
        <v>42</v>
      </c>
    </row>
    <row r="877" spans="1:18" x14ac:dyDescent="0.25">
      <c r="A877" t="s">
        <v>959</v>
      </c>
      <c r="B877" t="s">
        <v>52</v>
      </c>
      <c r="C877" t="s">
        <v>947</v>
      </c>
      <c r="D877" t="s">
        <v>52</v>
      </c>
      <c r="E877" t="s">
        <v>78</v>
      </c>
      <c r="F877" t="s">
        <v>252</v>
      </c>
      <c r="G877">
        <v>6.1709288999999998</v>
      </c>
      <c r="H877">
        <v>-75.577122299999999</v>
      </c>
      <c r="J877">
        <v>11</v>
      </c>
      <c r="M877">
        <v>202</v>
      </c>
      <c r="N877">
        <v>44</v>
      </c>
      <c r="O877">
        <v>30</v>
      </c>
      <c r="P877">
        <v>38</v>
      </c>
      <c r="Q877">
        <v>50</v>
      </c>
      <c r="R877">
        <v>40</v>
      </c>
    </row>
    <row r="878" spans="1:18" x14ac:dyDescent="0.25">
      <c r="A878" t="s">
        <v>960</v>
      </c>
      <c r="B878" t="s">
        <v>52</v>
      </c>
      <c r="C878" t="s">
        <v>947</v>
      </c>
      <c r="D878" t="s">
        <v>52</v>
      </c>
      <c r="E878" t="s">
        <v>78</v>
      </c>
      <c r="F878" t="s">
        <v>252</v>
      </c>
      <c r="G878">
        <v>6.1709288999999998</v>
      </c>
      <c r="H878">
        <v>-75.577122299999999</v>
      </c>
      <c r="J878">
        <v>11</v>
      </c>
      <c r="M878">
        <v>198</v>
      </c>
      <c r="N878">
        <v>56</v>
      </c>
      <c r="O878">
        <v>32</v>
      </c>
      <c r="P878">
        <v>48</v>
      </c>
      <c r="Q878">
        <v>19</v>
      </c>
      <c r="R878">
        <v>51</v>
      </c>
    </row>
    <row r="879" spans="1:18" x14ac:dyDescent="0.25">
      <c r="A879" t="s">
        <v>961</v>
      </c>
      <c r="B879" t="s">
        <v>52</v>
      </c>
      <c r="C879" t="s">
        <v>947</v>
      </c>
      <c r="D879" t="s">
        <v>52</v>
      </c>
      <c r="E879" t="s">
        <v>78</v>
      </c>
      <c r="F879" t="s">
        <v>252</v>
      </c>
      <c r="G879">
        <v>6.1709288999999998</v>
      </c>
      <c r="H879">
        <v>-75.577122299999999</v>
      </c>
      <c r="J879">
        <v>11</v>
      </c>
      <c r="M879">
        <v>193</v>
      </c>
      <c r="N879">
        <v>44</v>
      </c>
      <c r="O879">
        <v>20</v>
      </c>
      <c r="P879">
        <v>48</v>
      </c>
      <c r="Q879">
        <v>43</v>
      </c>
      <c r="R879">
        <v>36</v>
      </c>
    </row>
    <row r="880" spans="1:18" x14ac:dyDescent="0.25">
      <c r="A880" t="s">
        <v>962</v>
      </c>
      <c r="B880" t="s">
        <v>52</v>
      </c>
      <c r="C880" t="s">
        <v>947</v>
      </c>
      <c r="D880" t="s">
        <v>52</v>
      </c>
      <c r="E880" t="s">
        <v>78</v>
      </c>
      <c r="F880" t="s">
        <v>252</v>
      </c>
      <c r="G880">
        <v>6.1709288999999998</v>
      </c>
      <c r="H880">
        <v>-75.577122299999999</v>
      </c>
      <c r="J880">
        <v>11</v>
      </c>
      <c r="M880">
        <v>184</v>
      </c>
      <c r="N880">
        <v>41</v>
      </c>
      <c r="O880">
        <v>26</v>
      </c>
      <c r="P880">
        <v>34</v>
      </c>
      <c r="Q880">
        <v>41</v>
      </c>
      <c r="R880">
        <v>49</v>
      </c>
    </row>
    <row r="881" spans="1:18" x14ac:dyDescent="0.25">
      <c r="A881" t="s">
        <v>963</v>
      </c>
      <c r="B881" t="s">
        <v>52</v>
      </c>
      <c r="C881" t="s">
        <v>947</v>
      </c>
      <c r="D881" t="s">
        <v>52</v>
      </c>
      <c r="E881" t="s">
        <v>78</v>
      </c>
      <c r="F881" t="s">
        <v>252</v>
      </c>
      <c r="G881">
        <v>6.1709288999999998</v>
      </c>
      <c r="H881">
        <v>-75.577122299999999</v>
      </c>
      <c r="J881">
        <v>11</v>
      </c>
      <c r="M881">
        <v>179</v>
      </c>
      <c r="N881">
        <v>49</v>
      </c>
      <c r="O881">
        <v>28</v>
      </c>
      <c r="P881">
        <v>46</v>
      </c>
      <c r="Q881">
        <v>22</v>
      </c>
      <c r="R881">
        <v>31</v>
      </c>
    </row>
    <row r="882" spans="1:18" x14ac:dyDescent="0.25">
      <c r="A882" t="s">
        <v>964</v>
      </c>
      <c r="B882" t="s">
        <v>52</v>
      </c>
      <c r="C882" t="s">
        <v>947</v>
      </c>
      <c r="D882" t="s">
        <v>52</v>
      </c>
      <c r="E882" t="s">
        <v>78</v>
      </c>
      <c r="F882" t="s">
        <v>252</v>
      </c>
      <c r="G882">
        <v>6.1709288999999998</v>
      </c>
      <c r="H882">
        <v>-75.577122299999999</v>
      </c>
      <c r="J882">
        <v>11</v>
      </c>
      <c r="M882">
        <v>168</v>
      </c>
      <c r="N882">
        <v>29</v>
      </c>
      <c r="O882">
        <v>30</v>
      </c>
      <c r="P882">
        <v>36</v>
      </c>
      <c r="Q882">
        <v>40</v>
      </c>
      <c r="R882">
        <v>31</v>
      </c>
    </row>
    <row r="883" spans="1:18" x14ac:dyDescent="0.25">
      <c r="A883" t="s">
        <v>965</v>
      </c>
      <c r="B883" t="s">
        <v>52</v>
      </c>
      <c r="C883" t="s">
        <v>947</v>
      </c>
      <c r="D883" t="s">
        <v>52</v>
      </c>
      <c r="E883" t="s">
        <v>78</v>
      </c>
      <c r="F883" t="s">
        <v>252</v>
      </c>
      <c r="G883">
        <v>6.1709288999999998</v>
      </c>
      <c r="H883">
        <v>-75.577122299999999</v>
      </c>
      <c r="J883">
        <v>11</v>
      </c>
      <c r="M883">
        <v>167</v>
      </c>
      <c r="N883">
        <v>41</v>
      </c>
      <c r="O883">
        <v>26</v>
      </c>
      <c r="P883">
        <v>32</v>
      </c>
      <c r="Q883">
        <v>33</v>
      </c>
      <c r="R883">
        <v>38</v>
      </c>
    </row>
    <row r="884" spans="1:18" x14ac:dyDescent="0.25">
      <c r="A884" t="s">
        <v>966</v>
      </c>
      <c r="B884" t="s">
        <v>52</v>
      </c>
      <c r="C884" t="s">
        <v>947</v>
      </c>
      <c r="D884" t="s">
        <v>52</v>
      </c>
      <c r="E884" t="s">
        <v>78</v>
      </c>
      <c r="F884" t="s">
        <v>252</v>
      </c>
      <c r="G884">
        <v>6.1709288999999998</v>
      </c>
      <c r="H884">
        <v>-75.577122299999999</v>
      </c>
      <c r="J884">
        <v>11</v>
      </c>
      <c r="M884">
        <v>164</v>
      </c>
      <c r="N884">
        <v>41</v>
      </c>
      <c r="O884">
        <v>32</v>
      </c>
      <c r="P884">
        <v>32</v>
      </c>
      <c r="Q884">
        <v>29</v>
      </c>
      <c r="R884">
        <v>22</v>
      </c>
    </row>
    <row r="885" spans="1:18" x14ac:dyDescent="0.25">
      <c r="A885" t="s">
        <v>967</v>
      </c>
      <c r="B885" t="s">
        <v>52</v>
      </c>
      <c r="C885" t="s">
        <v>947</v>
      </c>
      <c r="D885" t="s">
        <v>52</v>
      </c>
      <c r="E885" t="s">
        <v>78</v>
      </c>
      <c r="F885" t="s">
        <v>252</v>
      </c>
      <c r="G885">
        <v>6.1709288999999998</v>
      </c>
      <c r="H885">
        <v>-75.577122299999999</v>
      </c>
      <c r="J885">
        <v>11</v>
      </c>
      <c r="M885">
        <v>148</v>
      </c>
      <c r="N885">
        <v>27</v>
      </c>
      <c r="O885">
        <v>44</v>
      </c>
      <c r="P885">
        <v>24</v>
      </c>
      <c r="Q885">
        <v>17</v>
      </c>
      <c r="R885">
        <v>49</v>
      </c>
    </row>
    <row r="886" spans="1:18" x14ac:dyDescent="0.25">
      <c r="A886" t="s">
        <v>968</v>
      </c>
      <c r="B886" t="s">
        <v>52</v>
      </c>
      <c r="C886" t="s">
        <v>969</v>
      </c>
      <c r="D886" t="s">
        <v>52</v>
      </c>
      <c r="E886" t="s">
        <v>78</v>
      </c>
      <c r="F886" t="s">
        <v>252</v>
      </c>
      <c r="G886">
        <v>6.1670337999999996</v>
      </c>
      <c r="H886">
        <v>-75.581835699999999</v>
      </c>
      <c r="J886">
        <v>11</v>
      </c>
      <c r="M886">
        <v>382</v>
      </c>
      <c r="N886">
        <v>80</v>
      </c>
      <c r="O886">
        <v>76</v>
      </c>
      <c r="P886">
        <v>76</v>
      </c>
      <c r="Q886">
        <v>66</v>
      </c>
      <c r="R886">
        <v>98</v>
      </c>
    </row>
    <row r="887" spans="1:18" x14ac:dyDescent="0.25">
      <c r="A887" t="s">
        <v>970</v>
      </c>
      <c r="B887" t="s">
        <v>52</v>
      </c>
      <c r="C887" t="s">
        <v>969</v>
      </c>
      <c r="D887" t="s">
        <v>52</v>
      </c>
      <c r="E887" t="s">
        <v>78</v>
      </c>
      <c r="F887" t="s">
        <v>252</v>
      </c>
      <c r="G887">
        <v>6.1670337999999996</v>
      </c>
      <c r="H887">
        <v>-75.581835699999999</v>
      </c>
      <c r="J887">
        <v>11</v>
      </c>
      <c r="M887">
        <v>361</v>
      </c>
      <c r="N887">
        <v>78</v>
      </c>
      <c r="O887">
        <v>52</v>
      </c>
      <c r="P887">
        <v>86</v>
      </c>
      <c r="Q887">
        <v>64</v>
      </c>
      <c r="R887">
        <v>98</v>
      </c>
    </row>
    <row r="888" spans="1:18" x14ac:dyDescent="0.25">
      <c r="A888" t="s">
        <v>971</v>
      </c>
      <c r="B888" t="s">
        <v>52</v>
      </c>
      <c r="C888" t="s">
        <v>969</v>
      </c>
      <c r="D888" t="s">
        <v>52</v>
      </c>
      <c r="E888" t="s">
        <v>78</v>
      </c>
      <c r="F888" t="s">
        <v>252</v>
      </c>
      <c r="G888">
        <v>6.1670337999999996</v>
      </c>
      <c r="H888">
        <v>-75.581835699999999</v>
      </c>
      <c r="J888">
        <v>11</v>
      </c>
      <c r="M888">
        <v>352</v>
      </c>
      <c r="N888">
        <v>80</v>
      </c>
      <c r="O888">
        <v>44</v>
      </c>
      <c r="P888">
        <v>78</v>
      </c>
      <c r="Q888">
        <v>72</v>
      </c>
      <c r="R888">
        <v>91</v>
      </c>
    </row>
    <row r="889" spans="1:18" x14ac:dyDescent="0.25">
      <c r="A889" t="s">
        <v>972</v>
      </c>
      <c r="B889" t="s">
        <v>52</v>
      </c>
      <c r="C889" t="s">
        <v>969</v>
      </c>
      <c r="D889" t="s">
        <v>52</v>
      </c>
      <c r="E889" t="s">
        <v>78</v>
      </c>
      <c r="F889" t="s">
        <v>252</v>
      </c>
      <c r="G889">
        <v>6.1670337999999996</v>
      </c>
      <c r="H889">
        <v>-75.581835699999999</v>
      </c>
      <c r="J889">
        <v>11</v>
      </c>
      <c r="M889">
        <v>341</v>
      </c>
      <c r="N889">
        <v>76</v>
      </c>
      <c r="O889">
        <v>58</v>
      </c>
      <c r="P889">
        <v>70</v>
      </c>
      <c r="Q889">
        <v>64</v>
      </c>
      <c r="R889">
        <v>85</v>
      </c>
    </row>
    <row r="890" spans="1:18" x14ac:dyDescent="0.25">
      <c r="A890" t="s">
        <v>973</v>
      </c>
      <c r="B890" t="s">
        <v>52</v>
      </c>
      <c r="C890" t="s">
        <v>969</v>
      </c>
      <c r="D890" t="s">
        <v>52</v>
      </c>
      <c r="E890" t="s">
        <v>78</v>
      </c>
      <c r="F890" t="s">
        <v>252</v>
      </c>
      <c r="G890">
        <v>6.1670337999999996</v>
      </c>
      <c r="H890">
        <v>-75.581835699999999</v>
      </c>
      <c r="J890">
        <v>11</v>
      </c>
      <c r="M890">
        <v>340</v>
      </c>
      <c r="N890">
        <v>71</v>
      </c>
      <c r="O890">
        <v>48</v>
      </c>
      <c r="P890">
        <v>76</v>
      </c>
      <c r="Q890">
        <v>72</v>
      </c>
      <c r="R890">
        <v>82</v>
      </c>
    </row>
    <row r="891" spans="1:18" x14ac:dyDescent="0.25">
      <c r="A891" t="s">
        <v>974</v>
      </c>
      <c r="B891" t="s">
        <v>52</v>
      </c>
      <c r="C891" t="s">
        <v>969</v>
      </c>
      <c r="D891" t="s">
        <v>52</v>
      </c>
      <c r="E891" t="s">
        <v>78</v>
      </c>
      <c r="F891" t="s">
        <v>252</v>
      </c>
      <c r="G891">
        <v>6.1670337999999996</v>
      </c>
      <c r="H891">
        <v>-75.581835699999999</v>
      </c>
      <c r="J891">
        <v>11</v>
      </c>
      <c r="M891">
        <v>324</v>
      </c>
      <c r="N891">
        <v>73</v>
      </c>
      <c r="O891">
        <v>44</v>
      </c>
      <c r="P891">
        <v>74</v>
      </c>
      <c r="Q891">
        <v>62</v>
      </c>
      <c r="R891">
        <v>84</v>
      </c>
    </row>
    <row r="892" spans="1:18" x14ac:dyDescent="0.25">
      <c r="A892" t="s">
        <v>975</v>
      </c>
      <c r="B892" t="s">
        <v>52</v>
      </c>
      <c r="C892" t="s">
        <v>969</v>
      </c>
      <c r="D892" t="s">
        <v>52</v>
      </c>
      <c r="E892" t="s">
        <v>78</v>
      </c>
      <c r="F892" t="s">
        <v>252</v>
      </c>
      <c r="G892">
        <v>6.1670337999999996</v>
      </c>
      <c r="H892">
        <v>-75.581835699999999</v>
      </c>
      <c r="J892">
        <v>11</v>
      </c>
      <c r="M892">
        <v>324</v>
      </c>
      <c r="N892">
        <v>63</v>
      </c>
      <c r="O892">
        <v>48</v>
      </c>
      <c r="P892">
        <v>80</v>
      </c>
      <c r="Q892">
        <v>64</v>
      </c>
      <c r="R892">
        <v>76</v>
      </c>
    </row>
    <row r="893" spans="1:18" x14ac:dyDescent="0.25">
      <c r="A893" t="s">
        <v>976</v>
      </c>
      <c r="B893" t="s">
        <v>52</v>
      </c>
      <c r="C893" t="s">
        <v>969</v>
      </c>
      <c r="D893" t="s">
        <v>52</v>
      </c>
      <c r="E893" t="s">
        <v>78</v>
      </c>
      <c r="F893" t="s">
        <v>252</v>
      </c>
      <c r="G893">
        <v>6.1670337999999996</v>
      </c>
      <c r="H893">
        <v>-75.581835699999999</v>
      </c>
      <c r="J893">
        <v>11</v>
      </c>
      <c r="M893">
        <v>319</v>
      </c>
      <c r="N893">
        <v>44</v>
      </c>
      <c r="O893">
        <v>52</v>
      </c>
      <c r="P893">
        <v>72</v>
      </c>
      <c r="Q893">
        <v>78</v>
      </c>
      <c r="R893">
        <v>93</v>
      </c>
    </row>
    <row r="894" spans="1:18" x14ac:dyDescent="0.25">
      <c r="A894" t="s">
        <v>977</v>
      </c>
      <c r="B894" t="s">
        <v>52</v>
      </c>
      <c r="C894" t="s">
        <v>969</v>
      </c>
      <c r="D894" t="s">
        <v>52</v>
      </c>
      <c r="E894" t="s">
        <v>78</v>
      </c>
      <c r="F894" t="s">
        <v>252</v>
      </c>
      <c r="G894">
        <v>6.1670337999999996</v>
      </c>
      <c r="H894">
        <v>-75.581835699999999</v>
      </c>
      <c r="J894">
        <v>11</v>
      </c>
      <c r="M894">
        <v>316</v>
      </c>
      <c r="N894">
        <v>76</v>
      </c>
      <c r="O894">
        <v>40</v>
      </c>
      <c r="P894">
        <v>78</v>
      </c>
      <c r="Q894">
        <v>57</v>
      </c>
      <c r="R894">
        <v>69</v>
      </c>
    </row>
    <row r="895" spans="1:18" x14ac:dyDescent="0.25">
      <c r="A895" t="s">
        <v>978</v>
      </c>
      <c r="B895" t="s">
        <v>52</v>
      </c>
      <c r="C895" t="s">
        <v>969</v>
      </c>
      <c r="D895" t="s">
        <v>52</v>
      </c>
      <c r="E895" t="s">
        <v>78</v>
      </c>
      <c r="F895" t="s">
        <v>252</v>
      </c>
      <c r="G895">
        <v>6.1670337999999996</v>
      </c>
      <c r="H895">
        <v>-75.581835699999999</v>
      </c>
      <c r="J895">
        <v>11</v>
      </c>
      <c r="M895">
        <v>308</v>
      </c>
      <c r="N895">
        <v>63</v>
      </c>
      <c r="O895">
        <v>34</v>
      </c>
      <c r="P895">
        <v>84</v>
      </c>
      <c r="Q895">
        <v>55</v>
      </c>
      <c r="R895">
        <v>91</v>
      </c>
    </row>
    <row r="896" spans="1:18" x14ac:dyDescent="0.25">
      <c r="A896" t="s">
        <v>979</v>
      </c>
      <c r="B896" t="s">
        <v>52</v>
      </c>
      <c r="C896" t="s">
        <v>969</v>
      </c>
      <c r="D896" t="s">
        <v>52</v>
      </c>
      <c r="E896" t="s">
        <v>78</v>
      </c>
      <c r="F896" t="s">
        <v>252</v>
      </c>
      <c r="G896">
        <v>6.1670337999999996</v>
      </c>
      <c r="H896">
        <v>-75.581835699999999</v>
      </c>
      <c r="J896">
        <v>11</v>
      </c>
      <c r="M896">
        <v>307</v>
      </c>
      <c r="N896">
        <v>76</v>
      </c>
      <c r="O896">
        <v>44</v>
      </c>
      <c r="P896">
        <v>50</v>
      </c>
      <c r="Q896">
        <v>67</v>
      </c>
      <c r="R896">
        <v>87</v>
      </c>
    </row>
    <row r="897" spans="1:18" x14ac:dyDescent="0.25">
      <c r="A897" t="s">
        <v>980</v>
      </c>
      <c r="B897" t="s">
        <v>52</v>
      </c>
      <c r="C897" t="s">
        <v>969</v>
      </c>
      <c r="D897" t="s">
        <v>52</v>
      </c>
      <c r="E897" t="s">
        <v>78</v>
      </c>
      <c r="F897" t="s">
        <v>252</v>
      </c>
      <c r="G897">
        <v>6.1670337999999996</v>
      </c>
      <c r="H897">
        <v>-75.581835699999999</v>
      </c>
      <c r="J897">
        <v>11</v>
      </c>
      <c r="M897">
        <v>306</v>
      </c>
      <c r="N897">
        <v>76</v>
      </c>
      <c r="O897">
        <v>48</v>
      </c>
      <c r="P897">
        <v>68</v>
      </c>
      <c r="Q897">
        <v>47</v>
      </c>
      <c r="R897">
        <v>80</v>
      </c>
    </row>
    <row r="898" spans="1:18" x14ac:dyDescent="0.25">
      <c r="A898" t="s">
        <v>981</v>
      </c>
      <c r="B898" t="s">
        <v>52</v>
      </c>
      <c r="C898" t="s">
        <v>969</v>
      </c>
      <c r="D898" t="s">
        <v>52</v>
      </c>
      <c r="E898" t="s">
        <v>78</v>
      </c>
      <c r="F898" t="s">
        <v>252</v>
      </c>
      <c r="G898">
        <v>6.1670337999999996</v>
      </c>
      <c r="H898">
        <v>-75.581835699999999</v>
      </c>
      <c r="J898">
        <v>11</v>
      </c>
      <c r="M898">
        <v>303</v>
      </c>
      <c r="N898">
        <v>63</v>
      </c>
      <c r="O898">
        <v>40</v>
      </c>
      <c r="P898">
        <v>64</v>
      </c>
      <c r="Q898">
        <v>64</v>
      </c>
      <c r="R898">
        <v>95</v>
      </c>
    </row>
    <row r="899" spans="1:18" x14ac:dyDescent="0.25">
      <c r="A899" t="s">
        <v>982</v>
      </c>
      <c r="B899" t="s">
        <v>52</v>
      </c>
      <c r="C899" t="s">
        <v>969</v>
      </c>
      <c r="D899" t="s">
        <v>52</v>
      </c>
      <c r="E899" t="s">
        <v>78</v>
      </c>
      <c r="F899" t="s">
        <v>252</v>
      </c>
      <c r="G899">
        <v>6.1670337999999996</v>
      </c>
      <c r="H899">
        <v>-75.581835699999999</v>
      </c>
      <c r="J899">
        <v>11</v>
      </c>
      <c r="M899">
        <v>302</v>
      </c>
      <c r="N899">
        <v>66</v>
      </c>
      <c r="O899">
        <v>48</v>
      </c>
      <c r="P899">
        <v>56</v>
      </c>
      <c r="Q899">
        <v>60</v>
      </c>
      <c r="R899">
        <v>95</v>
      </c>
    </row>
    <row r="900" spans="1:18" x14ac:dyDescent="0.25">
      <c r="A900" t="s">
        <v>983</v>
      </c>
      <c r="B900" t="s">
        <v>52</v>
      </c>
      <c r="C900" t="s">
        <v>969</v>
      </c>
      <c r="D900" t="s">
        <v>52</v>
      </c>
      <c r="E900" t="s">
        <v>78</v>
      </c>
      <c r="F900" t="s">
        <v>252</v>
      </c>
      <c r="G900">
        <v>6.1670337999999996</v>
      </c>
      <c r="H900">
        <v>-75.581835699999999</v>
      </c>
      <c r="J900">
        <v>11</v>
      </c>
      <c r="M900">
        <v>294</v>
      </c>
      <c r="N900">
        <v>68</v>
      </c>
      <c r="O900">
        <v>38</v>
      </c>
      <c r="P900">
        <v>72</v>
      </c>
      <c r="Q900">
        <v>69</v>
      </c>
      <c r="R900">
        <v>24</v>
      </c>
    </row>
    <row r="901" spans="1:18" x14ac:dyDescent="0.25">
      <c r="A901" t="s">
        <v>984</v>
      </c>
      <c r="B901" t="s">
        <v>52</v>
      </c>
      <c r="C901" t="s">
        <v>969</v>
      </c>
      <c r="D901" t="s">
        <v>52</v>
      </c>
      <c r="E901" t="s">
        <v>78</v>
      </c>
      <c r="F901" t="s">
        <v>252</v>
      </c>
      <c r="G901">
        <v>6.1670337999999996</v>
      </c>
      <c r="H901">
        <v>-75.581835699999999</v>
      </c>
      <c r="J901">
        <v>11</v>
      </c>
      <c r="M901">
        <v>291</v>
      </c>
      <c r="N901">
        <v>63</v>
      </c>
      <c r="O901">
        <v>52</v>
      </c>
      <c r="P901">
        <v>60</v>
      </c>
      <c r="Q901">
        <v>55</v>
      </c>
      <c r="R901">
        <v>65</v>
      </c>
    </row>
    <row r="902" spans="1:18" x14ac:dyDescent="0.25">
      <c r="A902" t="s">
        <v>985</v>
      </c>
      <c r="B902" t="s">
        <v>52</v>
      </c>
      <c r="C902" t="s">
        <v>969</v>
      </c>
      <c r="D902" t="s">
        <v>52</v>
      </c>
      <c r="E902" t="s">
        <v>78</v>
      </c>
      <c r="F902" t="s">
        <v>252</v>
      </c>
      <c r="G902">
        <v>6.1670337999999996</v>
      </c>
      <c r="H902">
        <v>-75.581835699999999</v>
      </c>
      <c r="J902">
        <v>11</v>
      </c>
      <c r="M902">
        <v>287</v>
      </c>
      <c r="N902">
        <v>68</v>
      </c>
      <c r="O902">
        <v>36</v>
      </c>
      <c r="P902">
        <v>66</v>
      </c>
      <c r="Q902">
        <v>55</v>
      </c>
      <c r="R902">
        <v>69</v>
      </c>
    </row>
    <row r="903" spans="1:18" x14ac:dyDescent="0.25">
      <c r="A903" t="s">
        <v>986</v>
      </c>
      <c r="B903" t="s">
        <v>52</v>
      </c>
      <c r="C903" t="s">
        <v>969</v>
      </c>
      <c r="D903" t="s">
        <v>52</v>
      </c>
      <c r="E903" t="s">
        <v>78</v>
      </c>
      <c r="F903" t="s">
        <v>252</v>
      </c>
      <c r="G903">
        <v>6.1670337999999996</v>
      </c>
      <c r="H903">
        <v>-75.581835699999999</v>
      </c>
      <c r="J903">
        <v>11</v>
      </c>
      <c r="M903">
        <v>285</v>
      </c>
      <c r="N903">
        <v>71</v>
      </c>
      <c r="O903">
        <v>38</v>
      </c>
      <c r="P903">
        <v>82</v>
      </c>
      <c r="Q903">
        <v>40</v>
      </c>
      <c r="R903">
        <v>51</v>
      </c>
    </row>
    <row r="904" spans="1:18" x14ac:dyDescent="0.25">
      <c r="A904" t="s">
        <v>987</v>
      </c>
      <c r="B904" t="s">
        <v>52</v>
      </c>
      <c r="C904" t="s">
        <v>969</v>
      </c>
      <c r="D904" t="s">
        <v>52</v>
      </c>
      <c r="E904" t="s">
        <v>78</v>
      </c>
      <c r="F904" t="s">
        <v>252</v>
      </c>
      <c r="G904">
        <v>6.1670337999999996</v>
      </c>
      <c r="H904">
        <v>-75.581835699999999</v>
      </c>
      <c r="J904">
        <v>11</v>
      </c>
      <c r="M904">
        <v>285</v>
      </c>
      <c r="N904">
        <v>49</v>
      </c>
      <c r="O904">
        <v>38</v>
      </c>
      <c r="P904">
        <v>80</v>
      </c>
      <c r="Q904">
        <v>59</v>
      </c>
      <c r="R904">
        <v>64</v>
      </c>
    </row>
    <row r="905" spans="1:18" x14ac:dyDescent="0.25">
      <c r="A905" t="s">
        <v>988</v>
      </c>
      <c r="B905" t="s">
        <v>52</v>
      </c>
      <c r="C905" t="s">
        <v>969</v>
      </c>
      <c r="D905" t="s">
        <v>52</v>
      </c>
      <c r="E905" t="s">
        <v>78</v>
      </c>
      <c r="F905" t="s">
        <v>252</v>
      </c>
      <c r="G905">
        <v>6.1670337999999996</v>
      </c>
      <c r="H905">
        <v>-75.581835699999999</v>
      </c>
      <c r="J905">
        <v>11</v>
      </c>
      <c r="M905">
        <v>282</v>
      </c>
      <c r="N905">
        <v>66</v>
      </c>
      <c r="O905">
        <v>44</v>
      </c>
      <c r="P905">
        <v>66</v>
      </c>
      <c r="Q905">
        <v>47</v>
      </c>
      <c r="R905">
        <v>67</v>
      </c>
    </row>
    <row r="906" spans="1:18" x14ac:dyDescent="0.25">
      <c r="A906" t="s">
        <v>989</v>
      </c>
      <c r="B906" t="s">
        <v>52</v>
      </c>
      <c r="C906" t="s">
        <v>969</v>
      </c>
      <c r="D906" t="s">
        <v>52</v>
      </c>
      <c r="E906" t="s">
        <v>78</v>
      </c>
      <c r="F906" t="s">
        <v>252</v>
      </c>
      <c r="G906">
        <v>6.1670337999999996</v>
      </c>
      <c r="H906">
        <v>-75.581835699999999</v>
      </c>
      <c r="J906">
        <v>11</v>
      </c>
      <c r="M906">
        <v>282</v>
      </c>
      <c r="N906">
        <v>63</v>
      </c>
      <c r="O906">
        <v>52</v>
      </c>
      <c r="P906">
        <v>72</v>
      </c>
      <c r="Q906">
        <v>45</v>
      </c>
      <c r="R906">
        <v>36</v>
      </c>
    </row>
    <row r="907" spans="1:18" x14ac:dyDescent="0.25">
      <c r="A907" t="s">
        <v>990</v>
      </c>
      <c r="B907" t="s">
        <v>52</v>
      </c>
      <c r="C907" t="s">
        <v>969</v>
      </c>
      <c r="D907" t="s">
        <v>52</v>
      </c>
      <c r="E907" t="s">
        <v>78</v>
      </c>
      <c r="F907" t="s">
        <v>252</v>
      </c>
      <c r="G907">
        <v>6.1670337999999996</v>
      </c>
      <c r="H907">
        <v>-75.581835699999999</v>
      </c>
      <c r="J907">
        <v>11</v>
      </c>
      <c r="M907">
        <v>280</v>
      </c>
      <c r="N907">
        <v>66</v>
      </c>
      <c r="O907">
        <v>38</v>
      </c>
      <c r="P907">
        <v>80</v>
      </c>
      <c r="Q907">
        <v>45</v>
      </c>
      <c r="R907">
        <v>42</v>
      </c>
    </row>
    <row r="908" spans="1:18" x14ac:dyDescent="0.25">
      <c r="A908" t="s">
        <v>991</v>
      </c>
      <c r="B908" t="s">
        <v>52</v>
      </c>
      <c r="C908" t="s">
        <v>969</v>
      </c>
      <c r="D908" t="s">
        <v>52</v>
      </c>
      <c r="E908" t="s">
        <v>78</v>
      </c>
      <c r="F908" t="s">
        <v>252</v>
      </c>
      <c r="G908">
        <v>6.1670337999999996</v>
      </c>
      <c r="H908">
        <v>-75.581835699999999</v>
      </c>
      <c r="J908">
        <v>11</v>
      </c>
      <c r="M908">
        <v>276</v>
      </c>
      <c r="N908">
        <v>71</v>
      </c>
      <c r="O908">
        <v>30</v>
      </c>
      <c r="P908">
        <v>78</v>
      </c>
      <c r="Q908">
        <v>29</v>
      </c>
      <c r="R908">
        <v>95</v>
      </c>
    </row>
    <row r="909" spans="1:18" x14ac:dyDescent="0.25">
      <c r="A909" t="s">
        <v>992</v>
      </c>
      <c r="B909" t="s">
        <v>52</v>
      </c>
      <c r="C909" t="s">
        <v>969</v>
      </c>
      <c r="D909" t="s">
        <v>52</v>
      </c>
      <c r="E909" t="s">
        <v>78</v>
      </c>
      <c r="F909" t="s">
        <v>252</v>
      </c>
      <c r="G909">
        <v>6.1670337999999996</v>
      </c>
      <c r="H909">
        <v>-75.581835699999999</v>
      </c>
      <c r="J909">
        <v>11</v>
      </c>
      <c r="M909">
        <v>274</v>
      </c>
      <c r="N909">
        <v>56</v>
      </c>
      <c r="O909">
        <v>42</v>
      </c>
      <c r="P909">
        <v>54</v>
      </c>
      <c r="Q909">
        <v>55</v>
      </c>
      <c r="R909">
        <v>91</v>
      </c>
    </row>
    <row r="910" spans="1:18" x14ac:dyDescent="0.25">
      <c r="A910" t="s">
        <v>993</v>
      </c>
      <c r="B910" t="s">
        <v>52</v>
      </c>
      <c r="C910" t="s">
        <v>969</v>
      </c>
      <c r="D910" t="s">
        <v>52</v>
      </c>
      <c r="E910" t="s">
        <v>78</v>
      </c>
      <c r="F910" t="s">
        <v>252</v>
      </c>
      <c r="G910">
        <v>6.1670337999999996</v>
      </c>
      <c r="H910">
        <v>-75.581835699999999</v>
      </c>
      <c r="J910">
        <v>11</v>
      </c>
      <c r="M910">
        <v>272</v>
      </c>
      <c r="N910">
        <v>73</v>
      </c>
      <c r="O910">
        <v>40</v>
      </c>
      <c r="P910">
        <v>78</v>
      </c>
      <c r="Q910">
        <v>21</v>
      </c>
      <c r="R910">
        <v>73</v>
      </c>
    </row>
    <row r="911" spans="1:18" x14ac:dyDescent="0.25">
      <c r="A911" t="s">
        <v>994</v>
      </c>
      <c r="B911" t="s">
        <v>52</v>
      </c>
      <c r="C911" t="s">
        <v>969</v>
      </c>
      <c r="D911" t="s">
        <v>52</v>
      </c>
      <c r="E911" t="s">
        <v>78</v>
      </c>
      <c r="F911" t="s">
        <v>252</v>
      </c>
      <c r="G911">
        <v>6.1670337999999996</v>
      </c>
      <c r="H911">
        <v>-75.581835699999999</v>
      </c>
      <c r="J911">
        <v>11</v>
      </c>
      <c r="M911">
        <v>272</v>
      </c>
      <c r="N911">
        <v>61</v>
      </c>
      <c r="O911">
        <v>50</v>
      </c>
      <c r="P911">
        <v>62</v>
      </c>
      <c r="Q911">
        <v>43</v>
      </c>
      <c r="R911">
        <v>58</v>
      </c>
    </row>
    <row r="912" spans="1:18" x14ac:dyDescent="0.25">
      <c r="A912" t="s">
        <v>995</v>
      </c>
      <c r="B912" t="s">
        <v>52</v>
      </c>
      <c r="C912" t="s">
        <v>969</v>
      </c>
      <c r="D912" t="s">
        <v>52</v>
      </c>
      <c r="E912" t="s">
        <v>78</v>
      </c>
      <c r="F912" t="s">
        <v>252</v>
      </c>
      <c r="G912">
        <v>6.1670337999999996</v>
      </c>
      <c r="H912">
        <v>-75.581835699999999</v>
      </c>
      <c r="J912">
        <v>11</v>
      </c>
      <c r="M912">
        <v>270</v>
      </c>
      <c r="N912">
        <v>76</v>
      </c>
      <c r="O912">
        <v>36</v>
      </c>
      <c r="P912">
        <v>44</v>
      </c>
      <c r="Q912">
        <v>59</v>
      </c>
      <c r="R912">
        <v>60</v>
      </c>
    </row>
    <row r="913" spans="1:18" x14ac:dyDescent="0.25">
      <c r="A913" t="s">
        <v>996</v>
      </c>
      <c r="B913" t="s">
        <v>52</v>
      </c>
      <c r="C913" t="s">
        <v>969</v>
      </c>
      <c r="D913" t="s">
        <v>52</v>
      </c>
      <c r="E913" t="s">
        <v>78</v>
      </c>
      <c r="F913" t="s">
        <v>252</v>
      </c>
      <c r="G913">
        <v>6.1670337999999996</v>
      </c>
      <c r="H913">
        <v>-75.581835699999999</v>
      </c>
      <c r="J913">
        <v>11</v>
      </c>
      <c r="M913">
        <v>266</v>
      </c>
      <c r="N913">
        <v>68</v>
      </c>
      <c r="O913">
        <v>46</v>
      </c>
      <c r="P913">
        <v>44</v>
      </c>
      <c r="Q913">
        <v>48</v>
      </c>
      <c r="R913">
        <v>71</v>
      </c>
    </row>
    <row r="914" spans="1:18" x14ac:dyDescent="0.25">
      <c r="A914" t="s">
        <v>997</v>
      </c>
      <c r="B914" t="s">
        <v>52</v>
      </c>
      <c r="C914" t="s">
        <v>969</v>
      </c>
      <c r="D914" t="s">
        <v>52</v>
      </c>
      <c r="E914" t="s">
        <v>78</v>
      </c>
      <c r="F914" t="s">
        <v>252</v>
      </c>
      <c r="G914">
        <v>6.1670337999999996</v>
      </c>
      <c r="H914">
        <v>-75.581835699999999</v>
      </c>
      <c r="J914">
        <v>11</v>
      </c>
      <c r="M914">
        <v>264</v>
      </c>
      <c r="N914">
        <v>66</v>
      </c>
      <c r="O914">
        <v>46</v>
      </c>
      <c r="P914">
        <v>44</v>
      </c>
      <c r="Q914">
        <v>45</v>
      </c>
      <c r="R914">
        <v>85</v>
      </c>
    </row>
    <row r="915" spans="1:18" x14ac:dyDescent="0.25">
      <c r="A915" t="s">
        <v>998</v>
      </c>
      <c r="B915" t="s">
        <v>52</v>
      </c>
      <c r="C915" t="s">
        <v>969</v>
      </c>
      <c r="D915" t="s">
        <v>52</v>
      </c>
      <c r="E915" t="s">
        <v>78</v>
      </c>
      <c r="F915" t="s">
        <v>252</v>
      </c>
      <c r="G915">
        <v>6.1670337999999996</v>
      </c>
      <c r="H915">
        <v>-75.581835699999999</v>
      </c>
      <c r="J915">
        <v>11</v>
      </c>
      <c r="M915">
        <v>263</v>
      </c>
      <c r="N915">
        <v>71</v>
      </c>
      <c r="O915">
        <v>40</v>
      </c>
      <c r="P915">
        <v>66</v>
      </c>
      <c r="Q915">
        <v>33</v>
      </c>
      <c r="R915">
        <v>56</v>
      </c>
    </row>
    <row r="916" spans="1:18" x14ac:dyDescent="0.25">
      <c r="A916" t="s">
        <v>999</v>
      </c>
      <c r="B916" t="s">
        <v>52</v>
      </c>
      <c r="C916" t="s">
        <v>969</v>
      </c>
      <c r="D916" t="s">
        <v>52</v>
      </c>
      <c r="E916" t="s">
        <v>78</v>
      </c>
      <c r="F916" t="s">
        <v>252</v>
      </c>
      <c r="G916">
        <v>6.1670337999999996</v>
      </c>
      <c r="H916">
        <v>-75.581835699999999</v>
      </c>
      <c r="J916">
        <v>11</v>
      </c>
      <c r="M916">
        <v>263</v>
      </c>
      <c r="N916">
        <v>63</v>
      </c>
      <c r="O916">
        <v>38</v>
      </c>
      <c r="P916">
        <v>66</v>
      </c>
      <c r="Q916">
        <v>38</v>
      </c>
      <c r="R916">
        <v>67</v>
      </c>
    </row>
    <row r="917" spans="1:18" x14ac:dyDescent="0.25">
      <c r="A917" t="s">
        <v>1000</v>
      </c>
      <c r="B917" t="s">
        <v>52</v>
      </c>
      <c r="C917" t="s">
        <v>969</v>
      </c>
      <c r="D917" t="s">
        <v>52</v>
      </c>
      <c r="E917" t="s">
        <v>78</v>
      </c>
      <c r="F917" t="s">
        <v>252</v>
      </c>
      <c r="G917">
        <v>6.1670337999999996</v>
      </c>
      <c r="H917">
        <v>-75.581835699999999</v>
      </c>
      <c r="J917">
        <v>11</v>
      </c>
      <c r="M917">
        <v>262</v>
      </c>
      <c r="N917">
        <v>54</v>
      </c>
      <c r="O917">
        <v>40</v>
      </c>
      <c r="P917">
        <v>60</v>
      </c>
      <c r="Q917">
        <v>60</v>
      </c>
      <c r="R917">
        <v>40</v>
      </c>
    </row>
    <row r="918" spans="1:18" x14ac:dyDescent="0.25">
      <c r="A918" t="s">
        <v>1001</v>
      </c>
      <c r="B918" t="s">
        <v>52</v>
      </c>
      <c r="C918" t="s">
        <v>969</v>
      </c>
      <c r="D918" t="s">
        <v>52</v>
      </c>
      <c r="E918" t="s">
        <v>78</v>
      </c>
      <c r="F918" t="s">
        <v>252</v>
      </c>
      <c r="G918">
        <v>6.1670337999999996</v>
      </c>
      <c r="H918">
        <v>-75.581835699999999</v>
      </c>
      <c r="J918">
        <v>11</v>
      </c>
      <c r="M918">
        <v>262</v>
      </c>
      <c r="N918">
        <v>61</v>
      </c>
      <c r="O918">
        <v>40</v>
      </c>
      <c r="P918">
        <v>58</v>
      </c>
      <c r="Q918">
        <v>48</v>
      </c>
      <c r="R918">
        <v>60</v>
      </c>
    </row>
    <row r="919" spans="1:18" x14ac:dyDescent="0.25">
      <c r="A919" t="s">
        <v>1002</v>
      </c>
      <c r="B919" t="s">
        <v>52</v>
      </c>
      <c r="C919" t="s">
        <v>969</v>
      </c>
      <c r="D919" t="s">
        <v>52</v>
      </c>
      <c r="E919" t="s">
        <v>78</v>
      </c>
      <c r="F919" t="s">
        <v>252</v>
      </c>
      <c r="G919">
        <v>6.1670337999999996</v>
      </c>
      <c r="H919">
        <v>-75.581835699999999</v>
      </c>
      <c r="J919">
        <v>11</v>
      </c>
      <c r="M919">
        <v>262</v>
      </c>
      <c r="N919">
        <v>66</v>
      </c>
      <c r="O919">
        <v>38</v>
      </c>
      <c r="P919">
        <v>54</v>
      </c>
      <c r="Q919">
        <v>53</v>
      </c>
      <c r="R919">
        <v>47</v>
      </c>
    </row>
    <row r="920" spans="1:18" x14ac:dyDescent="0.25">
      <c r="A920" t="s">
        <v>1003</v>
      </c>
      <c r="B920" t="s">
        <v>52</v>
      </c>
      <c r="C920" t="s">
        <v>969</v>
      </c>
      <c r="D920" t="s">
        <v>52</v>
      </c>
      <c r="E920" t="s">
        <v>78</v>
      </c>
      <c r="F920" t="s">
        <v>252</v>
      </c>
      <c r="G920">
        <v>6.1670337999999996</v>
      </c>
      <c r="H920">
        <v>-75.581835699999999</v>
      </c>
      <c r="J920">
        <v>11</v>
      </c>
      <c r="M920">
        <v>262</v>
      </c>
      <c r="N920">
        <v>59</v>
      </c>
      <c r="O920">
        <v>42</v>
      </c>
      <c r="P920">
        <v>46</v>
      </c>
      <c r="Q920">
        <v>53</v>
      </c>
      <c r="R920">
        <v>80</v>
      </c>
    </row>
    <row r="921" spans="1:18" x14ac:dyDescent="0.25">
      <c r="A921" t="s">
        <v>1004</v>
      </c>
      <c r="B921" t="s">
        <v>52</v>
      </c>
      <c r="C921" t="s">
        <v>969</v>
      </c>
      <c r="D921" t="s">
        <v>52</v>
      </c>
      <c r="E921" t="s">
        <v>78</v>
      </c>
      <c r="F921" t="s">
        <v>252</v>
      </c>
      <c r="G921">
        <v>6.1670337999999996</v>
      </c>
      <c r="H921">
        <v>-75.581835699999999</v>
      </c>
      <c r="J921">
        <v>11</v>
      </c>
      <c r="M921">
        <v>261</v>
      </c>
      <c r="N921">
        <v>51</v>
      </c>
      <c r="O921">
        <v>48</v>
      </c>
      <c r="P921">
        <v>52</v>
      </c>
      <c r="Q921">
        <v>62</v>
      </c>
      <c r="R921">
        <v>40</v>
      </c>
    </row>
    <row r="922" spans="1:18" x14ac:dyDescent="0.25">
      <c r="A922" t="s">
        <v>1005</v>
      </c>
      <c r="B922" t="s">
        <v>52</v>
      </c>
      <c r="C922" t="s">
        <v>969</v>
      </c>
      <c r="D922" t="s">
        <v>52</v>
      </c>
      <c r="E922" t="s">
        <v>78</v>
      </c>
      <c r="F922" t="s">
        <v>252</v>
      </c>
      <c r="G922">
        <v>6.1670337999999996</v>
      </c>
      <c r="H922">
        <v>-75.581835699999999</v>
      </c>
      <c r="J922">
        <v>11</v>
      </c>
      <c r="M922">
        <v>261</v>
      </c>
      <c r="N922">
        <v>61</v>
      </c>
      <c r="O922">
        <v>36</v>
      </c>
      <c r="P922">
        <v>50</v>
      </c>
      <c r="Q922">
        <v>50</v>
      </c>
      <c r="R922">
        <v>87</v>
      </c>
    </row>
    <row r="923" spans="1:18" x14ac:dyDescent="0.25">
      <c r="A923" t="s">
        <v>1006</v>
      </c>
      <c r="B923" t="s">
        <v>52</v>
      </c>
      <c r="C923" t="s">
        <v>969</v>
      </c>
      <c r="D923" t="s">
        <v>52</v>
      </c>
      <c r="E923" t="s">
        <v>78</v>
      </c>
      <c r="F923" t="s">
        <v>252</v>
      </c>
      <c r="G923">
        <v>6.1670337999999996</v>
      </c>
      <c r="H923">
        <v>-75.581835699999999</v>
      </c>
      <c r="J923">
        <v>11</v>
      </c>
      <c r="M923">
        <v>260</v>
      </c>
      <c r="N923">
        <v>51</v>
      </c>
      <c r="O923">
        <v>36</v>
      </c>
      <c r="P923">
        <v>60</v>
      </c>
      <c r="Q923">
        <v>53</v>
      </c>
      <c r="R923">
        <v>73</v>
      </c>
    </row>
    <row r="924" spans="1:18" x14ac:dyDescent="0.25">
      <c r="A924" t="s">
        <v>1007</v>
      </c>
      <c r="B924" t="s">
        <v>52</v>
      </c>
      <c r="C924" t="s">
        <v>969</v>
      </c>
      <c r="D924" t="s">
        <v>52</v>
      </c>
      <c r="E924" t="s">
        <v>78</v>
      </c>
      <c r="F924" t="s">
        <v>252</v>
      </c>
      <c r="G924">
        <v>6.1670337999999996</v>
      </c>
      <c r="H924">
        <v>-75.581835699999999</v>
      </c>
      <c r="J924">
        <v>11</v>
      </c>
      <c r="M924">
        <v>256</v>
      </c>
      <c r="N924">
        <v>63</v>
      </c>
      <c r="O924">
        <v>30</v>
      </c>
      <c r="P924">
        <v>60</v>
      </c>
      <c r="Q924">
        <v>45</v>
      </c>
      <c r="R924">
        <v>71</v>
      </c>
    </row>
    <row r="925" spans="1:18" x14ac:dyDescent="0.25">
      <c r="A925" t="s">
        <v>1008</v>
      </c>
      <c r="B925" t="s">
        <v>52</v>
      </c>
      <c r="C925" t="s">
        <v>969</v>
      </c>
      <c r="D925" t="s">
        <v>52</v>
      </c>
      <c r="E925" t="s">
        <v>78</v>
      </c>
      <c r="F925" t="s">
        <v>252</v>
      </c>
      <c r="G925">
        <v>6.1670337999999996</v>
      </c>
      <c r="H925">
        <v>-75.581835699999999</v>
      </c>
      <c r="J925">
        <v>11</v>
      </c>
      <c r="M925">
        <v>256</v>
      </c>
      <c r="N925">
        <v>59</v>
      </c>
      <c r="O925">
        <v>42</v>
      </c>
      <c r="P925">
        <v>50</v>
      </c>
      <c r="Q925">
        <v>48</v>
      </c>
      <c r="R925">
        <v>69</v>
      </c>
    </row>
    <row r="926" spans="1:18" x14ac:dyDescent="0.25">
      <c r="A926" t="s">
        <v>1009</v>
      </c>
      <c r="B926" t="s">
        <v>52</v>
      </c>
      <c r="C926" t="s">
        <v>969</v>
      </c>
      <c r="D926" t="s">
        <v>52</v>
      </c>
      <c r="E926" t="s">
        <v>78</v>
      </c>
      <c r="F926" t="s">
        <v>252</v>
      </c>
      <c r="G926">
        <v>6.1670337999999996</v>
      </c>
      <c r="H926">
        <v>-75.581835699999999</v>
      </c>
      <c r="J926">
        <v>11</v>
      </c>
      <c r="M926">
        <v>253</v>
      </c>
      <c r="N926">
        <v>56</v>
      </c>
      <c r="O926">
        <v>42</v>
      </c>
      <c r="P926">
        <v>52</v>
      </c>
      <c r="Q926">
        <v>55</v>
      </c>
      <c r="R926">
        <v>42</v>
      </c>
    </row>
    <row r="927" spans="1:18" x14ac:dyDescent="0.25">
      <c r="A927" t="s">
        <v>1010</v>
      </c>
      <c r="B927" t="s">
        <v>52</v>
      </c>
      <c r="C927" t="s">
        <v>969</v>
      </c>
      <c r="D927" t="s">
        <v>52</v>
      </c>
      <c r="E927" t="s">
        <v>78</v>
      </c>
      <c r="F927" t="s">
        <v>252</v>
      </c>
      <c r="G927">
        <v>6.1670337999999996</v>
      </c>
      <c r="H927">
        <v>-75.581835699999999</v>
      </c>
      <c r="J927">
        <v>11</v>
      </c>
      <c r="M927">
        <v>252</v>
      </c>
      <c r="N927">
        <v>61</v>
      </c>
      <c r="O927">
        <v>42</v>
      </c>
      <c r="P927">
        <v>44</v>
      </c>
      <c r="Q927">
        <v>45</v>
      </c>
      <c r="R927">
        <v>80</v>
      </c>
    </row>
    <row r="928" spans="1:18" x14ac:dyDescent="0.25">
      <c r="A928" t="s">
        <v>1011</v>
      </c>
      <c r="B928" t="s">
        <v>52</v>
      </c>
      <c r="C928" t="s">
        <v>969</v>
      </c>
      <c r="D928" t="s">
        <v>52</v>
      </c>
      <c r="E928" t="s">
        <v>78</v>
      </c>
      <c r="F928" t="s">
        <v>252</v>
      </c>
      <c r="G928">
        <v>6.1670337999999996</v>
      </c>
      <c r="H928">
        <v>-75.581835699999999</v>
      </c>
      <c r="J928">
        <v>11</v>
      </c>
      <c r="M928">
        <v>245</v>
      </c>
      <c r="N928">
        <v>76</v>
      </c>
      <c r="O928">
        <v>30</v>
      </c>
      <c r="P928">
        <v>42</v>
      </c>
      <c r="Q928">
        <v>50</v>
      </c>
      <c r="R928">
        <v>45</v>
      </c>
    </row>
    <row r="929" spans="1:18" x14ac:dyDescent="0.25">
      <c r="A929" t="s">
        <v>1012</v>
      </c>
      <c r="B929" t="s">
        <v>52</v>
      </c>
      <c r="C929" t="s">
        <v>969</v>
      </c>
      <c r="D929" t="s">
        <v>52</v>
      </c>
      <c r="E929" t="s">
        <v>78</v>
      </c>
      <c r="F929" t="s">
        <v>252</v>
      </c>
      <c r="G929">
        <v>6.1670337999999996</v>
      </c>
      <c r="H929">
        <v>-75.581835699999999</v>
      </c>
      <c r="J929">
        <v>11</v>
      </c>
      <c r="M929">
        <v>245</v>
      </c>
      <c r="N929">
        <v>44</v>
      </c>
      <c r="O929">
        <v>36</v>
      </c>
      <c r="P929">
        <v>58</v>
      </c>
      <c r="Q929">
        <v>59</v>
      </c>
      <c r="R929">
        <v>47</v>
      </c>
    </row>
    <row r="930" spans="1:18" x14ac:dyDescent="0.25">
      <c r="A930" t="s">
        <v>1013</v>
      </c>
      <c r="B930" t="s">
        <v>52</v>
      </c>
      <c r="C930" t="s">
        <v>969</v>
      </c>
      <c r="D930" t="s">
        <v>52</v>
      </c>
      <c r="E930" t="s">
        <v>78</v>
      </c>
      <c r="F930" t="s">
        <v>252</v>
      </c>
      <c r="G930">
        <v>6.1670337999999996</v>
      </c>
      <c r="H930">
        <v>-75.581835699999999</v>
      </c>
      <c r="J930">
        <v>11</v>
      </c>
      <c r="M930">
        <v>244</v>
      </c>
      <c r="N930">
        <v>49</v>
      </c>
      <c r="O930">
        <v>32</v>
      </c>
      <c r="P930">
        <v>70</v>
      </c>
      <c r="Q930">
        <v>36</v>
      </c>
      <c r="R930">
        <v>73</v>
      </c>
    </row>
    <row r="931" spans="1:18" x14ac:dyDescent="0.25">
      <c r="A931" t="s">
        <v>1014</v>
      </c>
      <c r="B931" t="s">
        <v>52</v>
      </c>
      <c r="C931" t="s">
        <v>969</v>
      </c>
      <c r="D931" t="s">
        <v>52</v>
      </c>
      <c r="E931" t="s">
        <v>78</v>
      </c>
      <c r="F931" t="s">
        <v>252</v>
      </c>
      <c r="G931">
        <v>6.1670337999999996</v>
      </c>
      <c r="H931">
        <v>-75.581835699999999</v>
      </c>
      <c r="J931">
        <v>11</v>
      </c>
      <c r="M931">
        <v>243</v>
      </c>
      <c r="N931">
        <v>0</v>
      </c>
      <c r="O931">
        <v>46</v>
      </c>
      <c r="P931">
        <v>82</v>
      </c>
      <c r="Q931">
        <v>53</v>
      </c>
      <c r="R931">
        <v>87</v>
      </c>
    </row>
    <row r="932" spans="1:18" x14ac:dyDescent="0.25">
      <c r="A932" t="s">
        <v>1015</v>
      </c>
      <c r="B932" t="s">
        <v>52</v>
      </c>
      <c r="C932" t="s">
        <v>969</v>
      </c>
      <c r="D932" t="s">
        <v>52</v>
      </c>
      <c r="E932" t="s">
        <v>78</v>
      </c>
      <c r="F932" t="s">
        <v>252</v>
      </c>
      <c r="G932">
        <v>6.1670337999999996</v>
      </c>
      <c r="H932">
        <v>-75.581835699999999</v>
      </c>
      <c r="J932">
        <v>11</v>
      </c>
      <c r="M932">
        <v>242</v>
      </c>
      <c r="N932">
        <v>49</v>
      </c>
      <c r="O932">
        <v>30</v>
      </c>
      <c r="P932">
        <v>52</v>
      </c>
      <c r="Q932">
        <v>57</v>
      </c>
      <c r="R932">
        <v>67</v>
      </c>
    </row>
    <row r="933" spans="1:18" x14ac:dyDescent="0.25">
      <c r="A933" t="s">
        <v>1016</v>
      </c>
      <c r="B933" t="s">
        <v>52</v>
      </c>
      <c r="C933" t="s">
        <v>969</v>
      </c>
      <c r="D933" t="s">
        <v>52</v>
      </c>
      <c r="E933" t="s">
        <v>78</v>
      </c>
      <c r="F933" t="s">
        <v>252</v>
      </c>
      <c r="G933">
        <v>6.1670337999999996</v>
      </c>
      <c r="H933">
        <v>-75.581835699999999</v>
      </c>
      <c r="J933">
        <v>11</v>
      </c>
      <c r="M933">
        <v>241</v>
      </c>
      <c r="N933">
        <v>59</v>
      </c>
      <c r="O933">
        <v>36</v>
      </c>
      <c r="P933">
        <v>54</v>
      </c>
      <c r="Q933">
        <v>43</v>
      </c>
      <c r="R933">
        <v>51</v>
      </c>
    </row>
    <row r="934" spans="1:18" x14ac:dyDescent="0.25">
      <c r="A934" t="s">
        <v>1017</v>
      </c>
      <c r="B934" t="s">
        <v>52</v>
      </c>
      <c r="C934" t="s">
        <v>969</v>
      </c>
      <c r="D934" t="s">
        <v>52</v>
      </c>
      <c r="E934" t="s">
        <v>78</v>
      </c>
      <c r="F934" t="s">
        <v>252</v>
      </c>
      <c r="G934">
        <v>6.1670337999999996</v>
      </c>
      <c r="H934">
        <v>-75.581835699999999</v>
      </c>
      <c r="J934">
        <v>11</v>
      </c>
      <c r="M934">
        <v>240</v>
      </c>
      <c r="N934">
        <v>66</v>
      </c>
      <c r="O934">
        <v>40</v>
      </c>
      <c r="P934">
        <v>38</v>
      </c>
      <c r="Q934">
        <v>45</v>
      </c>
      <c r="R934">
        <v>58</v>
      </c>
    </row>
    <row r="935" spans="1:18" x14ac:dyDescent="0.25">
      <c r="A935" t="s">
        <v>1018</v>
      </c>
      <c r="B935" t="s">
        <v>52</v>
      </c>
      <c r="C935" t="s">
        <v>969</v>
      </c>
      <c r="D935" t="s">
        <v>52</v>
      </c>
      <c r="E935" t="s">
        <v>78</v>
      </c>
      <c r="F935" t="s">
        <v>252</v>
      </c>
      <c r="G935">
        <v>6.1670337999999996</v>
      </c>
      <c r="H935">
        <v>-75.581835699999999</v>
      </c>
      <c r="J935">
        <v>11</v>
      </c>
      <c r="M935">
        <v>239</v>
      </c>
      <c r="N935">
        <v>46</v>
      </c>
      <c r="O935">
        <v>42</v>
      </c>
      <c r="P935">
        <v>46</v>
      </c>
      <c r="Q935">
        <v>57</v>
      </c>
      <c r="R935">
        <v>47</v>
      </c>
    </row>
    <row r="936" spans="1:18" x14ac:dyDescent="0.25">
      <c r="A936" t="s">
        <v>1019</v>
      </c>
      <c r="B936" t="s">
        <v>52</v>
      </c>
      <c r="C936" t="s">
        <v>969</v>
      </c>
      <c r="D936" t="s">
        <v>52</v>
      </c>
      <c r="E936" t="s">
        <v>78</v>
      </c>
      <c r="F936" t="s">
        <v>252</v>
      </c>
      <c r="G936">
        <v>6.1670337999999996</v>
      </c>
      <c r="H936">
        <v>-75.581835699999999</v>
      </c>
      <c r="J936">
        <v>11</v>
      </c>
      <c r="M936">
        <v>238</v>
      </c>
      <c r="N936">
        <v>63</v>
      </c>
      <c r="O936">
        <v>32</v>
      </c>
      <c r="P936">
        <v>56</v>
      </c>
      <c r="Q936">
        <v>40</v>
      </c>
      <c r="R936">
        <v>45</v>
      </c>
    </row>
    <row r="937" spans="1:18" x14ac:dyDescent="0.25">
      <c r="A937" t="s">
        <v>1020</v>
      </c>
      <c r="B937" t="s">
        <v>52</v>
      </c>
      <c r="C937" t="s">
        <v>969</v>
      </c>
      <c r="D937" t="s">
        <v>52</v>
      </c>
      <c r="E937" t="s">
        <v>78</v>
      </c>
      <c r="F937" t="s">
        <v>252</v>
      </c>
      <c r="G937">
        <v>6.1670337999999996</v>
      </c>
      <c r="H937">
        <v>-75.581835699999999</v>
      </c>
      <c r="J937">
        <v>11</v>
      </c>
      <c r="M937">
        <v>238</v>
      </c>
      <c r="N937">
        <v>59</v>
      </c>
      <c r="O937">
        <v>36</v>
      </c>
      <c r="P937">
        <v>64</v>
      </c>
      <c r="Q937">
        <v>31</v>
      </c>
      <c r="R937">
        <v>49</v>
      </c>
    </row>
    <row r="938" spans="1:18" x14ac:dyDescent="0.25">
      <c r="A938" t="s">
        <v>1021</v>
      </c>
      <c r="B938" t="s">
        <v>52</v>
      </c>
      <c r="C938" t="s">
        <v>969</v>
      </c>
      <c r="D938" t="s">
        <v>52</v>
      </c>
      <c r="E938" t="s">
        <v>78</v>
      </c>
      <c r="F938" t="s">
        <v>252</v>
      </c>
      <c r="G938">
        <v>6.1670337999999996</v>
      </c>
      <c r="H938">
        <v>-75.581835699999999</v>
      </c>
      <c r="J938">
        <v>11</v>
      </c>
      <c r="M938">
        <v>236</v>
      </c>
      <c r="N938">
        <v>68</v>
      </c>
      <c r="O938">
        <v>20</v>
      </c>
      <c r="P938">
        <v>46</v>
      </c>
      <c r="Q938">
        <v>50</v>
      </c>
      <c r="R938">
        <v>60</v>
      </c>
    </row>
    <row r="939" spans="1:18" x14ac:dyDescent="0.25">
      <c r="A939" t="s">
        <v>1022</v>
      </c>
      <c r="B939" t="s">
        <v>52</v>
      </c>
      <c r="C939" t="s">
        <v>969</v>
      </c>
      <c r="D939" t="s">
        <v>52</v>
      </c>
      <c r="E939" t="s">
        <v>78</v>
      </c>
      <c r="F939" t="s">
        <v>252</v>
      </c>
      <c r="G939">
        <v>6.1670337999999996</v>
      </c>
      <c r="H939">
        <v>-75.581835699999999</v>
      </c>
      <c r="J939">
        <v>11</v>
      </c>
      <c r="M939">
        <v>233</v>
      </c>
      <c r="N939">
        <v>51</v>
      </c>
      <c r="O939">
        <v>32</v>
      </c>
      <c r="P939">
        <v>52</v>
      </c>
      <c r="Q939">
        <v>50</v>
      </c>
      <c r="R939">
        <v>51</v>
      </c>
    </row>
    <row r="940" spans="1:18" x14ac:dyDescent="0.25">
      <c r="A940" t="s">
        <v>1023</v>
      </c>
      <c r="B940" t="s">
        <v>52</v>
      </c>
      <c r="C940" t="s">
        <v>969</v>
      </c>
      <c r="D940" t="s">
        <v>52</v>
      </c>
      <c r="E940" t="s">
        <v>78</v>
      </c>
      <c r="F940" t="s">
        <v>252</v>
      </c>
      <c r="G940">
        <v>6.1670337999999996</v>
      </c>
      <c r="H940">
        <v>-75.581835699999999</v>
      </c>
      <c r="J940">
        <v>11</v>
      </c>
      <c r="M940">
        <v>229</v>
      </c>
      <c r="N940">
        <v>61</v>
      </c>
      <c r="O940">
        <v>34</v>
      </c>
      <c r="P940">
        <v>56</v>
      </c>
      <c r="Q940">
        <v>34</v>
      </c>
      <c r="R940">
        <v>40</v>
      </c>
    </row>
    <row r="941" spans="1:18" x14ac:dyDescent="0.25">
      <c r="A941" t="s">
        <v>1024</v>
      </c>
      <c r="B941" t="s">
        <v>52</v>
      </c>
      <c r="C941" t="s">
        <v>969</v>
      </c>
      <c r="D941" t="s">
        <v>52</v>
      </c>
      <c r="E941" t="s">
        <v>78</v>
      </c>
      <c r="F941" t="s">
        <v>252</v>
      </c>
      <c r="G941">
        <v>6.1670337999999996</v>
      </c>
      <c r="H941">
        <v>-75.581835699999999</v>
      </c>
      <c r="J941">
        <v>11</v>
      </c>
      <c r="M941">
        <v>228</v>
      </c>
      <c r="N941">
        <v>66</v>
      </c>
      <c r="O941">
        <v>44</v>
      </c>
      <c r="P941">
        <v>36</v>
      </c>
      <c r="Q941">
        <v>34</v>
      </c>
      <c r="R941">
        <v>53</v>
      </c>
    </row>
    <row r="942" spans="1:18" x14ac:dyDescent="0.25">
      <c r="A942" t="s">
        <v>1025</v>
      </c>
      <c r="B942" t="s">
        <v>52</v>
      </c>
      <c r="C942" t="s">
        <v>969</v>
      </c>
      <c r="D942" t="s">
        <v>52</v>
      </c>
      <c r="E942" t="s">
        <v>78</v>
      </c>
      <c r="F942" t="s">
        <v>252</v>
      </c>
      <c r="G942">
        <v>6.1670337999999996</v>
      </c>
      <c r="H942">
        <v>-75.581835699999999</v>
      </c>
      <c r="J942">
        <v>11</v>
      </c>
      <c r="M942">
        <v>225</v>
      </c>
      <c r="N942">
        <v>56</v>
      </c>
      <c r="O942">
        <v>40</v>
      </c>
      <c r="P942">
        <v>32</v>
      </c>
      <c r="Q942">
        <v>55</v>
      </c>
      <c r="R942">
        <v>36</v>
      </c>
    </row>
    <row r="943" spans="1:18" x14ac:dyDescent="0.25">
      <c r="A943" t="s">
        <v>1026</v>
      </c>
      <c r="B943" t="s">
        <v>52</v>
      </c>
      <c r="C943" t="s">
        <v>969</v>
      </c>
      <c r="D943" t="s">
        <v>52</v>
      </c>
      <c r="E943" t="s">
        <v>78</v>
      </c>
      <c r="F943" t="s">
        <v>252</v>
      </c>
      <c r="G943">
        <v>6.1670337999999996</v>
      </c>
      <c r="H943">
        <v>-75.581835699999999</v>
      </c>
      <c r="J943">
        <v>11</v>
      </c>
      <c r="M943">
        <v>223</v>
      </c>
      <c r="N943">
        <v>56</v>
      </c>
      <c r="O943">
        <v>26</v>
      </c>
      <c r="P943">
        <v>64</v>
      </c>
      <c r="Q943">
        <v>34</v>
      </c>
      <c r="R943">
        <v>38</v>
      </c>
    </row>
    <row r="944" spans="1:18" x14ac:dyDescent="0.25">
      <c r="A944" t="s">
        <v>1027</v>
      </c>
      <c r="B944" t="s">
        <v>52</v>
      </c>
      <c r="C944" t="s">
        <v>969</v>
      </c>
      <c r="D944" t="s">
        <v>52</v>
      </c>
      <c r="E944" t="s">
        <v>78</v>
      </c>
      <c r="F944" t="s">
        <v>252</v>
      </c>
      <c r="G944">
        <v>6.1670337999999996</v>
      </c>
      <c r="H944">
        <v>-75.581835699999999</v>
      </c>
      <c r="J944">
        <v>11</v>
      </c>
      <c r="M944">
        <v>223</v>
      </c>
      <c r="N944">
        <v>61</v>
      </c>
      <c r="O944">
        <v>32</v>
      </c>
      <c r="P944">
        <v>44</v>
      </c>
      <c r="Q944">
        <v>40</v>
      </c>
      <c r="R944">
        <v>49</v>
      </c>
    </row>
    <row r="945" spans="1:18" x14ac:dyDescent="0.25">
      <c r="A945" t="s">
        <v>1028</v>
      </c>
      <c r="B945" t="s">
        <v>52</v>
      </c>
      <c r="C945" t="s">
        <v>969</v>
      </c>
      <c r="D945" t="s">
        <v>52</v>
      </c>
      <c r="E945" t="s">
        <v>78</v>
      </c>
      <c r="F945" t="s">
        <v>252</v>
      </c>
      <c r="G945">
        <v>6.1670337999999996</v>
      </c>
      <c r="H945">
        <v>-75.581835699999999</v>
      </c>
      <c r="J945">
        <v>11</v>
      </c>
      <c r="M945">
        <v>221</v>
      </c>
      <c r="N945">
        <v>54</v>
      </c>
      <c r="O945">
        <v>28</v>
      </c>
      <c r="P945">
        <v>62</v>
      </c>
      <c r="Q945">
        <v>38</v>
      </c>
      <c r="R945">
        <v>31</v>
      </c>
    </row>
    <row r="946" spans="1:18" x14ac:dyDescent="0.25">
      <c r="A946" t="s">
        <v>1029</v>
      </c>
      <c r="B946" t="s">
        <v>52</v>
      </c>
      <c r="C946" t="s">
        <v>969</v>
      </c>
      <c r="D946" t="s">
        <v>52</v>
      </c>
      <c r="E946" t="s">
        <v>78</v>
      </c>
      <c r="F946" t="s">
        <v>252</v>
      </c>
      <c r="G946">
        <v>6.1670337999999996</v>
      </c>
      <c r="H946">
        <v>-75.581835699999999</v>
      </c>
      <c r="J946">
        <v>11</v>
      </c>
      <c r="M946">
        <v>220</v>
      </c>
      <c r="N946">
        <v>54</v>
      </c>
      <c r="O946">
        <v>46</v>
      </c>
      <c r="P946">
        <v>42</v>
      </c>
      <c r="Q946">
        <v>34</v>
      </c>
      <c r="R946">
        <v>44</v>
      </c>
    </row>
    <row r="947" spans="1:18" x14ac:dyDescent="0.25">
      <c r="A947" t="s">
        <v>1030</v>
      </c>
      <c r="B947" t="s">
        <v>52</v>
      </c>
      <c r="C947" t="s">
        <v>969</v>
      </c>
      <c r="D947" t="s">
        <v>52</v>
      </c>
      <c r="E947" t="s">
        <v>78</v>
      </c>
      <c r="F947" t="s">
        <v>252</v>
      </c>
      <c r="G947">
        <v>6.1670337999999996</v>
      </c>
      <c r="H947">
        <v>-75.581835699999999</v>
      </c>
      <c r="J947">
        <v>11</v>
      </c>
      <c r="M947">
        <v>220</v>
      </c>
      <c r="N947">
        <v>54</v>
      </c>
      <c r="O947">
        <v>30</v>
      </c>
      <c r="P947">
        <v>52</v>
      </c>
      <c r="Q947">
        <v>36</v>
      </c>
      <c r="R947">
        <v>56</v>
      </c>
    </row>
    <row r="948" spans="1:18" x14ac:dyDescent="0.25">
      <c r="A948" t="s">
        <v>1031</v>
      </c>
      <c r="B948" t="s">
        <v>52</v>
      </c>
      <c r="C948" t="s">
        <v>969</v>
      </c>
      <c r="D948" t="s">
        <v>52</v>
      </c>
      <c r="E948" t="s">
        <v>78</v>
      </c>
      <c r="F948" t="s">
        <v>252</v>
      </c>
      <c r="G948">
        <v>6.1670337999999996</v>
      </c>
      <c r="H948">
        <v>-75.581835699999999</v>
      </c>
      <c r="J948">
        <v>11</v>
      </c>
      <c r="M948">
        <v>218</v>
      </c>
      <c r="N948">
        <v>44</v>
      </c>
      <c r="O948">
        <v>46</v>
      </c>
      <c r="P948">
        <v>42</v>
      </c>
      <c r="Q948">
        <v>40</v>
      </c>
      <c r="R948">
        <v>53</v>
      </c>
    </row>
    <row r="949" spans="1:18" x14ac:dyDescent="0.25">
      <c r="A949" t="s">
        <v>1032</v>
      </c>
      <c r="B949" t="s">
        <v>52</v>
      </c>
      <c r="C949" t="s">
        <v>969</v>
      </c>
      <c r="D949" t="s">
        <v>52</v>
      </c>
      <c r="E949" t="s">
        <v>78</v>
      </c>
      <c r="F949" t="s">
        <v>252</v>
      </c>
      <c r="G949">
        <v>6.1670337999999996</v>
      </c>
      <c r="H949">
        <v>-75.581835699999999</v>
      </c>
      <c r="J949">
        <v>11</v>
      </c>
      <c r="M949">
        <v>217</v>
      </c>
      <c r="N949">
        <v>54</v>
      </c>
      <c r="O949">
        <v>48</v>
      </c>
      <c r="P949">
        <v>36</v>
      </c>
      <c r="Q949">
        <v>36</v>
      </c>
      <c r="R949">
        <v>44</v>
      </c>
    </row>
    <row r="950" spans="1:18" x14ac:dyDescent="0.25">
      <c r="A950" t="s">
        <v>1033</v>
      </c>
      <c r="B950" t="s">
        <v>52</v>
      </c>
      <c r="C950" t="s">
        <v>969</v>
      </c>
      <c r="D950" t="s">
        <v>52</v>
      </c>
      <c r="E950" t="s">
        <v>78</v>
      </c>
      <c r="F950" t="s">
        <v>252</v>
      </c>
      <c r="G950">
        <v>6.1670337999999996</v>
      </c>
      <c r="H950">
        <v>-75.581835699999999</v>
      </c>
      <c r="J950">
        <v>11</v>
      </c>
      <c r="M950">
        <v>216</v>
      </c>
      <c r="N950">
        <v>44</v>
      </c>
      <c r="O950">
        <v>30</v>
      </c>
      <c r="P950">
        <v>56</v>
      </c>
      <c r="Q950">
        <v>47</v>
      </c>
      <c r="R950">
        <v>33</v>
      </c>
    </row>
    <row r="951" spans="1:18" x14ac:dyDescent="0.25">
      <c r="A951" t="s">
        <v>1034</v>
      </c>
      <c r="B951" t="s">
        <v>52</v>
      </c>
      <c r="C951" t="s">
        <v>969</v>
      </c>
      <c r="D951" t="s">
        <v>52</v>
      </c>
      <c r="E951" t="s">
        <v>78</v>
      </c>
      <c r="F951" t="s">
        <v>252</v>
      </c>
      <c r="G951">
        <v>6.1670337999999996</v>
      </c>
      <c r="H951">
        <v>-75.581835699999999</v>
      </c>
      <c r="J951">
        <v>11</v>
      </c>
      <c r="M951">
        <v>216</v>
      </c>
      <c r="N951">
        <v>71</v>
      </c>
      <c r="O951">
        <v>26</v>
      </c>
      <c r="P951">
        <v>52</v>
      </c>
      <c r="Q951">
        <v>24</v>
      </c>
      <c r="R951">
        <v>42</v>
      </c>
    </row>
    <row r="952" spans="1:18" x14ac:dyDescent="0.25">
      <c r="A952" t="s">
        <v>1035</v>
      </c>
      <c r="B952" t="s">
        <v>52</v>
      </c>
      <c r="C952" t="s">
        <v>969</v>
      </c>
      <c r="D952" t="s">
        <v>52</v>
      </c>
      <c r="E952" t="s">
        <v>78</v>
      </c>
      <c r="F952" t="s">
        <v>252</v>
      </c>
      <c r="G952">
        <v>6.1670337999999996</v>
      </c>
      <c r="H952">
        <v>-75.581835699999999</v>
      </c>
      <c r="J952">
        <v>11</v>
      </c>
      <c r="M952">
        <v>215</v>
      </c>
      <c r="N952">
        <v>56</v>
      </c>
      <c r="O952">
        <v>52</v>
      </c>
      <c r="P952">
        <v>40</v>
      </c>
      <c r="Q952">
        <v>17</v>
      </c>
      <c r="R952">
        <v>64</v>
      </c>
    </row>
    <row r="953" spans="1:18" x14ac:dyDescent="0.25">
      <c r="A953" t="s">
        <v>1036</v>
      </c>
      <c r="B953" t="s">
        <v>52</v>
      </c>
      <c r="C953" t="s">
        <v>969</v>
      </c>
      <c r="D953" t="s">
        <v>52</v>
      </c>
      <c r="E953" t="s">
        <v>78</v>
      </c>
      <c r="F953" t="s">
        <v>252</v>
      </c>
      <c r="G953">
        <v>6.1670337999999996</v>
      </c>
      <c r="H953">
        <v>-75.581835699999999</v>
      </c>
      <c r="J953">
        <v>11</v>
      </c>
      <c r="M953">
        <v>214</v>
      </c>
      <c r="N953">
        <v>56</v>
      </c>
      <c r="O953">
        <v>38</v>
      </c>
      <c r="P953">
        <v>40</v>
      </c>
      <c r="Q953">
        <v>33</v>
      </c>
      <c r="R953">
        <v>56</v>
      </c>
    </row>
    <row r="954" spans="1:18" x14ac:dyDescent="0.25">
      <c r="A954" t="s">
        <v>1037</v>
      </c>
      <c r="B954" t="s">
        <v>52</v>
      </c>
      <c r="C954" t="s">
        <v>969</v>
      </c>
      <c r="D954" t="s">
        <v>52</v>
      </c>
      <c r="E954" t="s">
        <v>78</v>
      </c>
      <c r="F954" t="s">
        <v>252</v>
      </c>
      <c r="G954">
        <v>6.1670337999999996</v>
      </c>
      <c r="H954">
        <v>-75.581835699999999</v>
      </c>
      <c r="J954">
        <v>11</v>
      </c>
      <c r="M954">
        <v>214</v>
      </c>
      <c r="N954">
        <v>46</v>
      </c>
      <c r="O954">
        <v>34</v>
      </c>
      <c r="P954">
        <v>50</v>
      </c>
      <c r="Q954">
        <v>40</v>
      </c>
      <c r="R954">
        <v>45</v>
      </c>
    </row>
    <row r="955" spans="1:18" x14ac:dyDescent="0.25">
      <c r="A955" t="s">
        <v>1038</v>
      </c>
      <c r="B955" t="s">
        <v>52</v>
      </c>
      <c r="C955" t="s">
        <v>969</v>
      </c>
      <c r="D955" t="s">
        <v>52</v>
      </c>
      <c r="E955" t="s">
        <v>78</v>
      </c>
      <c r="F955" t="s">
        <v>252</v>
      </c>
      <c r="G955">
        <v>6.1670337999999996</v>
      </c>
      <c r="H955">
        <v>-75.581835699999999</v>
      </c>
      <c r="J955">
        <v>11</v>
      </c>
      <c r="M955">
        <v>212</v>
      </c>
      <c r="N955">
        <v>49</v>
      </c>
      <c r="O955">
        <v>36</v>
      </c>
      <c r="P955">
        <v>28</v>
      </c>
      <c r="Q955">
        <v>48</v>
      </c>
      <c r="R955">
        <v>67</v>
      </c>
    </row>
    <row r="956" spans="1:18" x14ac:dyDescent="0.25">
      <c r="A956" t="s">
        <v>1039</v>
      </c>
      <c r="B956" t="s">
        <v>52</v>
      </c>
      <c r="C956" t="s">
        <v>969</v>
      </c>
      <c r="D956" t="s">
        <v>52</v>
      </c>
      <c r="E956" t="s">
        <v>78</v>
      </c>
      <c r="F956" t="s">
        <v>252</v>
      </c>
      <c r="G956">
        <v>6.1670337999999996</v>
      </c>
      <c r="H956">
        <v>-75.581835699999999</v>
      </c>
      <c r="J956">
        <v>11</v>
      </c>
      <c r="M956">
        <v>210</v>
      </c>
      <c r="N956">
        <v>44</v>
      </c>
      <c r="O956">
        <v>16</v>
      </c>
      <c r="P956">
        <v>54</v>
      </c>
      <c r="Q956">
        <v>50</v>
      </c>
      <c r="R956">
        <v>55</v>
      </c>
    </row>
    <row r="957" spans="1:18" x14ac:dyDescent="0.25">
      <c r="A957" t="s">
        <v>1040</v>
      </c>
      <c r="B957" t="s">
        <v>52</v>
      </c>
      <c r="C957" t="s">
        <v>969</v>
      </c>
      <c r="D957" t="s">
        <v>52</v>
      </c>
      <c r="E957" t="s">
        <v>78</v>
      </c>
      <c r="F957" t="s">
        <v>252</v>
      </c>
      <c r="G957">
        <v>6.1670337999999996</v>
      </c>
      <c r="H957">
        <v>-75.581835699999999</v>
      </c>
      <c r="J957">
        <v>11</v>
      </c>
      <c r="M957">
        <v>210</v>
      </c>
      <c r="N957">
        <v>59</v>
      </c>
      <c r="O957">
        <v>30</v>
      </c>
      <c r="P957">
        <v>50</v>
      </c>
      <c r="Q957">
        <v>31</v>
      </c>
      <c r="R957">
        <v>36</v>
      </c>
    </row>
    <row r="958" spans="1:18" x14ac:dyDescent="0.25">
      <c r="A958" t="s">
        <v>1041</v>
      </c>
      <c r="B958" t="s">
        <v>52</v>
      </c>
      <c r="C958" t="s">
        <v>969</v>
      </c>
      <c r="D958" t="s">
        <v>52</v>
      </c>
      <c r="E958" t="s">
        <v>78</v>
      </c>
      <c r="F958" t="s">
        <v>252</v>
      </c>
      <c r="G958">
        <v>6.1670337999999996</v>
      </c>
      <c r="H958">
        <v>-75.581835699999999</v>
      </c>
      <c r="J958">
        <v>11</v>
      </c>
      <c r="M958">
        <v>209</v>
      </c>
      <c r="N958">
        <v>54</v>
      </c>
      <c r="O958">
        <v>34</v>
      </c>
      <c r="P958">
        <v>24</v>
      </c>
      <c r="Q958">
        <v>55</v>
      </c>
      <c r="R958">
        <v>42</v>
      </c>
    </row>
    <row r="959" spans="1:18" x14ac:dyDescent="0.25">
      <c r="A959" t="s">
        <v>1042</v>
      </c>
      <c r="B959" t="s">
        <v>52</v>
      </c>
      <c r="C959" t="s">
        <v>969</v>
      </c>
      <c r="D959" t="s">
        <v>52</v>
      </c>
      <c r="E959" t="s">
        <v>78</v>
      </c>
      <c r="F959" t="s">
        <v>252</v>
      </c>
      <c r="G959">
        <v>6.1670337999999996</v>
      </c>
      <c r="H959">
        <v>-75.581835699999999</v>
      </c>
      <c r="J959">
        <v>11</v>
      </c>
      <c r="M959">
        <v>208</v>
      </c>
      <c r="N959">
        <v>46</v>
      </c>
      <c r="O959">
        <v>32</v>
      </c>
      <c r="P959">
        <v>42</v>
      </c>
      <c r="Q959">
        <v>45</v>
      </c>
      <c r="R959">
        <v>45</v>
      </c>
    </row>
    <row r="960" spans="1:18" x14ac:dyDescent="0.25">
      <c r="A960" t="s">
        <v>1043</v>
      </c>
      <c r="B960" t="s">
        <v>52</v>
      </c>
      <c r="C960" t="s">
        <v>969</v>
      </c>
      <c r="D960" t="s">
        <v>52</v>
      </c>
      <c r="E960" t="s">
        <v>78</v>
      </c>
      <c r="F960" t="s">
        <v>252</v>
      </c>
      <c r="G960">
        <v>6.1670337999999996</v>
      </c>
      <c r="H960">
        <v>-75.581835699999999</v>
      </c>
      <c r="J960">
        <v>11</v>
      </c>
      <c r="M960">
        <v>207</v>
      </c>
      <c r="N960">
        <v>56</v>
      </c>
      <c r="O960">
        <v>34</v>
      </c>
      <c r="P960">
        <v>38</v>
      </c>
      <c r="Q960">
        <v>43</v>
      </c>
      <c r="R960">
        <v>25</v>
      </c>
    </row>
    <row r="961" spans="1:18" x14ac:dyDescent="0.25">
      <c r="A961" t="s">
        <v>1044</v>
      </c>
      <c r="B961" t="s">
        <v>52</v>
      </c>
      <c r="C961" t="s">
        <v>969</v>
      </c>
      <c r="D961" t="s">
        <v>52</v>
      </c>
      <c r="E961" t="s">
        <v>78</v>
      </c>
      <c r="F961" t="s">
        <v>252</v>
      </c>
      <c r="G961">
        <v>6.1670337999999996</v>
      </c>
      <c r="H961">
        <v>-75.581835699999999</v>
      </c>
      <c r="J961">
        <v>11</v>
      </c>
      <c r="M961">
        <v>206</v>
      </c>
      <c r="N961">
        <v>54</v>
      </c>
      <c r="O961">
        <v>34</v>
      </c>
      <c r="P961">
        <v>34</v>
      </c>
      <c r="Q961">
        <v>36</v>
      </c>
      <c r="R961">
        <v>62</v>
      </c>
    </row>
    <row r="962" spans="1:18" x14ac:dyDescent="0.25">
      <c r="A962" t="s">
        <v>1045</v>
      </c>
      <c r="B962" t="s">
        <v>52</v>
      </c>
      <c r="C962" t="s">
        <v>969</v>
      </c>
      <c r="D962" t="s">
        <v>52</v>
      </c>
      <c r="E962" t="s">
        <v>78</v>
      </c>
      <c r="F962" t="s">
        <v>252</v>
      </c>
      <c r="G962">
        <v>6.1670337999999996</v>
      </c>
      <c r="H962">
        <v>-75.581835699999999</v>
      </c>
      <c r="J962">
        <v>11</v>
      </c>
      <c r="M962">
        <v>204</v>
      </c>
      <c r="N962">
        <v>44</v>
      </c>
      <c r="O962">
        <v>40</v>
      </c>
      <c r="P962">
        <v>36</v>
      </c>
      <c r="Q962">
        <v>45</v>
      </c>
      <c r="R962">
        <v>36</v>
      </c>
    </row>
    <row r="963" spans="1:18" x14ac:dyDescent="0.25">
      <c r="A963" t="s">
        <v>1046</v>
      </c>
      <c r="B963" t="s">
        <v>52</v>
      </c>
      <c r="C963" t="s">
        <v>969</v>
      </c>
      <c r="D963" t="s">
        <v>52</v>
      </c>
      <c r="E963" t="s">
        <v>78</v>
      </c>
      <c r="F963" t="s">
        <v>252</v>
      </c>
      <c r="G963">
        <v>6.1670337999999996</v>
      </c>
      <c r="H963">
        <v>-75.581835699999999</v>
      </c>
      <c r="J963">
        <v>11</v>
      </c>
      <c r="M963">
        <v>204</v>
      </c>
      <c r="N963">
        <v>56</v>
      </c>
      <c r="O963">
        <v>22</v>
      </c>
      <c r="P963">
        <v>42</v>
      </c>
      <c r="Q963">
        <v>43</v>
      </c>
      <c r="R963">
        <v>40</v>
      </c>
    </row>
    <row r="964" spans="1:18" x14ac:dyDescent="0.25">
      <c r="A964" t="s">
        <v>1047</v>
      </c>
      <c r="B964" t="s">
        <v>52</v>
      </c>
      <c r="C964" t="s">
        <v>969</v>
      </c>
      <c r="D964" t="s">
        <v>52</v>
      </c>
      <c r="E964" t="s">
        <v>78</v>
      </c>
      <c r="F964" t="s">
        <v>252</v>
      </c>
      <c r="G964">
        <v>6.1670337999999996</v>
      </c>
      <c r="H964">
        <v>-75.581835699999999</v>
      </c>
      <c r="J964">
        <v>11</v>
      </c>
      <c r="M964">
        <v>200</v>
      </c>
      <c r="N964">
        <v>56</v>
      </c>
      <c r="O964">
        <v>26</v>
      </c>
      <c r="P964">
        <v>42</v>
      </c>
      <c r="Q964">
        <v>22</v>
      </c>
      <c r="R964">
        <v>80</v>
      </c>
    </row>
    <row r="965" spans="1:18" x14ac:dyDescent="0.25">
      <c r="A965" t="s">
        <v>1048</v>
      </c>
      <c r="B965" t="s">
        <v>52</v>
      </c>
      <c r="C965" t="s">
        <v>969</v>
      </c>
      <c r="D965" t="s">
        <v>52</v>
      </c>
      <c r="E965" t="s">
        <v>78</v>
      </c>
      <c r="F965" t="s">
        <v>252</v>
      </c>
      <c r="G965">
        <v>6.1670337999999996</v>
      </c>
      <c r="H965">
        <v>-75.581835699999999</v>
      </c>
      <c r="J965">
        <v>11</v>
      </c>
      <c r="M965">
        <v>199</v>
      </c>
      <c r="N965">
        <v>61</v>
      </c>
      <c r="O965">
        <v>40</v>
      </c>
      <c r="P965">
        <v>22</v>
      </c>
      <c r="Q965">
        <v>31</v>
      </c>
      <c r="R965">
        <v>56</v>
      </c>
    </row>
    <row r="966" spans="1:18" x14ac:dyDescent="0.25">
      <c r="A966" t="s">
        <v>1049</v>
      </c>
      <c r="B966" t="s">
        <v>52</v>
      </c>
      <c r="C966" t="s">
        <v>969</v>
      </c>
      <c r="D966" t="s">
        <v>52</v>
      </c>
      <c r="E966" t="s">
        <v>78</v>
      </c>
      <c r="F966" t="s">
        <v>252</v>
      </c>
      <c r="G966">
        <v>6.1670337999999996</v>
      </c>
      <c r="H966">
        <v>-75.581835699999999</v>
      </c>
      <c r="J966">
        <v>11</v>
      </c>
      <c r="M966">
        <v>199</v>
      </c>
      <c r="N966">
        <v>56</v>
      </c>
      <c r="O966">
        <v>32</v>
      </c>
      <c r="P966">
        <v>42</v>
      </c>
      <c r="Q966">
        <v>19</v>
      </c>
      <c r="R966">
        <v>71</v>
      </c>
    </row>
    <row r="967" spans="1:18" x14ac:dyDescent="0.25">
      <c r="A967" t="s">
        <v>1050</v>
      </c>
      <c r="B967" t="s">
        <v>52</v>
      </c>
      <c r="C967" t="s">
        <v>969</v>
      </c>
      <c r="D967" t="s">
        <v>52</v>
      </c>
      <c r="E967" t="s">
        <v>78</v>
      </c>
      <c r="F967" t="s">
        <v>252</v>
      </c>
      <c r="G967">
        <v>6.1670337999999996</v>
      </c>
      <c r="H967">
        <v>-75.581835699999999</v>
      </c>
      <c r="J967">
        <v>11</v>
      </c>
      <c r="M967">
        <v>197</v>
      </c>
      <c r="N967">
        <v>54</v>
      </c>
      <c r="O967">
        <v>38</v>
      </c>
      <c r="P967">
        <v>24</v>
      </c>
      <c r="Q967">
        <v>43</v>
      </c>
      <c r="R967">
        <v>36</v>
      </c>
    </row>
    <row r="968" spans="1:18" x14ac:dyDescent="0.25">
      <c r="A968" t="s">
        <v>1051</v>
      </c>
      <c r="B968" t="s">
        <v>52</v>
      </c>
      <c r="C968" t="s">
        <v>969</v>
      </c>
      <c r="D968" t="s">
        <v>52</v>
      </c>
      <c r="E968" t="s">
        <v>78</v>
      </c>
      <c r="F968" t="s">
        <v>252</v>
      </c>
      <c r="G968">
        <v>6.1670337999999996</v>
      </c>
      <c r="H968">
        <v>-75.581835699999999</v>
      </c>
      <c r="J968">
        <v>11</v>
      </c>
      <c r="M968">
        <v>196</v>
      </c>
      <c r="N968">
        <v>39</v>
      </c>
      <c r="O968">
        <v>34</v>
      </c>
      <c r="P968">
        <v>42</v>
      </c>
      <c r="Q968">
        <v>41</v>
      </c>
      <c r="R968">
        <v>40</v>
      </c>
    </row>
    <row r="969" spans="1:18" x14ac:dyDescent="0.25">
      <c r="A969" t="s">
        <v>1052</v>
      </c>
      <c r="B969" t="s">
        <v>52</v>
      </c>
      <c r="C969" t="s">
        <v>969</v>
      </c>
      <c r="D969" t="s">
        <v>52</v>
      </c>
      <c r="E969" t="s">
        <v>78</v>
      </c>
      <c r="F969" t="s">
        <v>252</v>
      </c>
      <c r="G969">
        <v>6.1670337999999996</v>
      </c>
      <c r="H969">
        <v>-75.581835699999999</v>
      </c>
      <c r="J969">
        <v>11</v>
      </c>
      <c r="M969">
        <v>195</v>
      </c>
      <c r="N969">
        <v>61</v>
      </c>
      <c r="O969">
        <v>28</v>
      </c>
      <c r="P969">
        <v>34</v>
      </c>
      <c r="Q969">
        <v>31</v>
      </c>
      <c r="R969">
        <v>45</v>
      </c>
    </row>
    <row r="970" spans="1:18" x14ac:dyDescent="0.25">
      <c r="A970" t="s">
        <v>1053</v>
      </c>
      <c r="B970" t="s">
        <v>52</v>
      </c>
      <c r="C970" t="s">
        <v>969</v>
      </c>
      <c r="D970" t="s">
        <v>52</v>
      </c>
      <c r="E970" t="s">
        <v>78</v>
      </c>
      <c r="F970" t="s">
        <v>252</v>
      </c>
      <c r="G970">
        <v>6.1670337999999996</v>
      </c>
      <c r="H970">
        <v>-75.581835699999999</v>
      </c>
      <c r="J970">
        <v>11</v>
      </c>
      <c r="M970">
        <v>195</v>
      </c>
      <c r="N970">
        <v>54</v>
      </c>
      <c r="O970">
        <v>32</v>
      </c>
      <c r="P970">
        <v>32</v>
      </c>
      <c r="Q970">
        <v>40</v>
      </c>
      <c r="R970">
        <v>35</v>
      </c>
    </row>
    <row r="971" spans="1:18" x14ac:dyDescent="0.25">
      <c r="A971" t="s">
        <v>1054</v>
      </c>
      <c r="B971" t="s">
        <v>52</v>
      </c>
      <c r="C971" t="s">
        <v>969</v>
      </c>
      <c r="D971" t="s">
        <v>52</v>
      </c>
      <c r="E971" t="s">
        <v>78</v>
      </c>
      <c r="F971" t="s">
        <v>252</v>
      </c>
      <c r="G971">
        <v>6.1670337999999996</v>
      </c>
      <c r="H971">
        <v>-75.581835699999999</v>
      </c>
      <c r="J971">
        <v>11</v>
      </c>
      <c r="M971">
        <v>194</v>
      </c>
      <c r="N971">
        <v>51</v>
      </c>
      <c r="O971">
        <v>28</v>
      </c>
      <c r="P971">
        <v>44</v>
      </c>
      <c r="Q971">
        <v>34</v>
      </c>
      <c r="R971">
        <v>31</v>
      </c>
    </row>
    <row r="972" spans="1:18" x14ac:dyDescent="0.25">
      <c r="A972" t="s">
        <v>1055</v>
      </c>
      <c r="B972" t="s">
        <v>52</v>
      </c>
      <c r="C972" t="s">
        <v>969</v>
      </c>
      <c r="D972" t="s">
        <v>52</v>
      </c>
      <c r="E972" t="s">
        <v>78</v>
      </c>
      <c r="F972" t="s">
        <v>252</v>
      </c>
      <c r="G972">
        <v>6.1670337999999996</v>
      </c>
      <c r="H972">
        <v>-75.581835699999999</v>
      </c>
      <c r="J972">
        <v>11</v>
      </c>
      <c r="M972">
        <v>191</v>
      </c>
      <c r="N972">
        <v>51</v>
      </c>
      <c r="O972">
        <v>32</v>
      </c>
      <c r="P972">
        <v>20</v>
      </c>
      <c r="Q972">
        <v>43</v>
      </c>
      <c r="R972">
        <v>58</v>
      </c>
    </row>
    <row r="973" spans="1:18" x14ac:dyDescent="0.25">
      <c r="A973" t="s">
        <v>1056</v>
      </c>
      <c r="B973" t="s">
        <v>52</v>
      </c>
      <c r="C973" t="s">
        <v>969</v>
      </c>
      <c r="D973" t="s">
        <v>52</v>
      </c>
      <c r="E973" t="s">
        <v>78</v>
      </c>
      <c r="F973" t="s">
        <v>252</v>
      </c>
      <c r="G973">
        <v>6.1670337999999996</v>
      </c>
      <c r="H973">
        <v>-75.581835699999999</v>
      </c>
      <c r="J973">
        <v>11</v>
      </c>
      <c r="M973">
        <v>190</v>
      </c>
      <c r="N973">
        <v>56</v>
      </c>
      <c r="O973">
        <v>22</v>
      </c>
      <c r="P973">
        <v>36</v>
      </c>
      <c r="Q973">
        <v>36</v>
      </c>
      <c r="R973">
        <v>44</v>
      </c>
    </row>
    <row r="974" spans="1:18" x14ac:dyDescent="0.25">
      <c r="A974" t="s">
        <v>1057</v>
      </c>
      <c r="B974" t="s">
        <v>52</v>
      </c>
      <c r="C974" t="s">
        <v>969</v>
      </c>
      <c r="D974" t="s">
        <v>52</v>
      </c>
      <c r="E974" t="s">
        <v>78</v>
      </c>
      <c r="F974" t="s">
        <v>252</v>
      </c>
      <c r="G974">
        <v>6.1670337999999996</v>
      </c>
      <c r="H974">
        <v>-75.581835699999999</v>
      </c>
      <c r="J974">
        <v>11</v>
      </c>
      <c r="M974">
        <v>189</v>
      </c>
      <c r="N974">
        <v>63</v>
      </c>
      <c r="O974">
        <v>22</v>
      </c>
      <c r="P974">
        <v>28</v>
      </c>
      <c r="Q974">
        <v>31</v>
      </c>
      <c r="R974">
        <v>58</v>
      </c>
    </row>
    <row r="975" spans="1:18" x14ac:dyDescent="0.25">
      <c r="A975" t="s">
        <v>1058</v>
      </c>
      <c r="B975" t="s">
        <v>52</v>
      </c>
      <c r="C975" t="s">
        <v>969</v>
      </c>
      <c r="D975" t="s">
        <v>52</v>
      </c>
      <c r="E975" t="s">
        <v>78</v>
      </c>
      <c r="F975" t="s">
        <v>252</v>
      </c>
      <c r="G975">
        <v>6.1670337999999996</v>
      </c>
      <c r="H975">
        <v>-75.581835699999999</v>
      </c>
      <c r="J975">
        <v>11</v>
      </c>
      <c r="M975">
        <v>188</v>
      </c>
      <c r="N975">
        <v>41</v>
      </c>
      <c r="O975">
        <v>28</v>
      </c>
      <c r="P975">
        <v>38</v>
      </c>
      <c r="Q975">
        <v>43</v>
      </c>
      <c r="R975">
        <v>38</v>
      </c>
    </row>
    <row r="976" spans="1:18" x14ac:dyDescent="0.25">
      <c r="A976" t="s">
        <v>1059</v>
      </c>
      <c r="B976" t="s">
        <v>52</v>
      </c>
      <c r="C976" t="s">
        <v>969</v>
      </c>
      <c r="D976" t="s">
        <v>52</v>
      </c>
      <c r="E976" t="s">
        <v>78</v>
      </c>
      <c r="F976" t="s">
        <v>252</v>
      </c>
      <c r="G976">
        <v>6.1670337999999996</v>
      </c>
      <c r="H976">
        <v>-75.581835699999999</v>
      </c>
      <c r="J976">
        <v>11</v>
      </c>
      <c r="M976">
        <v>188</v>
      </c>
      <c r="N976">
        <v>49</v>
      </c>
      <c r="O976">
        <v>40</v>
      </c>
      <c r="P976">
        <v>34</v>
      </c>
      <c r="Q976">
        <v>26</v>
      </c>
      <c r="R976">
        <v>42</v>
      </c>
    </row>
    <row r="977" spans="1:18" x14ac:dyDescent="0.25">
      <c r="A977" t="s">
        <v>1060</v>
      </c>
      <c r="B977" t="s">
        <v>52</v>
      </c>
      <c r="C977" t="s">
        <v>969</v>
      </c>
      <c r="D977" t="s">
        <v>52</v>
      </c>
      <c r="E977" t="s">
        <v>78</v>
      </c>
      <c r="F977" t="s">
        <v>252</v>
      </c>
      <c r="G977">
        <v>6.1670337999999996</v>
      </c>
      <c r="H977">
        <v>-75.581835699999999</v>
      </c>
      <c r="J977">
        <v>11</v>
      </c>
      <c r="M977">
        <v>187</v>
      </c>
      <c r="N977">
        <v>41</v>
      </c>
      <c r="O977">
        <v>38</v>
      </c>
      <c r="P977">
        <v>34</v>
      </c>
      <c r="Q977">
        <v>34</v>
      </c>
      <c r="R977">
        <v>44</v>
      </c>
    </row>
    <row r="978" spans="1:18" x14ac:dyDescent="0.25">
      <c r="A978" t="s">
        <v>1061</v>
      </c>
      <c r="B978" t="s">
        <v>52</v>
      </c>
      <c r="C978" t="s">
        <v>969</v>
      </c>
      <c r="D978" t="s">
        <v>52</v>
      </c>
      <c r="E978" t="s">
        <v>78</v>
      </c>
      <c r="F978" t="s">
        <v>252</v>
      </c>
      <c r="G978">
        <v>6.1670337999999996</v>
      </c>
      <c r="H978">
        <v>-75.581835699999999</v>
      </c>
      <c r="J978">
        <v>11</v>
      </c>
      <c r="M978">
        <v>187</v>
      </c>
      <c r="N978">
        <v>44</v>
      </c>
      <c r="O978">
        <v>34</v>
      </c>
      <c r="P978">
        <v>42</v>
      </c>
      <c r="Q978">
        <v>31</v>
      </c>
      <c r="R978">
        <v>35</v>
      </c>
    </row>
    <row r="979" spans="1:18" x14ac:dyDescent="0.25">
      <c r="A979" t="s">
        <v>1062</v>
      </c>
      <c r="B979" t="s">
        <v>52</v>
      </c>
      <c r="C979" t="s">
        <v>969</v>
      </c>
      <c r="D979" t="s">
        <v>52</v>
      </c>
      <c r="E979" t="s">
        <v>78</v>
      </c>
      <c r="F979" t="s">
        <v>252</v>
      </c>
      <c r="G979">
        <v>6.1670337999999996</v>
      </c>
      <c r="H979">
        <v>-75.581835699999999</v>
      </c>
      <c r="J979">
        <v>11</v>
      </c>
      <c r="M979">
        <v>187</v>
      </c>
      <c r="N979">
        <v>37</v>
      </c>
      <c r="O979">
        <v>24</v>
      </c>
      <c r="P979">
        <v>48</v>
      </c>
      <c r="Q979">
        <v>38</v>
      </c>
      <c r="R979">
        <v>47</v>
      </c>
    </row>
    <row r="980" spans="1:18" x14ac:dyDescent="0.25">
      <c r="A980" t="s">
        <v>1063</v>
      </c>
      <c r="B980" t="s">
        <v>52</v>
      </c>
      <c r="C980" t="s">
        <v>969</v>
      </c>
      <c r="D980" t="s">
        <v>52</v>
      </c>
      <c r="E980" t="s">
        <v>78</v>
      </c>
      <c r="F980" t="s">
        <v>252</v>
      </c>
      <c r="G980">
        <v>6.1670337999999996</v>
      </c>
      <c r="H980">
        <v>-75.581835699999999</v>
      </c>
      <c r="J980">
        <v>11</v>
      </c>
      <c r="M980">
        <v>183</v>
      </c>
      <c r="N980">
        <v>46</v>
      </c>
      <c r="O980">
        <v>38</v>
      </c>
      <c r="P980">
        <v>24</v>
      </c>
      <c r="Q980">
        <v>34</v>
      </c>
      <c r="R980">
        <v>47</v>
      </c>
    </row>
    <row r="981" spans="1:18" x14ac:dyDescent="0.25">
      <c r="A981" t="s">
        <v>1064</v>
      </c>
      <c r="B981" t="s">
        <v>52</v>
      </c>
      <c r="C981" t="s">
        <v>969</v>
      </c>
      <c r="D981" t="s">
        <v>52</v>
      </c>
      <c r="E981" t="s">
        <v>78</v>
      </c>
      <c r="F981" t="s">
        <v>252</v>
      </c>
      <c r="G981">
        <v>6.1670337999999996</v>
      </c>
      <c r="H981">
        <v>-75.581835699999999</v>
      </c>
      <c r="J981">
        <v>11</v>
      </c>
      <c r="M981">
        <v>182</v>
      </c>
      <c r="N981">
        <v>56</v>
      </c>
      <c r="O981">
        <v>28</v>
      </c>
      <c r="P981">
        <v>36</v>
      </c>
      <c r="Q981">
        <v>28</v>
      </c>
      <c r="R981">
        <v>31</v>
      </c>
    </row>
    <row r="982" spans="1:18" x14ac:dyDescent="0.25">
      <c r="A982" t="s">
        <v>1065</v>
      </c>
      <c r="B982" t="s">
        <v>52</v>
      </c>
      <c r="C982" t="s">
        <v>969</v>
      </c>
      <c r="D982" t="s">
        <v>52</v>
      </c>
      <c r="E982" t="s">
        <v>78</v>
      </c>
      <c r="F982" t="s">
        <v>252</v>
      </c>
      <c r="G982">
        <v>6.1670337999999996</v>
      </c>
      <c r="H982">
        <v>-75.581835699999999</v>
      </c>
      <c r="J982">
        <v>11</v>
      </c>
      <c r="M982">
        <v>182</v>
      </c>
      <c r="N982">
        <v>49</v>
      </c>
      <c r="O982">
        <v>34</v>
      </c>
      <c r="P982">
        <v>16</v>
      </c>
      <c r="Q982">
        <v>40</v>
      </c>
      <c r="R982">
        <v>58</v>
      </c>
    </row>
    <row r="983" spans="1:18" x14ac:dyDescent="0.25">
      <c r="A983" t="s">
        <v>1066</v>
      </c>
      <c r="B983" t="s">
        <v>52</v>
      </c>
      <c r="C983" t="s">
        <v>969</v>
      </c>
      <c r="D983" t="s">
        <v>52</v>
      </c>
      <c r="E983" t="s">
        <v>78</v>
      </c>
      <c r="F983" t="s">
        <v>252</v>
      </c>
      <c r="G983">
        <v>6.1670337999999996</v>
      </c>
      <c r="H983">
        <v>-75.581835699999999</v>
      </c>
      <c r="J983">
        <v>11</v>
      </c>
      <c r="M983">
        <v>182</v>
      </c>
      <c r="N983">
        <v>41</v>
      </c>
      <c r="O983">
        <v>22</v>
      </c>
      <c r="P983">
        <v>38</v>
      </c>
      <c r="Q983">
        <v>45</v>
      </c>
      <c r="R983">
        <v>35</v>
      </c>
    </row>
    <row r="984" spans="1:18" x14ac:dyDescent="0.25">
      <c r="A984" t="s">
        <v>1067</v>
      </c>
      <c r="B984" t="s">
        <v>52</v>
      </c>
      <c r="C984" t="s">
        <v>969</v>
      </c>
      <c r="D984" t="s">
        <v>52</v>
      </c>
      <c r="E984" t="s">
        <v>78</v>
      </c>
      <c r="F984" t="s">
        <v>252</v>
      </c>
      <c r="G984">
        <v>6.1670337999999996</v>
      </c>
      <c r="H984">
        <v>-75.581835699999999</v>
      </c>
      <c r="J984">
        <v>11</v>
      </c>
      <c r="M984">
        <v>182</v>
      </c>
      <c r="N984">
        <v>46</v>
      </c>
      <c r="O984">
        <v>24</v>
      </c>
      <c r="P984">
        <v>38</v>
      </c>
      <c r="Q984">
        <v>40</v>
      </c>
      <c r="R984">
        <v>29</v>
      </c>
    </row>
    <row r="985" spans="1:18" x14ac:dyDescent="0.25">
      <c r="A985" t="s">
        <v>1068</v>
      </c>
      <c r="B985" t="s">
        <v>52</v>
      </c>
      <c r="C985" t="s">
        <v>969</v>
      </c>
      <c r="D985" t="s">
        <v>52</v>
      </c>
      <c r="E985" t="s">
        <v>78</v>
      </c>
      <c r="F985" t="s">
        <v>252</v>
      </c>
      <c r="G985">
        <v>6.1670337999999996</v>
      </c>
      <c r="H985">
        <v>-75.581835699999999</v>
      </c>
      <c r="J985">
        <v>11</v>
      </c>
      <c r="M985">
        <v>182</v>
      </c>
      <c r="N985">
        <v>54</v>
      </c>
      <c r="O985">
        <v>26</v>
      </c>
      <c r="P985">
        <v>24</v>
      </c>
      <c r="Q985">
        <v>38</v>
      </c>
      <c r="R985">
        <v>47</v>
      </c>
    </row>
    <row r="986" spans="1:18" x14ac:dyDescent="0.25">
      <c r="A986" t="s">
        <v>1069</v>
      </c>
      <c r="B986" t="s">
        <v>52</v>
      </c>
      <c r="C986" t="s">
        <v>969</v>
      </c>
      <c r="D986" t="s">
        <v>52</v>
      </c>
      <c r="E986" t="s">
        <v>78</v>
      </c>
      <c r="F986" t="s">
        <v>252</v>
      </c>
      <c r="G986">
        <v>6.1670337999999996</v>
      </c>
      <c r="H986">
        <v>-75.581835699999999</v>
      </c>
      <c r="J986">
        <v>11</v>
      </c>
      <c r="M986">
        <v>181</v>
      </c>
      <c r="N986">
        <v>51</v>
      </c>
      <c r="O986">
        <v>22</v>
      </c>
      <c r="P986">
        <v>34</v>
      </c>
      <c r="Q986">
        <v>34</v>
      </c>
      <c r="R986">
        <v>45</v>
      </c>
    </row>
    <row r="987" spans="1:18" x14ac:dyDescent="0.25">
      <c r="A987" t="s">
        <v>1070</v>
      </c>
      <c r="B987" t="s">
        <v>52</v>
      </c>
      <c r="C987" t="s">
        <v>969</v>
      </c>
      <c r="D987" t="s">
        <v>52</v>
      </c>
      <c r="E987" t="s">
        <v>78</v>
      </c>
      <c r="F987" t="s">
        <v>252</v>
      </c>
      <c r="G987">
        <v>6.1670337999999996</v>
      </c>
      <c r="H987">
        <v>-75.581835699999999</v>
      </c>
      <c r="J987">
        <v>11</v>
      </c>
      <c r="M987">
        <v>180</v>
      </c>
      <c r="N987">
        <v>39</v>
      </c>
      <c r="O987">
        <v>30</v>
      </c>
      <c r="P987">
        <v>40</v>
      </c>
      <c r="Q987">
        <v>40</v>
      </c>
      <c r="R987">
        <v>22</v>
      </c>
    </row>
    <row r="988" spans="1:18" x14ac:dyDescent="0.25">
      <c r="A988" t="s">
        <v>1071</v>
      </c>
      <c r="B988" t="s">
        <v>52</v>
      </c>
      <c r="C988" t="s">
        <v>969</v>
      </c>
      <c r="D988" t="s">
        <v>52</v>
      </c>
      <c r="E988" t="s">
        <v>78</v>
      </c>
      <c r="F988" t="s">
        <v>252</v>
      </c>
      <c r="G988">
        <v>6.1670337999999996</v>
      </c>
      <c r="H988">
        <v>-75.581835699999999</v>
      </c>
      <c r="J988">
        <v>11</v>
      </c>
      <c r="M988">
        <v>178</v>
      </c>
      <c r="N988">
        <v>51</v>
      </c>
      <c r="O988">
        <v>26</v>
      </c>
      <c r="P988">
        <v>46</v>
      </c>
      <c r="Q988">
        <v>19</v>
      </c>
      <c r="R988">
        <v>36</v>
      </c>
    </row>
    <row r="989" spans="1:18" x14ac:dyDescent="0.25">
      <c r="A989" t="s">
        <v>1072</v>
      </c>
      <c r="B989" t="s">
        <v>52</v>
      </c>
      <c r="C989" t="s">
        <v>969</v>
      </c>
      <c r="D989" t="s">
        <v>52</v>
      </c>
      <c r="E989" t="s">
        <v>78</v>
      </c>
      <c r="F989" t="s">
        <v>252</v>
      </c>
      <c r="G989">
        <v>6.1670337999999996</v>
      </c>
      <c r="H989">
        <v>-75.581835699999999</v>
      </c>
      <c r="J989">
        <v>11</v>
      </c>
      <c r="M989">
        <v>178</v>
      </c>
      <c r="N989">
        <v>39</v>
      </c>
      <c r="O989">
        <v>34</v>
      </c>
      <c r="P989">
        <v>38</v>
      </c>
      <c r="Q989">
        <v>31</v>
      </c>
      <c r="R989">
        <v>36</v>
      </c>
    </row>
    <row r="990" spans="1:18" x14ac:dyDescent="0.25">
      <c r="A990" t="s">
        <v>1073</v>
      </c>
      <c r="B990" t="s">
        <v>52</v>
      </c>
      <c r="C990" t="s">
        <v>969</v>
      </c>
      <c r="D990" t="s">
        <v>52</v>
      </c>
      <c r="E990" t="s">
        <v>78</v>
      </c>
      <c r="F990" t="s">
        <v>252</v>
      </c>
      <c r="G990">
        <v>6.1670337999999996</v>
      </c>
      <c r="H990">
        <v>-75.581835699999999</v>
      </c>
      <c r="J990">
        <v>11</v>
      </c>
      <c r="M990">
        <v>176</v>
      </c>
      <c r="N990">
        <v>46</v>
      </c>
      <c r="O990">
        <v>42</v>
      </c>
      <c r="P990">
        <v>34</v>
      </c>
      <c r="Q990">
        <v>17</v>
      </c>
      <c r="R990">
        <v>38</v>
      </c>
    </row>
    <row r="991" spans="1:18" x14ac:dyDescent="0.25">
      <c r="A991" t="s">
        <v>1074</v>
      </c>
      <c r="B991" t="s">
        <v>52</v>
      </c>
      <c r="C991" t="s">
        <v>969</v>
      </c>
      <c r="D991" t="s">
        <v>52</v>
      </c>
      <c r="E991" t="s">
        <v>78</v>
      </c>
      <c r="F991" t="s">
        <v>252</v>
      </c>
      <c r="G991">
        <v>6.1670337999999996</v>
      </c>
      <c r="H991">
        <v>-75.581835699999999</v>
      </c>
      <c r="J991">
        <v>11</v>
      </c>
      <c r="M991">
        <v>175</v>
      </c>
      <c r="N991">
        <v>39</v>
      </c>
      <c r="O991">
        <v>24</v>
      </c>
      <c r="P991">
        <v>30</v>
      </c>
      <c r="Q991">
        <v>45</v>
      </c>
      <c r="R991">
        <v>42</v>
      </c>
    </row>
    <row r="992" spans="1:18" x14ac:dyDescent="0.25">
      <c r="A992" t="s">
        <v>1075</v>
      </c>
      <c r="B992" t="s">
        <v>52</v>
      </c>
      <c r="C992" t="s">
        <v>969</v>
      </c>
      <c r="D992" t="s">
        <v>52</v>
      </c>
      <c r="E992" t="s">
        <v>78</v>
      </c>
      <c r="F992" t="s">
        <v>252</v>
      </c>
      <c r="G992">
        <v>6.1670337999999996</v>
      </c>
      <c r="H992">
        <v>-75.581835699999999</v>
      </c>
      <c r="J992">
        <v>11</v>
      </c>
      <c r="M992">
        <v>175</v>
      </c>
      <c r="N992">
        <v>39</v>
      </c>
      <c r="O992">
        <v>24</v>
      </c>
      <c r="P992">
        <v>48</v>
      </c>
      <c r="Q992">
        <v>28</v>
      </c>
      <c r="R992">
        <v>38</v>
      </c>
    </row>
    <row r="993" spans="1:18" x14ac:dyDescent="0.25">
      <c r="A993" t="s">
        <v>1076</v>
      </c>
      <c r="B993" t="s">
        <v>52</v>
      </c>
      <c r="C993" t="s">
        <v>969</v>
      </c>
      <c r="D993" t="s">
        <v>52</v>
      </c>
      <c r="E993" t="s">
        <v>78</v>
      </c>
      <c r="F993" t="s">
        <v>252</v>
      </c>
      <c r="G993">
        <v>6.1670337999999996</v>
      </c>
      <c r="H993">
        <v>-75.581835699999999</v>
      </c>
      <c r="J993">
        <v>11</v>
      </c>
      <c r="M993">
        <v>173</v>
      </c>
      <c r="N993">
        <v>41</v>
      </c>
      <c r="O993">
        <v>36</v>
      </c>
      <c r="P993">
        <v>22</v>
      </c>
      <c r="Q993">
        <v>34</v>
      </c>
      <c r="R993">
        <v>47</v>
      </c>
    </row>
    <row r="994" spans="1:18" x14ac:dyDescent="0.25">
      <c r="A994" t="s">
        <v>1077</v>
      </c>
      <c r="B994" t="s">
        <v>52</v>
      </c>
      <c r="C994" t="s">
        <v>969</v>
      </c>
      <c r="D994" t="s">
        <v>52</v>
      </c>
      <c r="E994" t="s">
        <v>78</v>
      </c>
      <c r="F994" t="s">
        <v>252</v>
      </c>
      <c r="G994">
        <v>6.1670337999999996</v>
      </c>
      <c r="H994">
        <v>-75.581835699999999</v>
      </c>
      <c r="J994">
        <v>11</v>
      </c>
      <c r="M994">
        <v>171</v>
      </c>
      <c r="N994">
        <v>39</v>
      </c>
      <c r="O994">
        <v>32</v>
      </c>
      <c r="P994">
        <v>38</v>
      </c>
      <c r="Q994">
        <v>31</v>
      </c>
      <c r="R994">
        <v>25</v>
      </c>
    </row>
    <row r="995" spans="1:18" x14ac:dyDescent="0.25">
      <c r="A995" t="s">
        <v>1078</v>
      </c>
      <c r="B995" t="s">
        <v>52</v>
      </c>
      <c r="C995" t="s">
        <v>969</v>
      </c>
      <c r="D995" t="s">
        <v>52</v>
      </c>
      <c r="E995" t="s">
        <v>78</v>
      </c>
      <c r="F995" t="s">
        <v>252</v>
      </c>
      <c r="G995">
        <v>6.1670337999999996</v>
      </c>
      <c r="H995">
        <v>-75.581835699999999</v>
      </c>
      <c r="J995">
        <v>11</v>
      </c>
      <c r="M995">
        <v>171</v>
      </c>
      <c r="N995">
        <v>37</v>
      </c>
      <c r="O995">
        <v>30</v>
      </c>
      <c r="P995">
        <v>36</v>
      </c>
      <c r="Q995">
        <v>31</v>
      </c>
      <c r="R995">
        <v>44</v>
      </c>
    </row>
    <row r="996" spans="1:18" x14ac:dyDescent="0.25">
      <c r="A996" t="s">
        <v>1079</v>
      </c>
      <c r="B996" t="s">
        <v>52</v>
      </c>
      <c r="C996" t="s">
        <v>969</v>
      </c>
      <c r="D996" t="s">
        <v>52</v>
      </c>
      <c r="E996" t="s">
        <v>78</v>
      </c>
      <c r="F996" t="s">
        <v>252</v>
      </c>
      <c r="G996">
        <v>6.1670337999999996</v>
      </c>
      <c r="H996">
        <v>-75.581835699999999</v>
      </c>
      <c r="J996">
        <v>11</v>
      </c>
      <c r="M996">
        <v>171</v>
      </c>
      <c r="N996">
        <v>49</v>
      </c>
      <c r="O996">
        <v>28</v>
      </c>
      <c r="P996">
        <v>32</v>
      </c>
      <c r="Q996">
        <v>26</v>
      </c>
      <c r="R996">
        <v>40</v>
      </c>
    </row>
    <row r="997" spans="1:18" x14ac:dyDescent="0.25">
      <c r="A997" t="s">
        <v>1080</v>
      </c>
      <c r="B997" t="s">
        <v>52</v>
      </c>
      <c r="C997" t="s">
        <v>969</v>
      </c>
      <c r="D997" t="s">
        <v>52</v>
      </c>
      <c r="E997" t="s">
        <v>78</v>
      </c>
      <c r="F997" t="s">
        <v>252</v>
      </c>
      <c r="G997">
        <v>6.1670337999999996</v>
      </c>
      <c r="H997">
        <v>-75.581835699999999</v>
      </c>
      <c r="J997">
        <v>11</v>
      </c>
      <c r="M997">
        <v>170</v>
      </c>
      <c r="N997">
        <v>39</v>
      </c>
      <c r="O997">
        <v>34</v>
      </c>
      <c r="P997">
        <v>30</v>
      </c>
      <c r="Q997">
        <v>31</v>
      </c>
      <c r="R997">
        <v>40</v>
      </c>
    </row>
    <row r="998" spans="1:18" x14ac:dyDescent="0.25">
      <c r="A998" t="s">
        <v>1081</v>
      </c>
      <c r="B998" t="s">
        <v>52</v>
      </c>
      <c r="C998" t="s">
        <v>969</v>
      </c>
      <c r="D998" t="s">
        <v>52</v>
      </c>
      <c r="E998" t="s">
        <v>78</v>
      </c>
      <c r="F998" t="s">
        <v>252</v>
      </c>
      <c r="G998">
        <v>6.1670337999999996</v>
      </c>
      <c r="H998">
        <v>-75.581835699999999</v>
      </c>
      <c r="J998">
        <v>11</v>
      </c>
      <c r="M998">
        <v>169</v>
      </c>
      <c r="N998">
        <v>49</v>
      </c>
      <c r="O998">
        <v>22</v>
      </c>
      <c r="P998">
        <v>32</v>
      </c>
      <c r="Q998">
        <v>29</v>
      </c>
      <c r="R998">
        <v>44</v>
      </c>
    </row>
    <row r="999" spans="1:18" x14ac:dyDescent="0.25">
      <c r="A999" t="s">
        <v>1082</v>
      </c>
      <c r="B999" t="s">
        <v>52</v>
      </c>
      <c r="C999" t="s">
        <v>969</v>
      </c>
      <c r="D999" t="s">
        <v>52</v>
      </c>
      <c r="E999" t="s">
        <v>78</v>
      </c>
      <c r="F999" t="s">
        <v>252</v>
      </c>
      <c r="G999">
        <v>6.1670337999999996</v>
      </c>
      <c r="H999">
        <v>-75.581835699999999</v>
      </c>
      <c r="J999">
        <v>11</v>
      </c>
      <c r="M999">
        <v>169</v>
      </c>
      <c r="N999">
        <v>39</v>
      </c>
      <c r="O999">
        <v>42</v>
      </c>
      <c r="P999">
        <v>20</v>
      </c>
      <c r="Q999">
        <v>36</v>
      </c>
      <c r="R999">
        <v>27</v>
      </c>
    </row>
    <row r="1000" spans="1:18" x14ac:dyDescent="0.25">
      <c r="A1000" t="s">
        <v>1083</v>
      </c>
      <c r="B1000" t="s">
        <v>52</v>
      </c>
      <c r="C1000" t="s">
        <v>969</v>
      </c>
      <c r="D1000" t="s">
        <v>52</v>
      </c>
      <c r="E1000" t="s">
        <v>78</v>
      </c>
      <c r="F1000" t="s">
        <v>252</v>
      </c>
      <c r="G1000">
        <v>6.1670337999999996</v>
      </c>
      <c r="H1000">
        <v>-75.581835699999999</v>
      </c>
      <c r="J1000">
        <v>11</v>
      </c>
      <c r="M1000">
        <v>169</v>
      </c>
      <c r="N1000">
        <v>46</v>
      </c>
      <c r="O1000">
        <v>28</v>
      </c>
      <c r="P1000">
        <v>28</v>
      </c>
      <c r="Q1000">
        <v>31</v>
      </c>
      <c r="R1000">
        <v>38</v>
      </c>
    </row>
    <row r="1001" spans="1:18" x14ac:dyDescent="0.25">
      <c r="A1001" t="s">
        <v>1084</v>
      </c>
      <c r="B1001" t="s">
        <v>52</v>
      </c>
      <c r="C1001" t="s">
        <v>969</v>
      </c>
      <c r="D1001" t="s">
        <v>52</v>
      </c>
      <c r="E1001" t="s">
        <v>78</v>
      </c>
      <c r="F1001" t="s">
        <v>252</v>
      </c>
      <c r="G1001">
        <v>6.1670337999999996</v>
      </c>
      <c r="H1001">
        <v>-75.581835699999999</v>
      </c>
      <c r="J1001">
        <v>11</v>
      </c>
      <c r="M1001">
        <v>166</v>
      </c>
      <c r="N1001">
        <v>46</v>
      </c>
      <c r="O1001">
        <v>24</v>
      </c>
      <c r="P1001">
        <v>28</v>
      </c>
      <c r="Q1001">
        <v>29</v>
      </c>
      <c r="R1001">
        <v>49</v>
      </c>
    </row>
    <row r="1002" spans="1:18" x14ac:dyDescent="0.25">
      <c r="A1002" t="s">
        <v>1085</v>
      </c>
      <c r="B1002" t="s">
        <v>52</v>
      </c>
      <c r="C1002" t="s">
        <v>969</v>
      </c>
      <c r="D1002" t="s">
        <v>52</v>
      </c>
      <c r="E1002" t="s">
        <v>78</v>
      </c>
      <c r="F1002" t="s">
        <v>252</v>
      </c>
      <c r="G1002">
        <v>6.1670337999999996</v>
      </c>
      <c r="H1002">
        <v>-75.581835699999999</v>
      </c>
      <c r="J1002">
        <v>11</v>
      </c>
      <c r="M1002">
        <v>165</v>
      </c>
      <c r="N1002">
        <v>39</v>
      </c>
      <c r="O1002">
        <v>30</v>
      </c>
      <c r="P1002">
        <v>28</v>
      </c>
      <c r="Q1002">
        <v>34</v>
      </c>
      <c r="R1002">
        <v>35</v>
      </c>
    </row>
    <row r="1003" spans="1:18" x14ac:dyDescent="0.25">
      <c r="A1003" t="s">
        <v>1086</v>
      </c>
      <c r="B1003" t="s">
        <v>52</v>
      </c>
      <c r="C1003" t="s">
        <v>969</v>
      </c>
      <c r="D1003" t="s">
        <v>52</v>
      </c>
      <c r="E1003" t="s">
        <v>78</v>
      </c>
      <c r="F1003" t="s">
        <v>252</v>
      </c>
      <c r="G1003">
        <v>6.1670337999999996</v>
      </c>
      <c r="H1003">
        <v>-75.581835699999999</v>
      </c>
      <c r="J1003">
        <v>11</v>
      </c>
      <c r="M1003">
        <v>165</v>
      </c>
      <c r="N1003">
        <v>37</v>
      </c>
      <c r="O1003">
        <v>36</v>
      </c>
      <c r="P1003">
        <v>20</v>
      </c>
      <c r="Q1003">
        <v>31</v>
      </c>
      <c r="R1003">
        <v>58</v>
      </c>
    </row>
    <row r="1004" spans="1:18" x14ac:dyDescent="0.25">
      <c r="A1004" t="s">
        <v>1087</v>
      </c>
      <c r="B1004" t="s">
        <v>52</v>
      </c>
      <c r="C1004" t="s">
        <v>969</v>
      </c>
      <c r="D1004" t="s">
        <v>52</v>
      </c>
      <c r="E1004" t="s">
        <v>78</v>
      </c>
      <c r="F1004" t="s">
        <v>252</v>
      </c>
      <c r="G1004">
        <v>6.1670337999999996</v>
      </c>
      <c r="H1004">
        <v>-75.581835699999999</v>
      </c>
      <c r="J1004">
        <v>11</v>
      </c>
      <c r="M1004">
        <v>165</v>
      </c>
      <c r="N1004">
        <v>41</v>
      </c>
      <c r="O1004">
        <v>16</v>
      </c>
      <c r="P1004">
        <v>26</v>
      </c>
      <c r="Q1004">
        <v>45</v>
      </c>
      <c r="R1004">
        <v>44</v>
      </c>
    </row>
    <row r="1005" spans="1:18" x14ac:dyDescent="0.25">
      <c r="A1005" t="s">
        <v>1088</v>
      </c>
      <c r="B1005" t="s">
        <v>52</v>
      </c>
      <c r="C1005" t="s">
        <v>969</v>
      </c>
      <c r="D1005" t="s">
        <v>52</v>
      </c>
      <c r="E1005" t="s">
        <v>78</v>
      </c>
      <c r="F1005" t="s">
        <v>252</v>
      </c>
      <c r="G1005">
        <v>6.1670337999999996</v>
      </c>
      <c r="H1005">
        <v>-75.581835699999999</v>
      </c>
      <c r="J1005">
        <v>11</v>
      </c>
      <c r="M1005">
        <v>164</v>
      </c>
      <c r="N1005">
        <v>49</v>
      </c>
      <c r="O1005">
        <v>26</v>
      </c>
      <c r="P1005">
        <v>22</v>
      </c>
      <c r="Q1005">
        <v>33</v>
      </c>
      <c r="R1005">
        <v>38</v>
      </c>
    </row>
    <row r="1006" spans="1:18" x14ac:dyDescent="0.25">
      <c r="A1006" t="s">
        <v>1089</v>
      </c>
      <c r="B1006" t="s">
        <v>52</v>
      </c>
      <c r="C1006" t="s">
        <v>969</v>
      </c>
      <c r="D1006" t="s">
        <v>52</v>
      </c>
      <c r="E1006" t="s">
        <v>78</v>
      </c>
      <c r="F1006" t="s">
        <v>252</v>
      </c>
      <c r="G1006">
        <v>6.1670337999999996</v>
      </c>
      <c r="H1006">
        <v>-75.581835699999999</v>
      </c>
      <c r="J1006">
        <v>11</v>
      </c>
      <c r="M1006">
        <v>160</v>
      </c>
      <c r="N1006">
        <v>71</v>
      </c>
      <c r="O1006">
        <v>26</v>
      </c>
      <c r="P1006">
        <v>30</v>
      </c>
      <c r="Q1006">
        <v>12</v>
      </c>
      <c r="R1006">
        <v>0</v>
      </c>
    </row>
    <row r="1007" spans="1:18" x14ac:dyDescent="0.25">
      <c r="A1007" t="s">
        <v>1090</v>
      </c>
      <c r="B1007" t="s">
        <v>52</v>
      </c>
      <c r="C1007" t="s">
        <v>969</v>
      </c>
      <c r="D1007" t="s">
        <v>52</v>
      </c>
      <c r="E1007" t="s">
        <v>78</v>
      </c>
      <c r="F1007" t="s">
        <v>252</v>
      </c>
      <c r="G1007">
        <v>6.1670337999999996</v>
      </c>
      <c r="H1007">
        <v>-75.581835699999999</v>
      </c>
      <c r="J1007">
        <v>11</v>
      </c>
      <c r="M1007">
        <v>158</v>
      </c>
      <c r="N1007">
        <v>46</v>
      </c>
      <c r="O1007">
        <v>32</v>
      </c>
      <c r="P1007">
        <v>26</v>
      </c>
      <c r="Q1007">
        <v>22</v>
      </c>
      <c r="R1007">
        <v>31</v>
      </c>
    </row>
    <row r="1008" spans="1:18" x14ac:dyDescent="0.25">
      <c r="A1008" t="s">
        <v>1091</v>
      </c>
      <c r="B1008" t="s">
        <v>52</v>
      </c>
      <c r="C1008" t="s">
        <v>969</v>
      </c>
      <c r="D1008" t="s">
        <v>52</v>
      </c>
      <c r="E1008" t="s">
        <v>78</v>
      </c>
      <c r="F1008" t="s">
        <v>252</v>
      </c>
      <c r="G1008">
        <v>6.1670337999999996</v>
      </c>
      <c r="H1008">
        <v>-75.581835699999999</v>
      </c>
      <c r="J1008">
        <v>11</v>
      </c>
      <c r="M1008">
        <v>157</v>
      </c>
      <c r="N1008">
        <v>29</v>
      </c>
      <c r="O1008">
        <v>24</v>
      </c>
      <c r="P1008">
        <v>26</v>
      </c>
      <c r="Q1008">
        <v>41</v>
      </c>
      <c r="R1008">
        <v>45</v>
      </c>
    </row>
    <row r="1009" spans="1:18" x14ac:dyDescent="0.25">
      <c r="A1009" t="s">
        <v>1092</v>
      </c>
      <c r="B1009" t="s">
        <v>52</v>
      </c>
      <c r="C1009" t="s">
        <v>969</v>
      </c>
      <c r="D1009" t="s">
        <v>52</v>
      </c>
      <c r="E1009" t="s">
        <v>78</v>
      </c>
      <c r="F1009" t="s">
        <v>252</v>
      </c>
      <c r="G1009">
        <v>6.1670337999999996</v>
      </c>
      <c r="H1009">
        <v>-75.581835699999999</v>
      </c>
      <c r="J1009">
        <v>11</v>
      </c>
      <c r="M1009">
        <v>156</v>
      </c>
      <c r="N1009">
        <v>39</v>
      </c>
      <c r="O1009">
        <v>26</v>
      </c>
      <c r="P1009">
        <v>30</v>
      </c>
      <c r="Q1009">
        <v>31</v>
      </c>
      <c r="R1009">
        <v>27</v>
      </c>
    </row>
    <row r="1010" spans="1:18" x14ac:dyDescent="0.25">
      <c r="A1010" t="s">
        <v>1093</v>
      </c>
      <c r="B1010" t="s">
        <v>52</v>
      </c>
      <c r="C1010" t="s">
        <v>969</v>
      </c>
      <c r="D1010" t="s">
        <v>52</v>
      </c>
      <c r="E1010" t="s">
        <v>78</v>
      </c>
      <c r="F1010" t="s">
        <v>252</v>
      </c>
      <c r="G1010">
        <v>6.1670337999999996</v>
      </c>
      <c r="H1010">
        <v>-75.581835699999999</v>
      </c>
      <c r="J1010">
        <v>11</v>
      </c>
      <c r="M1010">
        <v>152</v>
      </c>
      <c r="N1010">
        <v>29</v>
      </c>
      <c r="O1010">
        <v>40</v>
      </c>
      <c r="P1010">
        <v>26</v>
      </c>
      <c r="Q1010">
        <v>28</v>
      </c>
      <c r="R1010">
        <v>27</v>
      </c>
    </row>
    <row r="1011" spans="1:18" x14ac:dyDescent="0.25">
      <c r="A1011" t="s">
        <v>1094</v>
      </c>
      <c r="B1011" t="s">
        <v>52</v>
      </c>
      <c r="C1011" t="s">
        <v>969</v>
      </c>
      <c r="D1011" t="s">
        <v>52</v>
      </c>
      <c r="E1011" t="s">
        <v>78</v>
      </c>
      <c r="F1011" t="s">
        <v>252</v>
      </c>
      <c r="G1011">
        <v>6.1670337999999996</v>
      </c>
      <c r="H1011">
        <v>-75.581835699999999</v>
      </c>
      <c r="J1011">
        <v>11</v>
      </c>
      <c r="M1011">
        <v>152</v>
      </c>
      <c r="N1011">
        <v>32</v>
      </c>
      <c r="O1011">
        <v>32</v>
      </c>
      <c r="P1011">
        <v>32</v>
      </c>
      <c r="Q1011">
        <v>24</v>
      </c>
      <c r="R1011">
        <v>35</v>
      </c>
    </row>
    <row r="1012" spans="1:18" x14ac:dyDescent="0.25">
      <c r="A1012" t="s">
        <v>1095</v>
      </c>
      <c r="B1012" t="s">
        <v>52</v>
      </c>
      <c r="C1012" t="s">
        <v>969</v>
      </c>
      <c r="D1012" t="s">
        <v>52</v>
      </c>
      <c r="E1012" t="s">
        <v>78</v>
      </c>
      <c r="F1012" t="s">
        <v>252</v>
      </c>
      <c r="G1012">
        <v>6.1670337999999996</v>
      </c>
      <c r="H1012">
        <v>-75.581835699999999</v>
      </c>
      <c r="J1012">
        <v>11</v>
      </c>
      <c r="M1012">
        <v>151</v>
      </c>
      <c r="N1012">
        <v>27</v>
      </c>
      <c r="O1012">
        <v>24</v>
      </c>
      <c r="P1012">
        <v>30</v>
      </c>
      <c r="Q1012">
        <v>34</v>
      </c>
      <c r="R1012">
        <v>47</v>
      </c>
    </row>
    <row r="1013" spans="1:18" x14ac:dyDescent="0.25">
      <c r="A1013" t="s">
        <v>1096</v>
      </c>
      <c r="B1013" t="s">
        <v>52</v>
      </c>
      <c r="C1013" t="s">
        <v>969</v>
      </c>
      <c r="D1013" t="s">
        <v>52</v>
      </c>
      <c r="E1013" t="s">
        <v>78</v>
      </c>
      <c r="F1013" t="s">
        <v>252</v>
      </c>
      <c r="G1013">
        <v>6.1670337999999996</v>
      </c>
      <c r="H1013">
        <v>-75.581835699999999</v>
      </c>
      <c r="J1013">
        <v>11</v>
      </c>
      <c r="M1013">
        <v>151</v>
      </c>
      <c r="N1013">
        <v>37</v>
      </c>
      <c r="O1013">
        <v>24</v>
      </c>
      <c r="P1013">
        <v>32</v>
      </c>
      <c r="Q1013">
        <v>26</v>
      </c>
      <c r="R1013">
        <v>36</v>
      </c>
    </row>
    <row r="1014" spans="1:18" x14ac:dyDescent="0.25">
      <c r="A1014" t="s">
        <v>1097</v>
      </c>
      <c r="B1014" t="s">
        <v>52</v>
      </c>
      <c r="C1014" t="s">
        <v>969</v>
      </c>
      <c r="D1014" t="s">
        <v>52</v>
      </c>
      <c r="E1014" t="s">
        <v>78</v>
      </c>
      <c r="F1014" t="s">
        <v>252</v>
      </c>
      <c r="G1014">
        <v>6.1670337999999996</v>
      </c>
      <c r="H1014">
        <v>-75.581835699999999</v>
      </c>
      <c r="J1014">
        <v>11</v>
      </c>
      <c r="M1014">
        <v>150</v>
      </c>
      <c r="N1014">
        <v>39</v>
      </c>
      <c r="O1014">
        <v>18</v>
      </c>
      <c r="P1014">
        <v>30</v>
      </c>
      <c r="Q1014">
        <v>29</v>
      </c>
      <c r="R1014">
        <v>42</v>
      </c>
    </row>
    <row r="1015" spans="1:18" x14ac:dyDescent="0.25">
      <c r="A1015" t="s">
        <v>1098</v>
      </c>
      <c r="B1015" t="s">
        <v>52</v>
      </c>
      <c r="C1015" t="s">
        <v>969</v>
      </c>
      <c r="D1015" t="s">
        <v>52</v>
      </c>
      <c r="E1015" t="s">
        <v>78</v>
      </c>
      <c r="F1015" t="s">
        <v>252</v>
      </c>
      <c r="G1015">
        <v>6.1670337999999996</v>
      </c>
      <c r="H1015">
        <v>-75.581835699999999</v>
      </c>
      <c r="J1015">
        <v>11</v>
      </c>
      <c r="M1015">
        <v>148</v>
      </c>
      <c r="N1015">
        <v>34</v>
      </c>
      <c r="O1015">
        <v>28</v>
      </c>
      <c r="P1015">
        <v>30</v>
      </c>
      <c r="Q1015">
        <v>26</v>
      </c>
      <c r="R1015">
        <v>31</v>
      </c>
    </row>
    <row r="1016" spans="1:18" x14ac:dyDescent="0.25">
      <c r="A1016" t="s">
        <v>1099</v>
      </c>
      <c r="B1016" t="s">
        <v>52</v>
      </c>
      <c r="C1016" t="s">
        <v>969</v>
      </c>
      <c r="D1016" t="s">
        <v>52</v>
      </c>
      <c r="E1016" t="s">
        <v>78</v>
      </c>
      <c r="F1016" t="s">
        <v>252</v>
      </c>
      <c r="G1016">
        <v>6.1670337999999996</v>
      </c>
      <c r="H1016">
        <v>-75.581835699999999</v>
      </c>
      <c r="J1016">
        <v>11</v>
      </c>
      <c r="M1016">
        <v>144</v>
      </c>
      <c r="N1016">
        <v>17</v>
      </c>
      <c r="O1016">
        <v>44</v>
      </c>
      <c r="P1016">
        <v>26</v>
      </c>
      <c r="Q1016">
        <v>19</v>
      </c>
      <c r="R1016">
        <v>56</v>
      </c>
    </row>
    <row r="1017" spans="1:18" x14ac:dyDescent="0.25">
      <c r="A1017" t="s">
        <v>1100</v>
      </c>
      <c r="B1017" t="s">
        <v>52</v>
      </c>
      <c r="C1017" t="s">
        <v>969</v>
      </c>
      <c r="D1017" t="s">
        <v>52</v>
      </c>
      <c r="E1017" t="s">
        <v>78</v>
      </c>
      <c r="F1017" t="s">
        <v>252</v>
      </c>
      <c r="G1017">
        <v>6.1670337999999996</v>
      </c>
      <c r="H1017">
        <v>-75.581835699999999</v>
      </c>
      <c r="J1017">
        <v>11</v>
      </c>
      <c r="M1017">
        <v>144</v>
      </c>
      <c r="N1017">
        <v>37</v>
      </c>
      <c r="O1017">
        <v>32</v>
      </c>
      <c r="P1017">
        <v>26</v>
      </c>
      <c r="Q1017">
        <v>19</v>
      </c>
      <c r="R1017">
        <v>33</v>
      </c>
    </row>
    <row r="1018" spans="1:18" x14ac:dyDescent="0.25">
      <c r="A1018" t="s">
        <v>1101</v>
      </c>
      <c r="B1018" t="s">
        <v>52</v>
      </c>
      <c r="C1018" t="s">
        <v>969</v>
      </c>
      <c r="D1018" t="s">
        <v>52</v>
      </c>
      <c r="E1018" t="s">
        <v>78</v>
      </c>
      <c r="F1018" t="s">
        <v>252</v>
      </c>
      <c r="G1018">
        <v>6.1670337999999996</v>
      </c>
      <c r="H1018">
        <v>-75.581835699999999</v>
      </c>
      <c r="J1018">
        <v>11</v>
      </c>
      <c r="M1018">
        <v>143</v>
      </c>
      <c r="N1018">
        <v>34</v>
      </c>
      <c r="O1018">
        <v>26</v>
      </c>
      <c r="P1018">
        <v>24</v>
      </c>
      <c r="Q1018">
        <v>31</v>
      </c>
      <c r="R1018">
        <v>27</v>
      </c>
    </row>
    <row r="1019" spans="1:18" x14ac:dyDescent="0.25">
      <c r="A1019" t="s">
        <v>1102</v>
      </c>
      <c r="B1019" t="s">
        <v>52</v>
      </c>
      <c r="C1019" t="s">
        <v>969</v>
      </c>
      <c r="D1019" t="s">
        <v>52</v>
      </c>
      <c r="E1019" t="s">
        <v>78</v>
      </c>
      <c r="F1019" t="s">
        <v>252</v>
      </c>
      <c r="G1019">
        <v>6.1670337999999996</v>
      </c>
      <c r="H1019">
        <v>-75.581835699999999</v>
      </c>
      <c r="J1019">
        <v>11</v>
      </c>
      <c r="M1019">
        <v>141</v>
      </c>
      <c r="N1019">
        <v>56</v>
      </c>
      <c r="O1019">
        <v>18</v>
      </c>
      <c r="P1019">
        <v>22</v>
      </c>
      <c r="Q1019">
        <v>26</v>
      </c>
      <c r="R1019">
        <v>0</v>
      </c>
    </row>
    <row r="1020" spans="1:18" x14ac:dyDescent="0.25">
      <c r="A1020" t="s">
        <v>1103</v>
      </c>
      <c r="B1020" t="s">
        <v>52</v>
      </c>
      <c r="C1020" t="s">
        <v>969</v>
      </c>
      <c r="D1020" t="s">
        <v>52</v>
      </c>
      <c r="E1020" t="s">
        <v>78</v>
      </c>
      <c r="F1020" t="s">
        <v>252</v>
      </c>
      <c r="G1020">
        <v>6.1670337999999996</v>
      </c>
      <c r="H1020">
        <v>-75.581835699999999</v>
      </c>
      <c r="J1020">
        <v>11</v>
      </c>
      <c r="M1020">
        <v>138</v>
      </c>
      <c r="N1020">
        <v>51</v>
      </c>
      <c r="O1020">
        <v>16</v>
      </c>
      <c r="P1020">
        <v>18</v>
      </c>
      <c r="Q1020">
        <v>34</v>
      </c>
      <c r="R1020">
        <v>0</v>
      </c>
    </row>
    <row r="1021" spans="1:18" x14ac:dyDescent="0.25">
      <c r="A1021" t="s">
        <v>1104</v>
      </c>
      <c r="B1021" t="s">
        <v>52</v>
      </c>
      <c r="C1021" t="s">
        <v>969</v>
      </c>
      <c r="D1021" t="s">
        <v>52</v>
      </c>
      <c r="E1021" t="s">
        <v>78</v>
      </c>
      <c r="F1021" t="s">
        <v>252</v>
      </c>
      <c r="G1021">
        <v>6.1670337999999996</v>
      </c>
      <c r="H1021">
        <v>-75.581835699999999</v>
      </c>
      <c r="J1021">
        <v>11</v>
      </c>
      <c r="M1021">
        <v>134</v>
      </c>
      <c r="N1021">
        <v>32</v>
      </c>
      <c r="O1021">
        <v>32</v>
      </c>
      <c r="P1021">
        <v>14</v>
      </c>
      <c r="Q1021">
        <v>22</v>
      </c>
      <c r="R1021">
        <v>47</v>
      </c>
    </row>
    <row r="1022" spans="1:18" x14ac:dyDescent="0.25">
      <c r="A1022" t="s">
        <v>1105</v>
      </c>
      <c r="B1022" t="s">
        <v>52</v>
      </c>
      <c r="C1022" t="s">
        <v>969</v>
      </c>
      <c r="D1022" t="s">
        <v>52</v>
      </c>
      <c r="E1022" t="s">
        <v>78</v>
      </c>
      <c r="F1022" t="s">
        <v>252</v>
      </c>
      <c r="G1022">
        <v>6.1670337999999996</v>
      </c>
      <c r="H1022">
        <v>-75.581835699999999</v>
      </c>
      <c r="J1022">
        <v>11</v>
      </c>
      <c r="M1022">
        <v>130</v>
      </c>
      <c r="N1022">
        <v>27</v>
      </c>
      <c r="O1022">
        <v>20</v>
      </c>
      <c r="P1022">
        <v>24</v>
      </c>
      <c r="Q1022">
        <v>29</v>
      </c>
      <c r="R1022">
        <v>36</v>
      </c>
    </row>
    <row r="1023" spans="1:18" x14ac:dyDescent="0.25">
      <c r="A1023" t="s">
        <v>1106</v>
      </c>
      <c r="B1023" t="s">
        <v>52</v>
      </c>
      <c r="C1023" t="s">
        <v>969</v>
      </c>
      <c r="D1023" t="s">
        <v>52</v>
      </c>
      <c r="E1023" t="s">
        <v>78</v>
      </c>
      <c r="F1023" t="s">
        <v>252</v>
      </c>
      <c r="G1023">
        <v>6.1670337999999996</v>
      </c>
      <c r="H1023">
        <v>-75.581835699999999</v>
      </c>
      <c r="J1023">
        <v>11</v>
      </c>
      <c r="M1023">
        <v>122</v>
      </c>
      <c r="N1023">
        <v>29</v>
      </c>
      <c r="O1023">
        <v>14</v>
      </c>
      <c r="P1023">
        <v>28</v>
      </c>
      <c r="Q1023">
        <v>22</v>
      </c>
      <c r="R1023">
        <v>36</v>
      </c>
    </row>
    <row r="1024" spans="1:18" x14ac:dyDescent="0.25">
      <c r="A1024" t="s">
        <v>1107</v>
      </c>
      <c r="B1024" t="s">
        <v>52</v>
      </c>
      <c r="C1024" t="s">
        <v>969</v>
      </c>
      <c r="D1024" t="s">
        <v>52</v>
      </c>
      <c r="E1024" t="s">
        <v>78</v>
      </c>
      <c r="F1024" t="s">
        <v>252</v>
      </c>
      <c r="G1024">
        <v>6.1670337999999996</v>
      </c>
      <c r="H1024">
        <v>-75.581835699999999</v>
      </c>
      <c r="J1024">
        <v>11</v>
      </c>
      <c r="M1024">
        <v>122</v>
      </c>
      <c r="N1024">
        <v>44</v>
      </c>
      <c r="O1024">
        <v>14</v>
      </c>
      <c r="P1024">
        <v>20</v>
      </c>
      <c r="Q1024">
        <v>28</v>
      </c>
      <c r="R1024">
        <v>0</v>
      </c>
    </row>
    <row r="1025" spans="1:18" x14ac:dyDescent="0.25">
      <c r="A1025" t="s">
        <v>1108</v>
      </c>
      <c r="B1025" t="s">
        <v>52</v>
      </c>
      <c r="C1025" t="s">
        <v>969</v>
      </c>
      <c r="D1025" t="s">
        <v>52</v>
      </c>
      <c r="E1025" t="s">
        <v>78</v>
      </c>
      <c r="F1025" t="s">
        <v>252</v>
      </c>
      <c r="G1025">
        <v>6.1670337999999996</v>
      </c>
      <c r="H1025">
        <v>-75.581835699999999</v>
      </c>
      <c r="J1025">
        <v>11</v>
      </c>
      <c r="M1025">
        <v>104</v>
      </c>
      <c r="N1025">
        <v>54</v>
      </c>
      <c r="O1025">
        <v>14</v>
      </c>
      <c r="P1025">
        <v>14</v>
      </c>
      <c r="Q1025">
        <v>9</v>
      </c>
      <c r="R1025">
        <v>0</v>
      </c>
    </row>
    <row r="1026" spans="1:18" x14ac:dyDescent="0.25">
      <c r="A1026" t="s">
        <v>1109</v>
      </c>
      <c r="B1026" t="s">
        <v>52</v>
      </c>
      <c r="C1026" t="s">
        <v>969</v>
      </c>
      <c r="D1026" t="s">
        <v>52</v>
      </c>
      <c r="E1026" t="s">
        <v>78</v>
      </c>
      <c r="F1026" t="s">
        <v>252</v>
      </c>
      <c r="G1026">
        <v>6.1670337999999996</v>
      </c>
      <c r="H1026">
        <v>-75.581835699999999</v>
      </c>
      <c r="J1026">
        <v>11</v>
      </c>
      <c r="M1026">
        <v>89</v>
      </c>
      <c r="N1026">
        <v>0</v>
      </c>
      <c r="O1026">
        <v>12</v>
      </c>
      <c r="P1026">
        <v>22</v>
      </c>
      <c r="Q1026">
        <v>26</v>
      </c>
      <c r="R1026">
        <v>51</v>
      </c>
    </row>
    <row r="1027" spans="1:18" x14ac:dyDescent="0.25">
      <c r="A1027" t="s">
        <v>1110</v>
      </c>
      <c r="B1027" t="s">
        <v>52</v>
      </c>
      <c r="C1027" t="s">
        <v>969</v>
      </c>
      <c r="D1027" t="s">
        <v>52</v>
      </c>
      <c r="E1027" t="s">
        <v>78</v>
      </c>
      <c r="F1027" t="s">
        <v>252</v>
      </c>
      <c r="G1027">
        <v>6.1670337999999996</v>
      </c>
      <c r="H1027">
        <v>-75.581835699999999</v>
      </c>
      <c r="J1027">
        <v>11</v>
      </c>
      <c r="M1027">
        <v>87</v>
      </c>
      <c r="N1027">
        <v>0</v>
      </c>
      <c r="O1027">
        <v>10</v>
      </c>
      <c r="P1027">
        <v>20</v>
      </c>
      <c r="Q1027">
        <v>22</v>
      </c>
      <c r="R1027">
        <v>69</v>
      </c>
    </row>
    <row r="1028" spans="1:18" x14ac:dyDescent="0.25">
      <c r="A1028" t="s">
        <v>1111</v>
      </c>
      <c r="B1028" t="s">
        <v>52</v>
      </c>
      <c r="C1028" t="s">
        <v>969</v>
      </c>
      <c r="D1028" t="s">
        <v>52</v>
      </c>
      <c r="E1028" t="s">
        <v>78</v>
      </c>
      <c r="F1028" t="s">
        <v>252</v>
      </c>
      <c r="G1028">
        <v>6.1670337999999996</v>
      </c>
      <c r="H1028">
        <v>-75.581835699999999</v>
      </c>
      <c r="J1028">
        <v>11</v>
      </c>
      <c r="M1028">
        <v>84</v>
      </c>
      <c r="N1028">
        <v>0</v>
      </c>
      <c r="O1028">
        <v>10</v>
      </c>
      <c r="P1028">
        <v>30</v>
      </c>
      <c r="Q1028">
        <v>17</v>
      </c>
      <c r="R1028">
        <v>45</v>
      </c>
    </row>
    <row r="1029" spans="1:18" x14ac:dyDescent="0.25">
      <c r="A1029" t="s">
        <v>1112</v>
      </c>
      <c r="B1029" t="s">
        <v>52</v>
      </c>
      <c r="C1029" t="s">
        <v>969</v>
      </c>
      <c r="D1029" t="s">
        <v>52</v>
      </c>
      <c r="E1029" t="s">
        <v>78</v>
      </c>
      <c r="F1029" t="s">
        <v>252</v>
      </c>
      <c r="G1029">
        <v>6.1670337999999996</v>
      </c>
      <c r="H1029">
        <v>-75.581835699999999</v>
      </c>
      <c r="J1029">
        <v>11</v>
      </c>
      <c r="M1029">
        <v>82</v>
      </c>
      <c r="N1029">
        <v>20</v>
      </c>
      <c r="O1029">
        <v>20</v>
      </c>
      <c r="P1029">
        <v>18</v>
      </c>
      <c r="Q1029">
        <v>14</v>
      </c>
      <c r="R1029">
        <v>0</v>
      </c>
    </row>
    <row r="1030" spans="1:18" x14ac:dyDescent="0.25">
      <c r="A1030" t="s">
        <v>1113</v>
      </c>
      <c r="B1030" t="s">
        <v>52</v>
      </c>
      <c r="C1030" t="s">
        <v>969</v>
      </c>
      <c r="D1030" t="s">
        <v>52</v>
      </c>
      <c r="E1030" t="s">
        <v>78</v>
      </c>
      <c r="F1030" t="s">
        <v>252</v>
      </c>
      <c r="G1030">
        <v>6.1670337999999996</v>
      </c>
      <c r="H1030">
        <v>-75.581835699999999</v>
      </c>
      <c r="J1030">
        <v>11</v>
      </c>
      <c r="M1030">
        <v>73</v>
      </c>
      <c r="N1030">
        <v>32</v>
      </c>
      <c r="O1030">
        <v>10</v>
      </c>
      <c r="P1030">
        <v>8</v>
      </c>
      <c r="Q1030">
        <v>14</v>
      </c>
      <c r="R1030">
        <v>0</v>
      </c>
    </row>
    <row r="1031" spans="1:18" x14ac:dyDescent="0.25">
      <c r="A1031" t="s">
        <v>1114</v>
      </c>
      <c r="B1031" t="s">
        <v>52</v>
      </c>
      <c r="C1031" t="s">
        <v>969</v>
      </c>
      <c r="D1031" t="s">
        <v>52</v>
      </c>
      <c r="E1031" t="s">
        <v>78</v>
      </c>
      <c r="F1031" t="s">
        <v>252</v>
      </c>
      <c r="G1031">
        <v>6.1670337999999996</v>
      </c>
      <c r="H1031">
        <v>-75.581835699999999</v>
      </c>
      <c r="J1031">
        <v>11</v>
      </c>
      <c r="M1031">
        <v>63</v>
      </c>
      <c r="N1031">
        <v>32</v>
      </c>
      <c r="O1031">
        <v>10</v>
      </c>
      <c r="P1031">
        <v>6</v>
      </c>
      <c r="Q1031">
        <v>7</v>
      </c>
      <c r="R1031">
        <v>0</v>
      </c>
    </row>
    <row r="1032" spans="1:18" x14ac:dyDescent="0.25">
      <c r="A1032" t="s">
        <v>1115</v>
      </c>
      <c r="B1032" t="s">
        <v>52</v>
      </c>
      <c r="C1032" t="s">
        <v>969</v>
      </c>
      <c r="D1032" t="s">
        <v>52</v>
      </c>
      <c r="E1032" t="s">
        <v>78</v>
      </c>
      <c r="F1032" t="s">
        <v>252</v>
      </c>
      <c r="G1032">
        <v>6.1670337999999996</v>
      </c>
      <c r="H1032">
        <v>-75.581835699999999</v>
      </c>
      <c r="J1032">
        <v>11</v>
      </c>
      <c r="M1032">
        <v>60</v>
      </c>
      <c r="N1032">
        <v>12</v>
      </c>
      <c r="O1032">
        <v>10</v>
      </c>
      <c r="P1032">
        <v>16</v>
      </c>
      <c r="Q1032">
        <v>14</v>
      </c>
      <c r="R1032">
        <v>0</v>
      </c>
    </row>
    <row r="1033" spans="1:18" x14ac:dyDescent="0.25">
      <c r="A1033" t="s">
        <v>1116</v>
      </c>
      <c r="B1033" t="s">
        <v>52</v>
      </c>
      <c r="C1033" t="s">
        <v>1117</v>
      </c>
      <c r="D1033" t="s">
        <v>52</v>
      </c>
      <c r="E1033" t="s">
        <v>78</v>
      </c>
      <c r="F1033" t="s">
        <v>252</v>
      </c>
      <c r="G1033">
        <v>6.1534946000000001</v>
      </c>
      <c r="H1033">
        <v>-75.578234300000005</v>
      </c>
      <c r="J1033">
        <v>11</v>
      </c>
      <c r="M1033">
        <v>276</v>
      </c>
      <c r="N1033">
        <v>76</v>
      </c>
      <c r="O1033">
        <v>38</v>
      </c>
      <c r="P1033">
        <v>64</v>
      </c>
      <c r="Q1033">
        <v>41</v>
      </c>
      <c r="R1033">
        <v>62</v>
      </c>
    </row>
    <row r="1034" spans="1:18" x14ac:dyDescent="0.25">
      <c r="A1034" t="s">
        <v>1118</v>
      </c>
      <c r="B1034" t="s">
        <v>52</v>
      </c>
      <c r="C1034" t="s">
        <v>1117</v>
      </c>
      <c r="D1034" t="s">
        <v>52</v>
      </c>
      <c r="E1034" t="s">
        <v>78</v>
      </c>
      <c r="F1034" t="s">
        <v>252</v>
      </c>
      <c r="G1034">
        <v>6.1534946000000001</v>
      </c>
      <c r="H1034">
        <v>-75.578234300000005</v>
      </c>
      <c r="J1034">
        <v>11</v>
      </c>
      <c r="M1034">
        <v>262</v>
      </c>
      <c r="N1034">
        <v>71</v>
      </c>
      <c r="O1034">
        <v>44</v>
      </c>
      <c r="P1034">
        <v>46</v>
      </c>
      <c r="Q1034">
        <v>43</v>
      </c>
      <c r="R1034">
        <v>69</v>
      </c>
    </row>
    <row r="1035" spans="1:18" x14ac:dyDescent="0.25">
      <c r="A1035" t="s">
        <v>1119</v>
      </c>
      <c r="B1035" t="s">
        <v>52</v>
      </c>
      <c r="C1035" t="s">
        <v>1117</v>
      </c>
      <c r="D1035" t="s">
        <v>52</v>
      </c>
      <c r="E1035" t="s">
        <v>78</v>
      </c>
      <c r="F1035" t="s">
        <v>252</v>
      </c>
      <c r="G1035">
        <v>6.1534946000000001</v>
      </c>
      <c r="H1035">
        <v>-75.578234300000005</v>
      </c>
      <c r="J1035">
        <v>11</v>
      </c>
      <c r="M1035">
        <v>261</v>
      </c>
      <c r="N1035">
        <v>66</v>
      </c>
      <c r="O1035">
        <v>28</v>
      </c>
      <c r="P1035">
        <v>66</v>
      </c>
      <c r="Q1035">
        <v>48</v>
      </c>
      <c r="R1035">
        <v>55</v>
      </c>
    </row>
    <row r="1036" spans="1:18" x14ac:dyDescent="0.25">
      <c r="A1036" t="s">
        <v>1120</v>
      </c>
      <c r="B1036" t="s">
        <v>52</v>
      </c>
      <c r="C1036" t="s">
        <v>1117</v>
      </c>
      <c r="D1036" t="s">
        <v>52</v>
      </c>
      <c r="E1036" t="s">
        <v>78</v>
      </c>
      <c r="F1036" t="s">
        <v>252</v>
      </c>
      <c r="G1036">
        <v>6.1534946000000001</v>
      </c>
      <c r="H1036">
        <v>-75.578234300000005</v>
      </c>
      <c r="J1036">
        <v>11</v>
      </c>
      <c r="M1036">
        <v>259</v>
      </c>
      <c r="N1036">
        <v>71</v>
      </c>
      <c r="O1036">
        <v>32</v>
      </c>
      <c r="P1036">
        <v>62</v>
      </c>
      <c r="Q1036">
        <v>41</v>
      </c>
      <c r="R1036">
        <v>55</v>
      </c>
    </row>
    <row r="1037" spans="1:18" x14ac:dyDescent="0.25">
      <c r="A1037" t="s">
        <v>1121</v>
      </c>
      <c r="B1037" t="s">
        <v>52</v>
      </c>
      <c r="C1037" t="s">
        <v>1117</v>
      </c>
      <c r="D1037" t="s">
        <v>52</v>
      </c>
      <c r="E1037" t="s">
        <v>78</v>
      </c>
      <c r="F1037" t="s">
        <v>252</v>
      </c>
      <c r="G1037">
        <v>6.1534946000000001</v>
      </c>
      <c r="H1037">
        <v>-75.578234300000005</v>
      </c>
      <c r="J1037">
        <v>11</v>
      </c>
      <c r="M1037">
        <v>243</v>
      </c>
      <c r="N1037">
        <v>66</v>
      </c>
      <c r="O1037">
        <v>18</v>
      </c>
      <c r="P1037">
        <v>70</v>
      </c>
      <c r="Q1037">
        <v>40</v>
      </c>
      <c r="R1037">
        <v>51</v>
      </c>
    </row>
    <row r="1038" spans="1:18" x14ac:dyDescent="0.25">
      <c r="A1038" t="s">
        <v>1122</v>
      </c>
      <c r="B1038" t="s">
        <v>52</v>
      </c>
      <c r="C1038" t="s">
        <v>1117</v>
      </c>
      <c r="D1038" t="s">
        <v>52</v>
      </c>
      <c r="E1038" t="s">
        <v>78</v>
      </c>
      <c r="F1038" t="s">
        <v>252</v>
      </c>
      <c r="G1038">
        <v>6.1534946000000001</v>
      </c>
      <c r="H1038">
        <v>-75.578234300000005</v>
      </c>
      <c r="J1038">
        <v>11</v>
      </c>
      <c r="M1038">
        <v>242</v>
      </c>
      <c r="N1038">
        <v>51</v>
      </c>
      <c r="O1038">
        <v>50</v>
      </c>
      <c r="P1038">
        <v>46</v>
      </c>
      <c r="Q1038">
        <v>45</v>
      </c>
      <c r="R1038">
        <v>53</v>
      </c>
    </row>
    <row r="1039" spans="1:18" x14ac:dyDescent="0.25">
      <c r="A1039" t="s">
        <v>1123</v>
      </c>
      <c r="B1039" t="s">
        <v>52</v>
      </c>
      <c r="C1039" t="s">
        <v>1117</v>
      </c>
      <c r="D1039" t="s">
        <v>52</v>
      </c>
      <c r="E1039" t="s">
        <v>78</v>
      </c>
      <c r="F1039" t="s">
        <v>252</v>
      </c>
      <c r="G1039">
        <v>6.1534946000000001</v>
      </c>
      <c r="H1039">
        <v>-75.578234300000005</v>
      </c>
      <c r="J1039">
        <v>11</v>
      </c>
      <c r="M1039">
        <v>240</v>
      </c>
      <c r="N1039">
        <v>61</v>
      </c>
      <c r="O1039">
        <v>34</v>
      </c>
      <c r="P1039">
        <v>30</v>
      </c>
      <c r="Q1039">
        <v>55</v>
      </c>
      <c r="R1039">
        <v>84</v>
      </c>
    </row>
    <row r="1040" spans="1:18" x14ac:dyDescent="0.25">
      <c r="A1040" t="s">
        <v>1124</v>
      </c>
      <c r="B1040" t="s">
        <v>52</v>
      </c>
      <c r="C1040" t="s">
        <v>1117</v>
      </c>
      <c r="D1040" t="s">
        <v>52</v>
      </c>
      <c r="E1040" t="s">
        <v>78</v>
      </c>
      <c r="F1040" t="s">
        <v>252</v>
      </c>
      <c r="G1040">
        <v>6.1534946000000001</v>
      </c>
      <c r="H1040">
        <v>-75.578234300000005</v>
      </c>
      <c r="J1040">
        <v>11</v>
      </c>
      <c r="M1040">
        <v>232</v>
      </c>
      <c r="N1040">
        <v>63</v>
      </c>
      <c r="O1040">
        <v>38</v>
      </c>
      <c r="P1040">
        <v>52</v>
      </c>
      <c r="Q1040">
        <v>31</v>
      </c>
      <c r="R1040">
        <v>49</v>
      </c>
    </row>
    <row r="1041" spans="1:18" x14ac:dyDescent="0.25">
      <c r="A1041" t="s">
        <v>1125</v>
      </c>
      <c r="B1041" t="s">
        <v>52</v>
      </c>
      <c r="C1041" t="s">
        <v>1117</v>
      </c>
      <c r="D1041" t="s">
        <v>52</v>
      </c>
      <c r="E1041" t="s">
        <v>78</v>
      </c>
      <c r="F1041" t="s">
        <v>252</v>
      </c>
      <c r="G1041">
        <v>6.1534946000000001</v>
      </c>
      <c r="H1041">
        <v>-75.578234300000005</v>
      </c>
      <c r="J1041">
        <v>11</v>
      </c>
      <c r="M1041">
        <v>226</v>
      </c>
      <c r="N1041">
        <v>63</v>
      </c>
      <c r="O1041">
        <v>34</v>
      </c>
      <c r="P1041">
        <v>38</v>
      </c>
      <c r="Q1041">
        <v>40</v>
      </c>
      <c r="R1041">
        <v>62</v>
      </c>
    </row>
    <row r="1042" spans="1:18" x14ac:dyDescent="0.25">
      <c r="A1042" t="s">
        <v>1126</v>
      </c>
      <c r="B1042" t="s">
        <v>52</v>
      </c>
      <c r="C1042" t="s">
        <v>1117</v>
      </c>
      <c r="D1042" t="s">
        <v>52</v>
      </c>
      <c r="E1042" t="s">
        <v>78</v>
      </c>
      <c r="F1042" t="s">
        <v>252</v>
      </c>
      <c r="G1042">
        <v>6.1534946000000001</v>
      </c>
      <c r="H1042">
        <v>-75.578234300000005</v>
      </c>
      <c r="J1042">
        <v>11</v>
      </c>
      <c r="M1042">
        <v>225</v>
      </c>
      <c r="N1042">
        <v>71</v>
      </c>
      <c r="O1042">
        <v>30</v>
      </c>
      <c r="P1042">
        <v>38</v>
      </c>
      <c r="Q1042">
        <v>36</v>
      </c>
      <c r="R1042">
        <v>60</v>
      </c>
    </row>
    <row r="1043" spans="1:18" x14ac:dyDescent="0.25">
      <c r="A1043" t="s">
        <v>1127</v>
      </c>
      <c r="B1043" t="s">
        <v>52</v>
      </c>
      <c r="C1043" t="s">
        <v>1117</v>
      </c>
      <c r="D1043" t="s">
        <v>52</v>
      </c>
      <c r="E1043" t="s">
        <v>78</v>
      </c>
      <c r="F1043" t="s">
        <v>252</v>
      </c>
      <c r="G1043">
        <v>6.1534946000000001</v>
      </c>
      <c r="H1043">
        <v>-75.578234300000005</v>
      </c>
      <c r="J1043">
        <v>11</v>
      </c>
      <c r="M1043">
        <v>223</v>
      </c>
      <c r="N1043">
        <v>59</v>
      </c>
      <c r="O1043">
        <v>28</v>
      </c>
      <c r="P1043">
        <v>52</v>
      </c>
      <c r="Q1043">
        <v>33</v>
      </c>
      <c r="R1043">
        <v>65</v>
      </c>
    </row>
    <row r="1044" spans="1:18" x14ac:dyDescent="0.25">
      <c r="A1044" t="s">
        <v>1128</v>
      </c>
      <c r="B1044" t="s">
        <v>52</v>
      </c>
      <c r="C1044" t="s">
        <v>1117</v>
      </c>
      <c r="D1044" t="s">
        <v>52</v>
      </c>
      <c r="E1044" t="s">
        <v>78</v>
      </c>
      <c r="F1044" t="s">
        <v>252</v>
      </c>
      <c r="G1044">
        <v>6.1534946000000001</v>
      </c>
      <c r="H1044">
        <v>-75.578234300000005</v>
      </c>
      <c r="J1044">
        <v>11</v>
      </c>
      <c r="M1044">
        <v>220</v>
      </c>
      <c r="N1044">
        <v>49</v>
      </c>
      <c r="O1044">
        <v>32</v>
      </c>
      <c r="P1044">
        <v>68</v>
      </c>
      <c r="Q1044">
        <v>29</v>
      </c>
      <c r="R1044">
        <v>38</v>
      </c>
    </row>
    <row r="1045" spans="1:18" x14ac:dyDescent="0.25">
      <c r="A1045" t="s">
        <v>1129</v>
      </c>
      <c r="B1045" t="s">
        <v>52</v>
      </c>
      <c r="C1045" t="s">
        <v>1117</v>
      </c>
      <c r="D1045" t="s">
        <v>52</v>
      </c>
      <c r="E1045" t="s">
        <v>78</v>
      </c>
      <c r="F1045" t="s">
        <v>252</v>
      </c>
      <c r="G1045">
        <v>6.1534946000000001</v>
      </c>
      <c r="H1045">
        <v>-75.578234300000005</v>
      </c>
      <c r="J1045">
        <v>11</v>
      </c>
      <c r="M1045">
        <v>218</v>
      </c>
      <c r="N1045">
        <v>49</v>
      </c>
      <c r="O1045">
        <v>40</v>
      </c>
      <c r="P1045">
        <v>60</v>
      </c>
      <c r="Q1045">
        <v>28</v>
      </c>
      <c r="R1045">
        <v>38</v>
      </c>
    </row>
    <row r="1046" spans="1:18" x14ac:dyDescent="0.25">
      <c r="A1046" t="s">
        <v>1130</v>
      </c>
      <c r="B1046" t="s">
        <v>52</v>
      </c>
      <c r="C1046" t="s">
        <v>1117</v>
      </c>
      <c r="D1046" t="s">
        <v>52</v>
      </c>
      <c r="E1046" t="s">
        <v>78</v>
      </c>
      <c r="F1046" t="s">
        <v>252</v>
      </c>
      <c r="G1046">
        <v>6.1534946000000001</v>
      </c>
      <c r="H1046">
        <v>-75.578234300000005</v>
      </c>
      <c r="J1046">
        <v>11</v>
      </c>
      <c r="M1046">
        <v>218</v>
      </c>
      <c r="N1046">
        <v>68</v>
      </c>
      <c r="O1046">
        <v>30</v>
      </c>
      <c r="P1046">
        <v>56</v>
      </c>
      <c r="Q1046">
        <v>22</v>
      </c>
      <c r="R1046">
        <v>36</v>
      </c>
    </row>
    <row r="1047" spans="1:18" x14ac:dyDescent="0.25">
      <c r="A1047" t="s">
        <v>1131</v>
      </c>
      <c r="B1047" t="s">
        <v>52</v>
      </c>
      <c r="C1047" t="s">
        <v>1117</v>
      </c>
      <c r="D1047" t="s">
        <v>52</v>
      </c>
      <c r="E1047" t="s">
        <v>78</v>
      </c>
      <c r="F1047" t="s">
        <v>252</v>
      </c>
      <c r="G1047">
        <v>6.1534946000000001</v>
      </c>
      <c r="H1047">
        <v>-75.578234300000005</v>
      </c>
      <c r="J1047">
        <v>11</v>
      </c>
      <c r="M1047">
        <v>217</v>
      </c>
      <c r="N1047">
        <v>80</v>
      </c>
      <c r="O1047">
        <v>20</v>
      </c>
      <c r="P1047">
        <v>54</v>
      </c>
      <c r="Q1047">
        <v>24</v>
      </c>
      <c r="R1047">
        <v>27</v>
      </c>
    </row>
    <row r="1048" spans="1:18" x14ac:dyDescent="0.25">
      <c r="A1048" t="s">
        <v>1132</v>
      </c>
      <c r="B1048" t="s">
        <v>52</v>
      </c>
      <c r="C1048" t="s">
        <v>1117</v>
      </c>
      <c r="D1048" t="s">
        <v>52</v>
      </c>
      <c r="E1048" t="s">
        <v>78</v>
      </c>
      <c r="F1048" t="s">
        <v>252</v>
      </c>
      <c r="G1048">
        <v>6.1534946000000001</v>
      </c>
      <c r="H1048">
        <v>-75.578234300000005</v>
      </c>
      <c r="J1048">
        <v>11</v>
      </c>
      <c r="M1048">
        <v>206</v>
      </c>
      <c r="N1048">
        <v>68</v>
      </c>
      <c r="O1048">
        <v>28</v>
      </c>
      <c r="P1048">
        <v>48</v>
      </c>
      <c r="Q1048">
        <v>22</v>
      </c>
      <c r="R1048">
        <v>35</v>
      </c>
    </row>
    <row r="1049" spans="1:18" x14ac:dyDescent="0.25">
      <c r="A1049" t="s">
        <v>1133</v>
      </c>
      <c r="B1049" t="s">
        <v>52</v>
      </c>
      <c r="C1049" t="s">
        <v>1117</v>
      </c>
      <c r="D1049" t="s">
        <v>52</v>
      </c>
      <c r="E1049" t="s">
        <v>78</v>
      </c>
      <c r="F1049" t="s">
        <v>252</v>
      </c>
      <c r="G1049">
        <v>6.1534946000000001</v>
      </c>
      <c r="H1049">
        <v>-75.578234300000005</v>
      </c>
      <c r="J1049">
        <v>11</v>
      </c>
      <c r="M1049">
        <v>202</v>
      </c>
      <c r="N1049">
        <v>51</v>
      </c>
      <c r="O1049">
        <v>40</v>
      </c>
      <c r="P1049">
        <v>38</v>
      </c>
      <c r="Q1049">
        <v>33</v>
      </c>
      <c r="R1049">
        <v>40</v>
      </c>
    </row>
    <row r="1050" spans="1:18" x14ac:dyDescent="0.25">
      <c r="A1050" t="s">
        <v>1134</v>
      </c>
      <c r="B1050" t="s">
        <v>52</v>
      </c>
      <c r="C1050" t="s">
        <v>1117</v>
      </c>
      <c r="D1050" t="s">
        <v>52</v>
      </c>
      <c r="E1050" t="s">
        <v>78</v>
      </c>
      <c r="F1050" t="s">
        <v>252</v>
      </c>
      <c r="G1050">
        <v>6.1534946000000001</v>
      </c>
      <c r="H1050">
        <v>-75.578234300000005</v>
      </c>
      <c r="J1050">
        <v>11</v>
      </c>
      <c r="M1050">
        <v>202</v>
      </c>
      <c r="N1050">
        <v>51</v>
      </c>
      <c r="O1050">
        <v>34</v>
      </c>
      <c r="P1050">
        <v>46</v>
      </c>
      <c r="Q1050">
        <v>26</v>
      </c>
      <c r="R1050">
        <v>55</v>
      </c>
    </row>
    <row r="1051" spans="1:18" x14ac:dyDescent="0.25">
      <c r="A1051" t="s">
        <v>1135</v>
      </c>
      <c r="B1051" t="s">
        <v>52</v>
      </c>
      <c r="C1051" t="s">
        <v>1117</v>
      </c>
      <c r="D1051" t="s">
        <v>52</v>
      </c>
      <c r="E1051" t="s">
        <v>78</v>
      </c>
      <c r="F1051" t="s">
        <v>252</v>
      </c>
      <c r="G1051">
        <v>6.1534946000000001</v>
      </c>
      <c r="H1051">
        <v>-75.578234300000005</v>
      </c>
      <c r="J1051">
        <v>11</v>
      </c>
      <c r="M1051">
        <v>199</v>
      </c>
      <c r="N1051">
        <v>66</v>
      </c>
      <c r="O1051">
        <v>28</v>
      </c>
      <c r="P1051">
        <v>38</v>
      </c>
      <c r="Q1051">
        <v>28</v>
      </c>
      <c r="R1051">
        <v>38</v>
      </c>
    </row>
    <row r="1052" spans="1:18" x14ac:dyDescent="0.25">
      <c r="A1052" t="s">
        <v>1136</v>
      </c>
      <c r="B1052" t="s">
        <v>52</v>
      </c>
      <c r="C1052" t="s">
        <v>1117</v>
      </c>
      <c r="D1052" t="s">
        <v>52</v>
      </c>
      <c r="E1052" t="s">
        <v>78</v>
      </c>
      <c r="F1052" t="s">
        <v>252</v>
      </c>
      <c r="G1052">
        <v>6.1534946000000001</v>
      </c>
      <c r="H1052">
        <v>-75.578234300000005</v>
      </c>
      <c r="J1052">
        <v>11</v>
      </c>
      <c r="M1052">
        <v>198</v>
      </c>
      <c r="N1052">
        <v>61</v>
      </c>
      <c r="O1052">
        <v>34</v>
      </c>
      <c r="P1052">
        <v>38</v>
      </c>
      <c r="Q1052">
        <v>24</v>
      </c>
      <c r="R1052">
        <v>44</v>
      </c>
    </row>
    <row r="1053" spans="1:18" x14ac:dyDescent="0.25">
      <c r="A1053" t="s">
        <v>1137</v>
      </c>
      <c r="B1053" t="s">
        <v>52</v>
      </c>
      <c r="C1053" t="s">
        <v>1117</v>
      </c>
      <c r="D1053" t="s">
        <v>52</v>
      </c>
      <c r="E1053" t="s">
        <v>78</v>
      </c>
      <c r="F1053" t="s">
        <v>252</v>
      </c>
      <c r="G1053">
        <v>6.1534946000000001</v>
      </c>
      <c r="H1053">
        <v>-75.578234300000005</v>
      </c>
      <c r="J1053">
        <v>11</v>
      </c>
      <c r="M1053">
        <v>198</v>
      </c>
      <c r="N1053">
        <v>39</v>
      </c>
      <c r="O1053">
        <v>26</v>
      </c>
      <c r="P1053">
        <v>42</v>
      </c>
      <c r="Q1053">
        <v>50</v>
      </c>
      <c r="R1053">
        <v>44</v>
      </c>
    </row>
    <row r="1054" spans="1:18" x14ac:dyDescent="0.25">
      <c r="A1054" t="s">
        <v>1138</v>
      </c>
      <c r="B1054" t="s">
        <v>52</v>
      </c>
      <c r="C1054" t="s">
        <v>1117</v>
      </c>
      <c r="D1054" t="s">
        <v>52</v>
      </c>
      <c r="E1054" t="s">
        <v>78</v>
      </c>
      <c r="F1054" t="s">
        <v>252</v>
      </c>
      <c r="G1054">
        <v>6.1534946000000001</v>
      </c>
      <c r="H1054">
        <v>-75.578234300000005</v>
      </c>
      <c r="J1054">
        <v>11</v>
      </c>
      <c r="M1054">
        <v>191</v>
      </c>
      <c r="N1054">
        <v>41</v>
      </c>
      <c r="O1054">
        <v>30</v>
      </c>
      <c r="P1054">
        <v>44</v>
      </c>
      <c r="Q1054">
        <v>34</v>
      </c>
      <c r="R1054">
        <v>47</v>
      </c>
    </row>
    <row r="1055" spans="1:18" x14ac:dyDescent="0.25">
      <c r="A1055" t="s">
        <v>1139</v>
      </c>
      <c r="B1055" t="s">
        <v>52</v>
      </c>
      <c r="C1055" t="s">
        <v>1117</v>
      </c>
      <c r="D1055" t="s">
        <v>52</v>
      </c>
      <c r="E1055" t="s">
        <v>78</v>
      </c>
      <c r="F1055" t="s">
        <v>252</v>
      </c>
      <c r="G1055">
        <v>6.1534946000000001</v>
      </c>
      <c r="H1055">
        <v>-75.578234300000005</v>
      </c>
      <c r="J1055">
        <v>11</v>
      </c>
      <c r="M1055">
        <v>188</v>
      </c>
      <c r="N1055">
        <v>44</v>
      </c>
      <c r="O1055">
        <v>38</v>
      </c>
      <c r="P1055">
        <v>36</v>
      </c>
      <c r="Q1055">
        <v>38</v>
      </c>
      <c r="R1055">
        <v>22</v>
      </c>
    </row>
    <row r="1056" spans="1:18" x14ac:dyDescent="0.25">
      <c r="A1056" t="s">
        <v>1140</v>
      </c>
      <c r="B1056" t="s">
        <v>52</v>
      </c>
      <c r="C1056" t="s">
        <v>1117</v>
      </c>
      <c r="D1056" t="s">
        <v>52</v>
      </c>
      <c r="E1056" t="s">
        <v>78</v>
      </c>
      <c r="F1056" t="s">
        <v>252</v>
      </c>
      <c r="G1056">
        <v>6.1534946000000001</v>
      </c>
      <c r="H1056">
        <v>-75.578234300000005</v>
      </c>
      <c r="J1056">
        <v>11</v>
      </c>
      <c r="M1056">
        <v>187</v>
      </c>
      <c r="N1056">
        <v>34</v>
      </c>
      <c r="O1056">
        <v>30</v>
      </c>
      <c r="P1056">
        <v>46</v>
      </c>
      <c r="Q1056">
        <v>40</v>
      </c>
      <c r="R1056">
        <v>36</v>
      </c>
    </row>
    <row r="1057" spans="1:18" x14ac:dyDescent="0.25">
      <c r="A1057" t="s">
        <v>1141</v>
      </c>
      <c r="B1057" t="s">
        <v>52</v>
      </c>
      <c r="C1057" t="s">
        <v>1117</v>
      </c>
      <c r="D1057" t="s">
        <v>52</v>
      </c>
      <c r="E1057" t="s">
        <v>78</v>
      </c>
      <c r="F1057" t="s">
        <v>252</v>
      </c>
      <c r="G1057">
        <v>6.1534946000000001</v>
      </c>
      <c r="H1057">
        <v>-75.578234300000005</v>
      </c>
      <c r="J1057">
        <v>11</v>
      </c>
      <c r="M1057">
        <v>186</v>
      </c>
      <c r="N1057">
        <v>66</v>
      </c>
      <c r="O1057">
        <v>20</v>
      </c>
      <c r="P1057">
        <v>24</v>
      </c>
      <c r="Q1057">
        <v>41</v>
      </c>
      <c r="R1057">
        <v>29</v>
      </c>
    </row>
    <row r="1058" spans="1:18" x14ac:dyDescent="0.25">
      <c r="A1058" t="s">
        <v>1142</v>
      </c>
      <c r="B1058" t="s">
        <v>52</v>
      </c>
      <c r="C1058" t="s">
        <v>1117</v>
      </c>
      <c r="D1058" t="s">
        <v>52</v>
      </c>
      <c r="E1058" t="s">
        <v>78</v>
      </c>
      <c r="F1058" t="s">
        <v>252</v>
      </c>
      <c r="G1058">
        <v>6.1534946000000001</v>
      </c>
      <c r="H1058">
        <v>-75.578234300000005</v>
      </c>
      <c r="J1058">
        <v>11</v>
      </c>
      <c r="M1058">
        <v>184</v>
      </c>
      <c r="N1058">
        <v>54</v>
      </c>
      <c r="O1058">
        <v>30</v>
      </c>
      <c r="P1058">
        <v>38</v>
      </c>
      <c r="Q1058">
        <v>21</v>
      </c>
      <c r="R1058">
        <v>51</v>
      </c>
    </row>
    <row r="1059" spans="1:18" x14ac:dyDescent="0.25">
      <c r="A1059" t="s">
        <v>1143</v>
      </c>
      <c r="B1059" t="s">
        <v>52</v>
      </c>
      <c r="C1059" t="s">
        <v>1117</v>
      </c>
      <c r="D1059" t="s">
        <v>52</v>
      </c>
      <c r="E1059" t="s">
        <v>78</v>
      </c>
      <c r="F1059" t="s">
        <v>252</v>
      </c>
      <c r="G1059">
        <v>6.1534946000000001</v>
      </c>
      <c r="H1059">
        <v>-75.578234300000005</v>
      </c>
      <c r="J1059">
        <v>11</v>
      </c>
      <c r="M1059">
        <v>181</v>
      </c>
      <c r="N1059">
        <v>34</v>
      </c>
      <c r="O1059">
        <v>26</v>
      </c>
      <c r="P1059">
        <v>50</v>
      </c>
      <c r="Q1059">
        <v>34</v>
      </c>
      <c r="R1059">
        <v>36</v>
      </c>
    </row>
    <row r="1060" spans="1:18" x14ac:dyDescent="0.25">
      <c r="A1060" t="s">
        <v>1144</v>
      </c>
      <c r="B1060" t="s">
        <v>52</v>
      </c>
      <c r="C1060" t="s">
        <v>1117</v>
      </c>
      <c r="D1060" t="s">
        <v>52</v>
      </c>
      <c r="E1060" t="s">
        <v>78</v>
      </c>
      <c r="F1060" t="s">
        <v>252</v>
      </c>
      <c r="G1060">
        <v>6.1534946000000001</v>
      </c>
      <c r="H1060">
        <v>-75.578234300000005</v>
      </c>
      <c r="J1060">
        <v>11</v>
      </c>
      <c r="M1060">
        <v>180</v>
      </c>
      <c r="N1060">
        <v>46</v>
      </c>
      <c r="O1060">
        <v>26</v>
      </c>
      <c r="P1060">
        <v>32</v>
      </c>
      <c r="Q1060">
        <v>36</v>
      </c>
      <c r="R1060">
        <v>47</v>
      </c>
    </row>
    <row r="1061" spans="1:18" x14ac:dyDescent="0.25">
      <c r="A1061" t="s">
        <v>1145</v>
      </c>
      <c r="B1061" t="s">
        <v>52</v>
      </c>
      <c r="C1061" t="s">
        <v>1117</v>
      </c>
      <c r="D1061" t="s">
        <v>52</v>
      </c>
      <c r="E1061" t="s">
        <v>78</v>
      </c>
      <c r="F1061" t="s">
        <v>252</v>
      </c>
      <c r="G1061">
        <v>6.1534946000000001</v>
      </c>
      <c r="H1061">
        <v>-75.578234300000005</v>
      </c>
      <c r="J1061">
        <v>11</v>
      </c>
      <c r="M1061">
        <v>172</v>
      </c>
      <c r="N1061">
        <v>59</v>
      </c>
      <c r="O1061">
        <v>24</v>
      </c>
      <c r="P1061">
        <v>16</v>
      </c>
      <c r="Q1061">
        <v>40</v>
      </c>
      <c r="R1061">
        <v>33</v>
      </c>
    </row>
    <row r="1062" spans="1:18" x14ac:dyDescent="0.25">
      <c r="A1062" t="s">
        <v>1146</v>
      </c>
      <c r="B1062" t="s">
        <v>52</v>
      </c>
      <c r="C1062" t="s">
        <v>1117</v>
      </c>
      <c r="D1062" t="s">
        <v>52</v>
      </c>
      <c r="E1062" t="s">
        <v>78</v>
      </c>
      <c r="F1062" t="s">
        <v>252</v>
      </c>
      <c r="G1062">
        <v>6.1534946000000001</v>
      </c>
      <c r="H1062">
        <v>-75.578234300000005</v>
      </c>
      <c r="J1062">
        <v>11</v>
      </c>
      <c r="M1062">
        <v>171</v>
      </c>
      <c r="N1062">
        <v>51</v>
      </c>
      <c r="O1062">
        <v>28</v>
      </c>
      <c r="P1062">
        <v>26</v>
      </c>
      <c r="Q1062">
        <v>29</v>
      </c>
      <c r="R1062">
        <v>42</v>
      </c>
    </row>
    <row r="1063" spans="1:18" x14ac:dyDescent="0.25">
      <c r="A1063" t="s">
        <v>1147</v>
      </c>
      <c r="B1063" t="s">
        <v>52</v>
      </c>
      <c r="C1063" t="s">
        <v>1117</v>
      </c>
      <c r="D1063" t="s">
        <v>52</v>
      </c>
      <c r="E1063" t="s">
        <v>78</v>
      </c>
      <c r="F1063" t="s">
        <v>252</v>
      </c>
      <c r="G1063">
        <v>6.1534946000000001</v>
      </c>
      <c r="H1063">
        <v>-75.578234300000005</v>
      </c>
      <c r="J1063">
        <v>11</v>
      </c>
      <c r="M1063">
        <v>170</v>
      </c>
      <c r="N1063">
        <v>44</v>
      </c>
      <c r="O1063">
        <v>38</v>
      </c>
      <c r="P1063">
        <v>24</v>
      </c>
      <c r="Q1063">
        <v>26</v>
      </c>
      <c r="R1063">
        <v>45</v>
      </c>
    </row>
    <row r="1064" spans="1:18" x14ac:dyDescent="0.25">
      <c r="A1064" t="s">
        <v>1148</v>
      </c>
      <c r="B1064" t="s">
        <v>52</v>
      </c>
      <c r="C1064" t="s">
        <v>1117</v>
      </c>
      <c r="D1064" t="s">
        <v>52</v>
      </c>
      <c r="E1064" t="s">
        <v>78</v>
      </c>
      <c r="F1064" t="s">
        <v>252</v>
      </c>
      <c r="G1064">
        <v>6.1534946000000001</v>
      </c>
      <c r="H1064">
        <v>-75.578234300000005</v>
      </c>
      <c r="J1064">
        <v>11</v>
      </c>
      <c r="M1064">
        <v>167</v>
      </c>
      <c r="N1064">
        <v>41</v>
      </c>
      <c r="O1064">
        <v>26</v>
      </c>
      <c r="P1064">
        <v>34</v>
      </c>
      <c r="Q1064">
        <v>29</v>
      </c>
      <c r="R1064">
        <v>42</v>
      </c>
    </row>
    <row r="1065" spans="1:18" x14ac:dyDescent="0.25">
      <c r="A1065" t="s">
        <v>1149</v>
      </c>
      <c r="B1065" t="s">
        <v>52</v>
      </c>
      <c r="C1065" t="s">
        <v>1117</v>
      </c>
      <c r="D1065" t="s">
        <v>52</v>
      </c>
      <c r="E1065" t="s">
        <v>78</v>
      </c>
      <c r="F1065" t="s">
        <v>252</v>
      </c>
      <c r="G1065">
        <v>6.1534946000000001</v>
      </c>
      <c r="H1065">
        <v>-75.578234300000005</v>
      </c>
      <c r="J1065">
        <v>11</v>
      </c>
      <c r="M1065">
        <v>165</v>
      </c>
      <c r="N1065">
        <v>49</v>
      </c>
      <c r="O1065">
        <v>26</v>
      </c>
      <c r="P1065">
        <v>36</v>
      </c>
      <c r="Q1065">
        <v>24</v>
      </c>
      <c r="R1065">
        <v>24</v>
      </c>
    </row>
    <row r="1066" spans="1:18" x14ac:dyDescent="0.25">
      <c r="A1066" t="s">
        <v>1150</v>
      </c>
      <c r="B1066" t="s">
        <v>52</v>
      </c>
      <c r="C1066" t="s">
        <v>1117</v>
      </c>
      <c r="D1066" t="s">
        <v>52</v>
      </c>
      <c r="E1066" t="s">
        <v>78</v>
      </c>
      <c r="F1066" t="s">
        <v>252</v>
      </c>
      <c r="G1066">
        <v>6.1534946000000001</v>
      </c>
      <c r="H1066">
        <v>-75.578234300000005</v>
      </c>
      <c r="J1066">
        <v>11</v>
      </c>
      <c r="M1066">
        <v>162</v>
      </c>
      <c r="N1066">
        <v>41</v>
      </c>
      <c r="O1066">
        <v>34</v>
      </c>
      <c r="P1066">
        <v>34</v>
      </c>
      <c r="Q1066">
        <v>22</v>
      </c>
      <c r="R1066">
        <v>25</v>
      </c>
    </row>
    <row r="1067" spans="1:18" x14ac:dyDescent="0.25">
      <c r="A1067" t="s">
        <v>1151</v>
      </c>
      <c r="B1067" t="s">
        <v>52</v>
      </c>
      <c r="C1067" t="s">
        <v>1117</v>
      </c>
      <c r="D1067" t="s">
        <v>52</v>
      </c>
      <c r="E1067" t="s">
        <v>78</v>
      </c>
      <c r="F1067" t="s">
        <v>252</v>
      </c>
      <c r="G1067">
        <v>6.1534946000000001</v>
      </c>
      <c r="H1067">
        <v>-75.578234300000005</v>
      </c>
      <c r="J1067">
        <v>11</v>
      </c>
      <c r="M1067">
        <v>158</v>
      </c>
      <c r="N1067">
        <v>39</v>
      </c>
      <c r="O1067">
        <v>36</v>
      </c>
      <c r="P1067">
        <v>20</v>
      </c>
      <c r="Q1067">
        <v>29</v>
      </c>
      <c r="R1067">
        <v>38</v>
      </c>
    </row>
    <row r="1068" spans="1:18" x14ac:dyDescent="0.25">
      <c r="A1068" t="s">
        <v>1152</v>
      </c>
      <c r="B1068" t="s">
        <v>52</v>
      </c>
      <c r="C1068" t="s">
        <v>1117</v>
      </c>
      <c r="D1068" t="s">
        <v>52</v>
      </c>
      <c r="E1068" t="s">
        <v>78</v>
      </c>
      <c r="F1068" t="s">
        <v>252</v>
      </c>
      <c r="G1068">
        <v>6.1534946000000001</v>
      </c>
      <c r="H1068">
        <v>-75.578234300000005</v>
      </c>
      <c r="J1068">
        <v>11</v>
      </c>
      <c r="M1068">
        <v>154</v>
      </c>
      <c r="N1068">
        <v>41</v>
      </c>
      <c r="O1068">
        <v>28</v>
      </c>
      <c r="P1068">
        <v>18</v>
      </c>
      <c r="Q1068">
        <v>34</v>
      </c>
      <c r="R1068">
        <v>35</v>
      </c>
    </row>
    <row r="1069" spans="1:18" x14ac:dyDescent="0.25">
      <c r="A1069" t="s">
        <v>1153</v>
      </c>
      <c r="B1069" t="s">
        <v>52</v>
      </c>
      <c r="C1069" t="s">
        <v>1117</v>
      </c>
      <c r="D1069" t="s">
        <v>52</v>
      </c>
      <c r="E1069" t="s">
        <v>78</v>
      </c>
      <c r="F1069" t="s">
        <v>252</v>
      </c>
      <c r="G1069">
        <v>6.1534946000000001</v>
      </c>
      <c r="H1069">
        <v>-75.578234300000005</v>
      </c>
      <c r="J1069">
        <v>11</v>
      </c>
      <c r="M1069">
        <v>153</v>
      </c>
      <c r="N1069">
        <v>41</v>
      </c>
      <c r="O1069">
        <v>22</v>
      </c>
      <c r="P1069">
        <v>28</v>
      </c>
      <c r="Q1069">
        <v>29</v>
      </c>
      <c r="R1069">
        <v>36</v>
      </c>
    </row>
    <row r="1070" spans="1:18" x14ac:dyDescent="0.25">
      <c r="A1070" t="s">
        <v>1154</v>
      </c>
      <c r="B1070" t="s">
        <v>52</v>
      </c>
      <c r="C1070" t="s">
        <v>1117</v>
      </c>
      <c r="D1070" t="s">
        <v>52</v>
      </c>
      <c r="E1070" t="s">
        <v>78</v>
      </c>
      <c r="F1070" t="s">
        <v>252</v>
      </c>
      <c r="G1070">
        <v>6.1534946000000001</v>
      </c>
      <c r="H1070">
        <v>-75.578234300000005</v>
      </c>
      <c r="J1070">
        <v>11</v>
      </c>
      <c r="M1070">
        <v>152</v>
      </c>
      <c r="N1070">
        <v>41</v>
      </c>
      <c r="O1070">
        <v>32</v>
      </c>
      <c r="P1070">
        <v>22</v>
      </c>
      <c r="Q1070">
        <v>28</v>
      </c>
      <c r="R1070">
        <v>27</v>
      </c>
    </row>
    <row r="1071" spans="1:18" x14ac:dyDescent="0.25">
      <c r="A1071" t="s">
        <v>1155</v>
      </c>
      <c r="B1071" t="s">
        <v>52</v>
      </c>
      <c r="C1071" t="s">
        <v>1117</v>
      </c>
      <c r="D1071" t="s">
        <v>52</v>
      </c>
      <c r="E1071" t="s">
        <v>78</v>
      </c>
      <c r="F1071" t="s">
        <v>252</v>
      </c>
      <c r="G1071">
        <v>6.1534946000000001</v>
      </c>
      <c r="H1071">
        <v>-75.578234300000005</v>
      </c>
      <c r="J1071">
        <v>11</v>
      </c>
      <c r="M1071">
        <v>152</v>
      </c>
      <c r="N1071">
        <v>39</v>
      </c>
      <c r="O1071">
        <v>30</v>
      </c>
      <c r="P1071">
        <v>30</v>
      </c>
      <c r="Q1071">
        <v>24</v>
      </c>
      <c r="R1071">
        <v>25</v>
      </c>
    </row>
    <row r="1072" spans="1:18" x14ac:dyDescent="0.25">
      <c r="A1072" t="s">
        <v>1156</v>
      </c>
      <c r="B1072" t="s">
        <v>52</v>
      </c>
      <c r="C1072" t="s">
        <v>1117</v>
      </c>
      <c r="D1072" t="s">
        <v>52</v>
      </c>
      <c r="E1072" t="s">
        <v>78</v>
      </c>
      <c r="F1072" t="s">
        <v>252</v>
      </c>
      <c r="G1072">
        <v>6.1534946000000001</v>
      </c>
      <c r="H1072">
        <v>-75.578234300000005</v>
      </c>
      <c r="J1072">
        <v>11</v>
      </c>
      <c r="M1072">
        <v>150</v>
      </c>
      <c r="N1072">
        <v>39</v>
      </c>
      <c r="O1072">
        <v>20</v>
      </c>
      <c r="P1072">
        <v>20</v>
      </c>
      <c r="Q1072">
        <v>40</v>
      </c>
      <c r="R1072">
        <v>35</v>
      </c>
    </row>
    <row r="1073" spans="1:18" x14ac:dyDescent="0.25">
      <c r="A1073" t="s">
        <v>1157</v>
      </c>
      <c r="B1073" t="s">
        <v>52</v>
      </c>
      <c r="C1073" t="s">
        <v>1117</v>
      </c>
      <c r="D1073" t="s">
        <v>52</v>
      </c>
      <c r="E1073" t="s">
        <v>78</v>
      </c>
      <c r="F1073" t="s">
        <v>252</v>
      </c>
      <c r="G1073">
        <v>6.1534946000000001</v>
      </c>
      <c r="H1073">
        <v>-75.578234300000005</v>
      </c>
      <c r="J1073">
        <v>11</v>
      </c>
      <c r="M1073">
        <v>148</v>
      </c>
      <c r="N1073">
        <v>29</v>
      </c>
      <c r="O1073">
        <v>24</v>
      </c>
      <c r="P1073">
        <v>28</v>
      </c>
      <c r="Q1073">
        <v>36</v>
      </c>
      <c r="R1073">
        <v>33</v>
      </c>
    </row>
    <row r="1074" spans="1:18" x14ac:dyDescent="0.25">
      <c r="A1074" t="s">
        <v>1158</v>
      </c>
      <c r="B1074" t="s">
        <v>52</v>
      </c>
      <c r="C1074" t="s">
        <v>1117</v>
      </c>
      <c r="D1074" t="s">
        <v>52</v>
      </c>
      <c r="E1074" t="s">
        <v>78</v>
      </c>
      <c r="F1074" t="s">
        <v>252</v>
      </c>
      <c r="G1074">
        <v>6.1534946000000001</v>
      </c>
      <c r="H1074">
        <v>-75.578234300000005</v>
      </c>
      <c r="J1074">
        <v>11</v>
      </c>
      <c r="M1074">
        <v>147</v>
      </c>
      <c r="N1074">
        <v>34</v>
      </c>
      <c r="O1074">
        <v>18</v>
      </c>
      <c r="P1074">
        <v>32</v>
      </c>
      <c r="Q1074">
        <v>33</v>
      </c>
      <c r="R1074">
        <v>31</v>
      </c>
    </row>
    <row r="1075" spans="1:18" x14ac:dyDescent="0.25">
      <c r="A1075" t="s">
        <v>1159</v>
      </c>
      <c r="B1075" t="s">
        <v>52</v>
      </c>
      <c r="C1075" t="s">
        <v>1117</v>
      </c>
      <c r="D1075" t="s">
        <v>52</v>
      </c>
      <c r="E1075" t="s">
        <v>78</v>
      </c>
      <c r="F1075" t="s">
        <v>252</v>
      </c>
      <c r="G1075">
        <v>6.1534946000000001</v>
      </c>
      <c r="H1075">
        <v>-75.578234300000005</v>
      </c>
      <c r="J1075">
        <v>11</v>
      </c>
      <c r="M1075">
        <v>146</v>
      </c>
      <c r="N1075">
        <v>29</v>
      </c>
      <c r="O1075">
        <v>20</v>
      </c>
      <c r="P1075">
        <v>32</v>
      </c>
      <c r="Q1075">
        <v>31</v>
      </c>
      <c r="R1075">
        <v>42</v>
      </c>
    </row>
    <row r="1076" spans="1:18" x14ac:dyDescent="0.25">
      <c r="A1076" t="s">
        <v>1160</v>
      </c>
      <c r="B1076" t="s">
        <v>52</v>
      </c>
      <c r="C1076" t="s">
        <v>1117</v>
      </c>
      <c r="D1076" t="s">
        <v>52</v>
      </c>
      <c r="E1076" t="s">
        <v>78</v>
      </c>
      <c r="F1076" t="s">
        <v>252</v>
      </c>
      <c r="G1076">
        <v>6.1534946000000001</v>
      </c>
      <c r="H1076">
        <v>-75.578234300000005</v>
      </c>
      <c r="J1076">
        <v>11</v>
      </c>
      <c r="M1076">
        <v>146</v>
      </c>
      <c r="N1076">
        <v>27</v>
      </c>
      <c r="O1076">
        <v>42</v>
      </c>
      <c r="P1076">
        <v>18</v>
      </c>
      <c r="Q1076">
        <v>24</v>
      </c>
      <c r="R1076">
        <v>45</v>
      </c>
    </row>
    <row r="1077" spans="1:18" x14ac:dyDescent="0.25">
      <c r="A1077" t="s">
        <v>1161</v>
      </c>
      <c r="B1077" t="s">
        <v>52</v>
      </c>
      <c r="C1077" t="s">
        <v>1117</v>
      </c>
      <c r="D1077" t="s">
        <v>52</v>
      </c>
      <c r="E1077" t="s">
        <v>78</v>
      </c>
      <c r="F1077" t="s">
        <v>252</v>
      </c>
      <c r="G1077">
        <v>6.1534946000000001</v>
      </c>
      <c r="H1077">
        <v>-75.578234300000005</v>
      </c>
      <c r="J1077">
        <v>11</v>
      </c>
      <c r="M1077">
        <v>144</v>
      </c>
      <c r="N1077">
        <v>49</v>
      </c>
      <c r="O1077">
        <v>18</v>
      </c>
      <c r="P1077">
        <v>18</v>
      </c>
      <c r="Q1077">
        <v>17</v>
      </c>
      <c r="R1077">
        <v>67</v>
      </c>
    </row>
    <row r="1078" spans="1:18" x14ac:dyDescent="0.25">
      <c r="A1078" t="s">
        <v>1162</v>
      </c>
      <c r="B1078" t="s">
        <v>52</v>
      </c>
      <c r="C1078" t="s">
        <v>1117</v>
      </c>
      <c r="D1078" t="s">
        <v>52</v>
      </c>
      <c r="E1078" t="s">
        <v>78</v>
      </c>
      <c r="F1078" t="s">
        <v>252</v>
      </c>
      <c r="G1078">
        <v>6.1534946000000001</v>
      </c>
      <c r="H1078">
        <v>-75.578234300000005</v>
      </c>
      <c r="J1078">
        <v>11</v>
      </c>
      <c r="M1078">
        <v>143</v>
      </c>
      <c r="N1078">
        <v>34</v>
      </c>
      <c r="O1078">
        <v>26</v>
      </c>
      <c r="P1078">
        <v>28</v>
      </c>
      <c r="Q1078">
        <v>26</v>
      </c>
      <c r="R1078">
        <v>31</v>
      </c>
    </row>
    <row r="1079" spans="1:18" x14ac:dyDescent="0.25">
      <c r="A1079" t="s">
        <v>1163</v>
      </c>
      <c r="B1079" t="s">
        <v>52</v>
      </c>
      <c r="C1079" t="s">
        <v>1117</v>
      </c>
      <c r="D1079" t="s">
        <v>52</v>
      </c>
      <c r="E1079" t="s">
        <v>78</v>
      </c>
      <c r="F1079" t="s">
        <v>252</v>
      </c>
      <c r="G1079">
        <v>6.1534946000000001</v>
      </c>
      <c r="H1079">
        <v>-75.578234300000005</v>
      </c>
      <c r="J1079">
        <v>11</v>
      </c>
      <c r="M1079">
        <v>142</v>
      </c>
      <c r="N1079">
        <v>32</v>
      </c>
      <c r="O1079">
        <v>26</v>
      </c>
      <c r="P1079">
        <v>36</v>
      </c>
      <c r="Q1079">
        <v>17</v>
      </c>
      <c r="R1079">
        <v>36</v>
      </c>
    </row>
    <row r="1080" spans="1:18" x14ac:dyDescent="0.25">
      <c r="A1080" t="s">
        <v>1164</v>
      </c>
      <c r="B1080" t="s">
        <v>52</v>
      </c>
      <c r="C1080" t="s">
        <v>1117</v>
      </c>
      <c r="D1080" t="s">
        <v>52</v>
      </c>
      <c r="E1080" t="s">
        <v>78</v>
      </c>
      <c r="F1080" t="s">
        <v>252</v>
      </c>
      <c r="G1080">
        <v>6.1534946000000001</v>
      </c>
      <c r="H1080">
        <v>-75.578234300000005</v>
      </c>
      <c r="J1080">
        <v>11</v>
      </c>
      <c r="M1080">
        <v>142</v>
      </c>
      <c r="N1080">
        <v>39</v>
      </c>
      <c r="O1080">
        <v>26</v>
      </c>
      <c r="P1080">
        <v>38</v>
      </c>
      <c r="Q1080">
        <v>10</v>
      </c>
      <c r="R1080">
        <v>29</v>
      </c>
    </row>
    <row r="1081" spans="1:18" x14ac:dyDescent="0.25">
      <c r="A1081" t="s">
        <v>1165</v>
      </c>
      <c r="B1081" t="s">
        <v>52</v>
      </c>
      <c r="C1081" t="s">
        <v>1117</v>
      </c>
      <c r="D1081" t="s">
        <v>52</v>
      </c>
      <c r="E1081" t="s">
        <v>78</v>
      </c>
      <c r="F1081" t="s">
        <v>252</v>
      </c>
      <c r="G1081">
        <v>6.1534946000000001</v>
      </c>
      <c r="H1081">
        <v>-75.578234300000005</v>
      </c>
      <c r="J1081">
        <v>11</v>
      </c>
      <c r="M1081">
        <v>140</v>
      </c>
      <c r="N1081">
        <v>29</v>
      </c>
      <c r="O1081">
        <v>34</v>
      </c>
      <c r="P1081">
        <v>22</v>
      </c>
      <c r="Q1081">
        <v>26</v>
      </c>
      <c r="R1081">
        <v>31</v>
      </c>
    </row>
    <row r="1082" spans="1:18" x14ac:dyDescent="0.25">
      <c r="A1082" t="s">
        <v>1166</v>
      </c>
      <c r="B1082" t="s">
        <v>52</v>
      </c>
      <c r="C1082" t="s">
        <v>1117</v>
      </c>
      <c r="D1082" t="s">
        <v>52</v>
      </c>
      <c r="E1082" t="s">
        <v>78</v>
      </c>
      <c r="F1082" t="s">
        <v>252</v>
      </c>
      <c r="G1082">
        <v>6.1534946000000001</v>
      </c>
      <c r="H1082">
        <v>-75.578234300000005</v>
      </c>
      <c r="J1082">
        <v>11</v>
      </c>
      <c r="M1082">
        <v>133</v>
      </c>
      <c r="N1082">
        <v>27</v>
      </c>
      <c r="O1082">
        <v>24</v>
      </c>
      <c r="P1082">
        <v>30</v>
      </c>
      <c r="Q1082">
        <v>19</v>
      </c>
      <c r="R1082">
        <v>47</v>
      </c>
    </row>
    <row r="1083" spans="1:18" x14ac:dyDescent="0.25">
      <c r="A1083" t="s">
        <v>1167</v>
      </c>
      <c r="B1083" t="s">
        <v>52</v>
      </c>
      <c r="C1083" t="s">
        <v>1117</v>
      </c>
      <c r="D1083" t="s">
        <v>52</v>
      </c>
      <c r="E1083" t="s">
        <v>78</v>
      </c>
      <c r="F1083" t="s">
        <v>252</v>
      </c>
      <c r="G1083">
        <v>6.1534946000000001</v>
      </c>
      <c r="H1083">
        <v>-75.578234300000005</v>
      </c>
      <c r="J1083">
        <v>11</v>
      </c>
      <c r="M1083">
        <v>131</v>
      </c>
      <c r="N1083">
        <v>32</v>
      </c>
      <c r="O1083">
        <v>32</v>
      </c>
      <c r="P1083">
        <v>14</v>
      </c>
      <c r="Q1083">
        <v>24</v>
      </c>
      <c r="R1083">
        <v>35</v>
      </c>
    </row>
    <row r="1084" spans="1:18" x14ac:dyDescent="0.25">
      <c r="A1084" t="s">
        <v>1168</v>
      </c>
      <c r="B1084" t="s">
        <v>52</v>
      </c>
      <c r="C1084" t="s">
        <v>1117</v>
      </c>
      <c r="D1084" t="s">
        <v>52</v>
      </c>
      <c r="E1084" t="s">
        <v>78</v>
      </c>
      <c r="F1084" t="s">
        <v>252</v>
      </c>
      <c r="G1084">
        <v>6.1534946000000001</v>
      </c>
      <c r="H1084">
        <v>-75.578234300000005</v>
      </c>
      <c r="J1084">
        <v>11</v>
      </c>
      <c r="M1084">
        <v>126</v>
      </c>
      <c r="N1084">
        <v>32</v>
      </c>
      <c r="O1084">
        <v>20</v>
      </c>
      <c r="P1084">
        <v>28</v>
      </c>
      <c r="Q1084">
        <v>24</v>
      </c>
      <c r="R1084">
        <v>16</v>
      </c>
    </row>
    <row r="1085" spans="1:18" x14ac:dyDescent="0.25">
      <c r="A1085" t="s">
        <v>1169</v>
      </c>
      <c r="B1085" t="s">
        <v>52</v>
      </c>
      <c r="C1085" t="s">
        <v>1117</v>
      </c>
      <c r="D1085" t="s">
        <v>52</v>
      </c>
      <c r="E1085" t="s">
        <v>78</v>
      </c>
      <c r="F1085" t="s">
        <v>252</v>
      </c>
      <c r="G1085">
        <v>6.1534946000000001</v>
      </c>
      <c r="H1085">
        <v>-75.578234300000005</v>
      </c>
      <c r="J1085">
        <v>11</v>
      </c>
      <c r="M1085">
        <v>114</v>
      </c>
      <c r="N1085">
        <v>27</v>
      </c>
      <c r="O1085">
        <v>16</v>
      </c>
      <c r="P1085">
        <v>14</v>
      </c>
      <c r="Q1085">
        <v>28</v>
      </c>
      <c r="R1085">
        <v>44</v>
      </c>
    </row>
    <row r="1086" spans="1:18" x14ac:dyDescent="0.25">
      <c r="A1086" t="s">
        <v>1170</v>
      </c>
      <c r="B1086" t="s">
        <v>52</v>
      </c>
      <c r="C1086" t="s">
        <v>1171</v>
      </c>
      <c r="D1086" t="s">
        <v>52</v>
      </c>
      <c r="E1086" t="s">
        <v>78</v>
      </c>
      <c r="F1086" t="s">
        <v>252</v>
      </c>
      <c r="G1086">
        <v>6.1667839000000004</v>
      </c>
      <c r="H1086">
        <v>-75.578844900000007</v>
      </c>
      <c r="J1086">
        <v>11</v>
      </c>
      <c r="M1086">
        <v>338</v>
      </c>
      <c r="N1086">
        <v>76</v>
      </c>
      <c r="O1086">
        <v>40</v>
      </c>
      <c r="P1086">
        <v>80</v>
      </c>
      <c r="Q1086">
        <v>66</v>
      </c>
      <c r="R1086">
        <v>95</v>
      </c>
    </row>
    <row r="1087" spans="1:18" x14ac:dyDescent="0.25">
      <c r="A1087" t="s">
        <v>1172</v>
      </c>
      <c r="B1087" t="s">
        <v>52</v>
      </c>
      <c r="C1087" t="s">
        <v>1171</v>
      </c>
      <c r="D1087" t="s">
        <v>52</v>
      </c>
      <c r="E1087" t="s">
        <v>78</v>
      </c>
      <c r="F1087" t="s">
        <v>252</v>
      </c>
      <c r="G1087">
        <v>6.1667839000000004</v>
      </c>
      <c r="H1087">
        <v>-75.578844900000007</v>
      </c>
      <c r="J1087">
        <v>11</v>
      </c>
      <c r="M1087">
        <v>321</v>
      </c>
      <c r="N1087">
        <v>80</v>
      </c>
      <c r="O1087">
        <v>34</v>
      </c>
      <c r="P1087">
        <v>72</v>
      </c>
      <c r="Q1087">
        <v>59</v>
      </c>
      <c r="R1087">
        <v>98</v>
      </c>
    </row>
    <row r="1088" spans="1:18" x14ac:dyDescent="0.25">
      <c r="A1088" t="s">
        <v>1173</v>
      </c>
      <c r="B1088" t="s">
        <v>52</v>
      </c>
      <c r="C1088" t="s">
        <v>1171</v>
      </c>
      <c r="D1088" t="s">
        <v>52</v>
      </c>
      <c r="E1088" t="s">
        <v>78</v>
      </c>
      <c r="F1088" t="s">
        <v>252</v>
      </c>
      <c r="G1088">
        <v>6.1667839000000004</v>
      </c>
      <c r="H1088">
        <v>-75.578844900000007</v>
      </c>
      <c r="J1088">
        <v>11</v>
      </c>
      <c r="M1088">
        <v>318</v>
      </c>
      <c r="N1088">
        <v>68</v>
      </c>
      <c r="O1088">
        <v>34</v>
      </c>
      <c r="P1088">
        <v>90</v>
      </c>
      <c r="Q1088">
        <v>59</v>
      </c>
      <c r="R1088">
        <v>75</v>
      </c>
    </row>
    <row r="1089" spans="1:18" x14ac:dyDescent="0.25">
      <c r="A1089" t="s">
        <v>1174</v>
      </c>
      <c r="B1089" t="s">
        <v>52</v>
      </c>
      <c r="C1089" t="s">
        <v>1171</v>
      </c>
      <c r="D1089" t="s">
        <v>52</v>
      </c>
      <c r="E1089" t="s">
        <v>78</v>
      </c>
      <c r="F1089" t="s">
        <v>252</v>
      </c>
      <c r="G1089">
        <v>6.1667839000000004</v>
      </c>
      <c r="H1089">
        <v>-75.578844900000007</v>
      </c>
      <c r="J1089">
        <v>11</v>
      </c>
      <c r="M1089">
        <v>308</v>
      </c>
      <c r="N1089">
        <v>68</v>
      </c>
      <c r="O1089">
        <v>42</v>
      </c>
      <c r="P1089">
        <v>70</v>
      </c>
      <c r="Q1089">
        <v>62</v>
      </c>
      <c r="R1089">
        <v>75</v>
      </c>
    </row>
    <row r="1090" spans="1:18" x14ac:dyDescent="0.25">
      <c r="A1090" t="s">
        <v>1175</v>
      </c>
      <c r="B1090" t="s">
        <v>52</v>
      </c>
      <c r="C1090" t="s">
        <v>1171</v>
      </c>
      <c r="D1090" t="s">
        <v>52</v>
      </c>
      <c r="E1090" t="s">
        <v>78</v>
      </c>
      <c r="F1090" t="s">
        <v>252</v>
      </c>
      <c r="G1090">
        <v>6.1667839000000004</v>
      </c>
      <c r="H1090">
        <v>-75.578844900000007</v>
      </c>
      <c r="J1090">
        <v>11</v>
      </c>
      <c r="M1090">
        <v>305</v>
      </c>
      <c r="N1090">
        <v>73</v>
      </c>
      <c r="O1090">
        <v>38</v>
      </c>
      <c r="P1090">
        <v>80</v>
      </c>
      <c r="Q1090">
        <v>45</v>
      </c>
      <c r="R1090">
        <v>85</v>
      </c>
    </row>
    <row r="1091" spans="1:18" x14ac:dyDescent="0.25">
      <c r="A1091" t="s">
        <v>1176</v>
      </c>
      <c r="B1091" t="s">
        <v>52</v>
      </c>
      <c r="C1091" t="s">
        <v>1171</v>
      </c>
      <c r="D1091" t="s">
        <v>52</v>
      </c>
      <c r="E1091" t="s">
        <v>78</v>
      </c>
      <c r="F1091" t="s">
        <v>252</v>
      </c>
      <c r="G1091">
        <v>6.1667839000000004</v>
      </c>
      <c r="H1091">
        <v>-75.578844900000007</v>
      </c>
      <c r="J1091">
        <v>11</v>
      </c>
      <c r="M1091">
        <v>294</v>
      </c>
      <c r="N1091">
        <v>71</v>
      </c>
      <c r="O1091">
        <v>42</v>
      </c>
      <c r="P1091">
        <v>66</v>
      </c>
      <c r="Q1091">
        <v>53</v>
      </c>
      <c r="R1091">
        <v>69</v>
      </c>
    </row>
    <row r="1092" spans="1:18" x14ac:dyDescent="0.25">
      <c r="A1092" t="s">
        <v>1177</v>
      </c>
      <c r="B1092" t="s">
        <v>52</v>
      </c>
      <c r="C1092" t="s">
        <v>1171</v>
      </c>
      <c r="D1092" t="s">
        <v>52</v>
      </c>
      <c r="E1092" t="s">
        <v>78</v>
      </c>
      <c r="F1092" t="s">
        <v>252</v>
      </c>
      <c r="G1092">
        <v>6.1667839000000004</v>
      </c>
      <c r="H1092">
        <v>-75.578844900000007</v>
      </c>
      <c r="J1092">
        <v>11</v>
      </c>
      <c r="M1092">
        <v>280</v>
      </c>
      <c r="N1092">
        <v>71</v>
      </c>
      <c r="O1092">
        <v>30</v>
      </c>
      <c r="P1092">
        <v>66</v>
      </c>
      <c r="Q1092">
        <v>55</v>
      </c>
      <c r="R1092">
        <v>62</v>
      </c>
    </row>
    <row r="1093" spans="1:18" x14ac:dyDescent="0.25">
      <c r="A1093" t="s">
        <v>1178</v>
      </c>
      <c r="B1093" t="s">
        <v>52</v>
      </c>
      <c r="C1093" t="s">
        <v>1171</v>
      </c>
      <c r="D1093" t="s">
        <v>52</v>
      </c>
      <c r="E1093" t="s">
        <v>78</v>
      </c>
      <c r="F1093" t="s">
        <v>252</v>
      </c>
      <c r="G1093">
        <v>6.1667839000000004</v>
      </c>
      <c r="H1093">
        <v>-75.578844900000007</v>
      </c>
      <c r="J1093">
        <v>11</v>
      </c>
      <c r="M1093">
        <v>273</v>
      </c>
      <c r="N1093">
        <v>59</v>
      </c>
      <c r="O1093">
        <v>38</v>
      </c>
      <c r="P1093">
        <v>56</v>
      </c>
      <c r="Q1093">
        <v>55</v>
      </c>
      <c r="R1093">
        <v>87</v>
      </c>
    </row>
    <row r="1094" spans="1:18" x14ac:dyDescent="0.25">
      <c r="A1094" t="s">
        <v>1179</v>
      </c>
      <c r="B1094" t="s">
        <v>52</v>
      </c>
      <c r="C1094" t="s">
        <v>1171</v>
      </c>
      <c r="D1094" t="s">
        <v>52</v>
      </c>
      <c r="E1094" t="s">
        <v>78</v>
      </c>
      <c r="F1094" t="s">
        <v>252</v>
      </c>
      <c r="G1094">
        <v>6.1667839000000004</v>
      </c>
      <c r="H1094">
        <v>-75.578844900000007</v>
      </c>
      <c r="J1094">
        <v>11</v>
      </c>
      <c r="M1094">
        <v>268</v>
      </c>
      <c r="N1094">
        <v>71</v>
      </c>
      <c r="O1094">
        <v>32</v>
      </c>
      <c r="P1094">
        <v>70</v>
      </c>
      <c r="Q1094">
        <v>36</v>
      </c>
      <c r="R1094">
        <v>71</v>
      </c>
    </row>
    <row r="1095" spans="1:18" x14ac:dyDescent="0.25">
      <c r="A1095" t="s">
        <v>1180</v>
      </c>
      <c r="B1095" t="s">
        <v>52</v>
      </c>
      <c r="C1095" t="s">
        <v>1171</v>
      </c>
      <c r="D1095" t="s">
        <v>52</v>
      </c>
      <c r="E1095" t="s">
        <v>78</v>
      </c>
      <c r="F1095" t="s">
        <v>252</v>
      </c>
      <c r="G1095">
        <v>6.1667839000000004</v>
      </c>
      <c r="H1095">
        <v>-75.578844900000007</v>
      </c>
      <c r="J1095">
        <v>11</v>
      </c>
      <c r="M1095">
        <v>259</v>
      </c>
      <c r="N1095">
        <v>49</v>
      </c>
      <c r="O1095">
        <v>38</v>
      </c>
      <c r="P1095">
        <v>62</v>
      </c>
      <c r="Q1095">
        <v>52</v>
      </c>
      <c r="R1095">
        <v>73</v>
      </c>
    </row>
    <row r="1096" spans="1:18" x14ac:dyDescent="0.25">
      <c r="A1096" t="s">
        <v>1181</v>
      </c>
      <c r="B1096" t="s">
        <v>52</v>
      </c>
      <c r="C1096" t="s">
        <v>1171</v>
      </c>
      <c r="D1096" t="s">
        <v>52</v>
      </c>
      <c r="E1096" t="s">
        <v>78</v>
      </c>
      <c r="F1096" t="s">
        <v>252</v>
      </c>
      <c r="G1096">
        <v>6.1667839000000004</v>
      </c>
      <c r="H1096">
        <v>-75.578844900000007</v>
      </c>
      <c r="J1096">
        <v>11</v>
      </c>
      <c r="M1096">
        <v>252</v>
      </c>
      <c r="N1096">
        <v>61</v>
      </c>
      <c r="O1096">
        <v>26</v>
      </c>
      <c r="P1096">
        <v>66</v>
      </c>
      <c r="Q1096">
        <v>41</v>
      </c>
      <c r="R1096">
        <v>73</v>
      </c>
    </row>
    <row r="1097" spans="1:18" x14ac:dyDescent="0.25">
      <c r="A1097" t="s">
        <v>1182</v>
      </c>
      <c r="B1097" t="s">
        <v>52</v>
      </c>
      <c r="C1097" t="s">
        <v>1171</v>
      </c>
      <c r="D1097" t="s">
        <v>52</v>
      </c>
      <c r="E1097" t="s">
        <v>78</v>
      </c>
      <c r="F1097" t="s">
        <v>252</v>
      </c>
      <c r="G1097">
        <v>6.1667839000000004</v>
      </c>
      <c r="H1097">
        <v>-75.578844900000007</v>
      </c>
      <c r="J1097">
        <v>11</v>
      </c>
      <c r="M1097">
        <v>235</v>
      </c>
      <c r="N1097">
        <v>63</v>
      </c>
      <c r="O1097">
        <v>34</v>
      </c>
      <c r="P1097">
        <v>66</v>
      </c>
      <c r="Q1097">
        <v>28</v>
      </c>
      <c r="R1097">
        <v>38</v>
      </c>
    </row>
    <row r="1098" spans="1:18" x14ac:dyDescent="0.25">
      <c r="A1098" t="s">
        <v>1183</v>
      </c>
      <c r="B1098" t="s">
        <v>52</v>
      </c>
      <c r="C1098" t="s">
        <v>1171</v>
      </c>
      <c r="D1098" t="s">
        <v>52</v>
      </c>
      <c r="E1098" t="s">
        <v>78</v>
      </c>
      <c r="F1098" t="s">
        <v>252</v>
      </c>
      <c r="G1098">
        <v>6.1667839000000004</v>
      </c>
      <c r="H1098">
        <v>-75.578844900000007</v>
      </c>
      <c r="J1098">
        <v>11</v>
      </c>
      <c r="M1098">
        <v>223</v>
      </c>
      <c r="N1098">
        <v>61</v>
      </c>
      <c r="O1098">
        <v>38</v>
      </c>
      <c r="P1098">
        <v>40</v>
      </c>
      <c r="Q1098">
        <v>41</v>
      </c>
      <c r="R1098">
        <v>38</v>
      </c>
    </row>
    <row r="1099" spans="1:18" x14ac:dyDescent="0.25">
      <c r="A1099" t="s">
        <v>1184</v>
      </c>
      <c r="B1099" t="s">
        <v>52</v>
      </c>
      <c r="C1099" t="s">
        <v>1171</v>
      </c>
      <c r="D1099" t="s">
        <v>52</v>
      </c>
      <c r="E1099" t="s">
        <v>78</v>
      </c>
      <c r="F1099" t="s">
        <v>252</v>
      </c>
      <c r="G1099">
        <v>6.1667839000000004</v>
      </c>
      <c r="H1099">
        <v>-75.578844900000007</v>
      </c>
      <c r="J1099">
        <v>11</v>
      </c>
      <c r="M1099">
        <v>222</v>
      </c>
      <c r="N1099">
        <v>46</v>
      </c>
      <c r="O1099">
        <v>30</v>
      </c>
      <c r="P1099">
        <v>54</v>
      </c>
      <c r="Q1099">
        <v>43</v>
      </c>
      <c r="R1099">
        <v>56</v>
      </c>
    </row>
    <row r="1100" spans="1:18" x14ac:dyDescent="0.25">
      <c r="A1100" t="s">
        <v>1185</v>
      </c>
      <c r="B1100" t="s">
        <v>52</v>
      </c>
      <c r="C1100" t="s">
        <v>1171</v>
      </c>
      <c r="D1100" t="s">
        <v>52</v>
      </c>
      <c r="E1100" t="s">
        <v>78</v>
      </c>
      <c r="F1100" t="s">
        <v>252</v>
      </c>
      <c r="G1100">
        <v>6.1667839000000004</v>
      </c>
      <c r="H1100">
        <v>-75.578844900000007</v>
      </c>
      <c r="J1100">
        <v>11</v>
      </c>
      <c r="M1100">
        <v>206</v>
      </c>
      <c r="N1100">
        <v>51</v>
      </c>
      <c r="O1100">
        <v>28</v>
      </c>
      <c r="P1100">
        <v>40</v>
      </c>
      <c r="Q1100">
        <v>40</v>
      </c>
      <c r="R1100">
        <v>60</v>
      </c>
    </row>
    <row r="1101" spans="1:18" x14ac:dyDescent="0.25">
      <c r="A1101" t="s">
        <v>1186</v>
      </c>
      <c r="B1101" t="s">
        <v>52</v>
      </c>
      <c r="C1101" t="s">
        <v>1171</v>
      </c>
      <c r="D1101" t="s">
        <v>52</v>
      </c>
      <c r="E1101" t="s">
        <v>78</v>
      </c>
      <c r="F1101" t="s">
        <v>252</v>
      </c>
      <c r="G1101">
        <v>6.1667839000000004</v>
      </c>
      <c r="H1101">
        <v>-75.578844900000007</v>
      </c>
      <c r="J1101">
        <v>11</v>
      </c>
      <c r="M1101">
        <v>204</v>
      </c>
      <c r="N1101">
        <v>59</v>
      </c>
      <c r="O1101">
        <v>28</v>
      </c>
      <c r="P1101">
        <v>34</v>
      </c>
      <c r="Q1101">
        <v>34</v>
      </c>
      <c r="R1101">
        <v>65</v>
      </c>
    </row>
    <row r="1102" spans="1:18" x14ac:dyDescent="0.25">
      <c r="A1102" t="s">
        <v>1187</v>
      </c>
      <c r="B1102" t="s">
        <v>52</v>
      </c>
      <c r="C1102" t="s">
        <v>1171</v>
      </c>
      <c r="D1102" t="s">
        <v>52</v>
      </c>
      <c r="E1102" t="s">
        <v>78</v>
      </c>
      <c r="F1102" t="s">
        <v>252</v>
      </c>
      <c r="G1102">
        <v>6.1667839000000004</v>
      </c>
      <c r="H1102">
        <v>-75.578844900000007</v>
      </c>
      <c r="J1102">
        <v>11</v>
      </c>
      <c r="M1102">
        <v>189</v>
      </c>
      <c r="N1102">
        <v>32</v>
      </c>
      <c r="O1102">
        <v>36</v>
      </c>
      <c r="P1102">
        <v>52</v>
      </c>
      <c r="Q1102">
        <v>29</v>
      </c>
      <c r="R1102">
        <v>44</v>
      </c>
    </row>
    <row r="1103" spans="1:18" x14ac:dyDescent="0.25">
      <c r="A1103" t="s">
        <v>1188</v>
      </c>
      <c r="B1103" t="s">
        <v>52</v>
      </c>
      <c r="C1103" t="s">
        <v>1171</v>
      </c>
      <c r="D1103" t="s">
        <v>52</v>
      </c>
      <c r="E1103" t="s">
        <v>78</v>
      </c>
      <c r="F1103" t="s">
        <v>252</v>
      </c>
      <c r="G1103">
        <v>6.1667839000000004</v>
      </c>
      <c r="H1103">
        <v>-75.578844900000007</v>
      </c>
      <c r="J1103">
        <v>11</v>
      </c>
      <c r="M1103">
        <v>187</v>
      </c>
      <c r="N1103">
        <v>39</v>
      </c>
      <c r="O1103">
        <v>26</v>
      </c>
      <c r="P1103">
        <v>34</v>
      </c>
      <c r="Q1103">
        <v>50</v>
      </c>
      <c r="R1103">
        <v>40</v>
      </c>
    </row>
    <row r="1104" spans="1:18" x14ac:dyDescent="0.25">
      <c r="A1104" t="s">
        <v>1189</v>
      </c>
      <c r="B1104" t="s">
        <v>52</v>
      </c>
      <c r="C1104" t="s">
        <v>1171</v>
      </c>
      <c r="D1104" t="s">
        <v>52</v>
      </c>
      <c r="E1104" t="s">
        <v>78</v>
      </c>
      <c r="F1104" t="s">
        <v>252</v>
      </c>
      <c r="G1104">
        <v>6.1667839000000004</v>
      </c>
      <c r="H1104">
        <v>-75.578844900000007</v>
      </c>
      <c r="J1104">
        <v>11</v>
      </c>
      <c r="M1104">
        <v>184</v>
      </c>
      <c r="N1104">
        <v>39</v>
      </c>
      <c r="O1104">
        <v>44</v>
      </c>
      <c r="P1104">
        <v>28</v>
      </c>
      <c r="Q1104">
        <v>31</v>
      </c>
      <c r="R1104">
        <v>53</v>
      </c>
    </row>
    <row r="1105" spans="1:18" x14ac:dyDescent="0.25">
      <c r="A1105" t="s">
        <v>1190</v>
      </c>
      <c r="B1105" t="s">
        <v>52</v>
      </c>
      <c r="C1105" t="s">
        <v>1171</v>
      </c>
      <c r="D1105" t="s">
        <v>52</v>
      </c>
      <c r="E1105" t="s">
        <v>78</v>
      </c>
      <c r="F1105" t="s">
        <v>252</v>
      </c>
      <c r="G1105">
        <v>6.1667839000000004</v>
      </c>
      <c r="H1105">
        <v>-75.578844900000007</v>
      </c>
      <c r="J1105">
        <v>11</v>
      </c>
      <c r="M1105">
        <v>184</v>
      </c>
      <c r="N1105">
        <v>44</v>
      </c>
      <c r="O1105">
        <v>28</v>
      </c>
      <c r="P1105">
        <v>34</v>
      </c>
      <c r="Q1105">
        <v>36</v>
      </c>
      <c r="R1105">
        <v>51</v>
      </c>
    </row>
    <row r="1106" spans="1:18" x14ac:dyDescent="0.25">
      <c r="A1106" t="s">
        <v>1191</v>
      </c>
      <c r="B1106" t="s">
        <v>52</v>
      </c>
      <c r="C1106" t="s">
        <v>1171</v>
      </c>
      <c r="D1106" t="s">
        <v>52</v>
      </c>
      <c r="E1106" t="s">
        <v>78</v>
      </c>
      <c r="F1106" t="s">
        <v>252</v>
      </c>
      <c r="G1106">
        <v>6.1667839000000004</v>
      </c>
      <c r="H1106">
        <v>-75.578844900000007</v>
      </c>
      <c r="J1106">
        <v>11</v>
      </c>
      <c r="M1106">
        <v>178</v>
      </c>
      <c r="N1106">
        <v>41</v>
      </c>
      <c r="O1106">
        <v>42</v>
      </c>
      <c r="P1106">
        <v>26</v>
      </c>
      <c r="Q1106">
        <v>29</v>
      </c>
      <c r="R1106">
        <v>47</v>
      </c>
    </row>
    <row r="1107" spans="1:18" x14ac:dyDescent="0.25">
      <c r="A1107" t="s">
        <v>1192</v>
      </c>
      <c r="B1107" t="s">
        <v>52</v>
      </c>
      <c r="C1107" t="s">
        <v>1171</v>
      </c>
      <c r="D1107" t="s">
        <v>52</v>
      </c>
      <c r="E1107" t="s">
        <v>78</v>
      </c>
      <c r="F1107" t="s">
        <v>252</v>
      </c>
      <c r="G1107">
        <v>6.1667839000000004</v>
      </c>
      <c r="H1107">
        <v>-75.578844900000007</v>
      </c>
      <c r="J1107">
        <v>11</v>
      </c>
      <c r="M1107">
        <v>178</v>
      </c>
      <c r="N1107">
        <v>46</v>
      </c>
      <c r="O1107">
        <v>30</v>
      </c>
      <c r="P1107">
        <v>30</v>
      </c>
      <c r="Q1107">
        <v>34</v>
      </c>
      <c r="R1107">
        <v>40</v>
      </c>
    </row>
    <row r="1108" spans="1:18" x14ac:dyDescent="0.25">
      <c r="A1108" t="s">
        <v>1193</v>
      </c>
      <c r="B1108" t="s">
        <v>52</v>
      </c>
      <c r="C1108" t="s">
        <v>1171</v>
      </c>
      <c r="D1108" t="s">
        <v>52</v>
      </c>
      <c r="E1108" t="s">
        <v>78</v>
      </c>
      <c r="F1108" t="s">
        <v>252</v>
      </c>
      <c r="G1108">
        <v>6.1667839000000004</v>
      </c>
      <c r="H1108">
        <v>-75.578844900000007</v>
      </c>
      <c r="J1108">
        <v>11</v>
      </c>
      <c r="M1108">
        <v>176</v>
      </c>
      <c r="N1108">
        <v>17</v>
      </c>
      <c r="O1108">
        <v>26</v>
      </c>
      <c r="P1108">
        <v>52</v>
      </c>
      <c r="Q1108">
        <v>47</v>
      </c>
      <c r="R1108">
        <v>33</v>
      </c>
    </row>
    <row r="1109" spans="1:18" x14ac:dyDescent="0.25">
      <c r="A1109" t="s">
        <v>1194</v>
      </c>
      <c r="B1109" t="s">
        <v>52</v>
      </c>
      <c r="C1109" t="s">
        <v>1171</v>
      </c>
      <c r="D1109" t="s">
        <v>52</v>
      </c>
      <c r="E1109" t="s">
        <v>78</v>
      </c>
      <c r="F1109" t="s">
        <v>252</v>
      </c>
      <c r="G1109">
        <v>6.1667839000000004</v>
      </c>
      <c r="H1109">
        <v>-75.578844900000007</v>
      </c>
      <c r="J1109">
        <v>11</v>
      </c>
      <c r="M1109">
        <v>164</v>
      </c>
      <c r="N1109">
        <v>34</v>
      </c>
      <c r="O1109">
        <v>36</v>
      </c>
      <c r="P1109">
        <v>32</v>
      </c>
      <c r="Q1109">
        <v>28</v>
      </c>
      <c r="R1109">
        <v>36</v>
      </c>
    </row>
    <row r="1110" spans="1:18" x14ac:dyDescent="0.25">
      <c r="A1110" t="s">
        <v>1195</v>
      </c>
      <c r="B1110" t="s">
        <v>52</v>
      </c>
      <c r="C1110" t="s">
        <v>1171</v>
      </c>
      <c r="D1110" t="s">
        <v>52</v>
      </c>
      <c r="E1110" t="s">
        <v>78</v>
      </c>
      <c r="F1110" t="s">
        <v>252</v>
      </c>
      <c r="G1110">
        <v>6.1667839000000004</v>
      </c>
      <c r="H1110">
        <v>-75.578844900000007</v>
      </c>
      <c r="J1110">
        <v>11</v>
      </c>
      <c r="M1110">
        <v>162</v>
      </c>
      <c r="N1110">
        <v>44</v>
      </c>
      <c r="O1110">
        <v>32</v>
      </c>
      <c r="P1110">
        <v>30</v>
      </c>
      <c r="Q1110">
        <v>21</v>
      </c>
      <c r="R1110">
        <v>42</v>
      </c>
    </row>
    <row r="1111" spans="1:18" x14ac:dyDescent="0.25">
      <c r="A1111" t="s">
        <v>1196</v>
      </c>
      <c r="B1111" t="s">
        <v>52</v>
      </c>
      <c r="C1111" t="s">
        <v>1171</v>
      </c>
      <c r="D1111" t="s">
        <v>52</v>
      </c>
      <c r="E1111" t="s">
        <v>78</v>
      </c>
      <c r="F1111" t="s">
        <v>252</v>
      </c>
      <c r="G1111">
        <v>6.1667839000000004</v>
      </c>
      <c r="H1111">
        <v>-75.578844900000007</v>
      </c>
      <c r="J1111">
        <v>11</v>
      </c>
      <c r="M1111">
        <v>161</v>
      </c>
      <c r="N1111">
        <v>44</v>
      </c>
      <c r="O1111">
        <v>28</v>
      </c>
      <c r="P1111">
        <v>26</v>
      </c>
      <c r="Q1111">
        <v>29</v>
      </c>
      <c r="R1111">
        <v>36</v>
      </c>
    </row>
    <row r="1112" spans="1:18" x14ac:dyDescent="0.25">
      <c r="A1112" t="s">
        <v>1197</v>
      </c>
      <c r="B1112" t="s">
        <v>52</v>
      </c>
      <c r="C1112" t="s">
        <v>1171</v>
      </c>
      <c r="D1112" t="s">
        <v>52</v>
      </c>
      <c r="E1112" t="s">
        <v>78</v>
      </c>
      <c r="F1112" t="s">
        <v>252</v>
      </c>
      <c r="G1112">
        <v>6.1667839000000004</v>
      </c>
      <c r="H1112">
        <v>-75.578844900000007</v>
      </c>
      <c r="J1112">
        <v>11</v>
      </c>
      <c r="M1112">
        <v>160</v>
      </c>
      <c r="N1112">
        <v>29</v>
      </c>
      <c r="O1112">
        <v>28</v>
      </c>
      <c r="P1112">
        <v>26</v>
      </c>
      <c r="Q1112">
        <v>36</v>
      </c>
      <c r="R1112">
        <v>56</v>
      </c>
    </row>
    <row r="1113" spans="1:18" x14ac:dyDescent="0.25">
      <c r="A1113" t="s">
        <v>1198</v>
      </c>
      <c r="B1113" t="s">
        <v>52</v>
      </c>
      <c r="C1113" t="s">
        <v>1171</v>
      </c>
      <c r="D1113" t="s">
        <v>52</v>
      </c>
      <c r="E1113" t="s">
        <v>78</v>
      </c>
      <c r="F1113" t="s">
        <v>252</v>
      </c>
      <c r="G1113">
        <v>6.1667839000000004</v>
      </c>
      <c r="H1113">
        <v>-75.578844900000007</v>
      </c>
      <c r="J1113">
        <v>11</v>
      </c>
      <c r="M1113">
        <v>140</v>
      </c>
      <c r="N1113">
        <v>34</v>
      </c>
      <c r="O1113">
        <v>20</v>
      </c>
      <c r="P1113">
        <v>32</v>
      </c>
      <c r="Q1113">
        <v>26</v>
      </c>
      <c r="R1113">
        <v>29</v>
      </c>
    </row>
    <row r="1114" spans="1:18" x14ac:dyDescent="0.25">
      <c r="A1114" t="s">
        <v>1199</v>
      </c>
      <c r="B1114" t="s">
        <v>52</v>
      </c>
      <c r="C1114" t="s">
        <v>1171</v>
      </c>
      <c r="D1114" t="s">
        <v>52</v>
      </c>
      <c r="E1114" t="s">
        <v>78</v>
      </c>
      <c r="F1114" t="s">
        <v>252</v>
      </c>
      <c r="G1114">
        <v>6.1667839000000004</v>
      </c>
      <c r="H1114">
        <v>-75.578844900000007</v>
      </c>
      <c r="J1114">
        <v>11</v>
      </c>
      <c r="M1114">
        <v>135</v>
      </c>
      <c r="N1114">
        <v>37</v>
      </c>
      <c r="O1114">
        <v>38</v>
      </c>
      <c r="P1114">
        <v>16</v>
      </c>
      <c r="Q1114">
        <v>16</v>
      </c>
      <c r="R1114">
        <v>33</v>
      </c>
    </row>
    <row r="1115" spans="1:18" x14ac:dyDescent="0.25">
      <c r="A1115" t="s">
        <v>1200</v>
      </c>
      <c r="B1115" t="s">
        <v>52</v>
      </c>
      <c r="C1115" t="s">
        <v>1171</v>
      </c>
      <c r="D1115" t="s">
        <v>52</v>
      </c>
      <c r="E1115" t="s">
        <v>78</v>
      </c>
      <c r="F1115" t="s">
        <v>252</v>
      </c>
      <c r="G1115">
        <v>6.1667839000000004</v>
      </c>
      <c r="H1115">
        <v>-75.578844900000007</v>
      </c>
      <c r="J1115">
        <v>11</v>
      </c>
      <c r="M1115">
        <v>128</v>
      </c>
      <c r="N1115">
        <v>15</v>
      </c>
      <c r="O1115">
        <v>30</v>
      </c>
      <c r="P1115">
        <v>30</v>
      </c>
      <c r="Q1115">
        <v>28</v>
      </c>
      <c r="R1115">
        <v>27</v>
      </c>
    </row>
    <row r="1116" spans="1:18" x14ac:dyDescent="0.25">
      <c r="A1116" t="s">
        <v>1201</v>
      </c>
      <c r="B1116" t="s">
        <v>52</v>
      </c>
      <c r="C1116" t="s">
        <v>1171</v>
      </c>
      <c r="D1116" t="s">
        <v>52</v>
      </c>
      <c r="E1116" t="s">
        <v>78</v>
      </c>
      <c r="F1116" t="s">
        <v>252</v>
      </c>
      <c r="G1116">
        <v>6.1667839000000004</v>
      </c>
      <c r="H1116">
        <v>-75.578844900000007</v>
      </c>
      <c r="J1116">
        <v>11</v>
      </c>
      <c r="M1116">
        <v>124</v>
      </c>
      <c r="N1116">
        <v>24</v>
      </c>
      <c r="O1116">
        <v>28</v>
      </c>
      <c r="P1116">
        <v>18</v>
      </c>
      <c r="Q1116">
        <v>28</v>
      </c>
      <c r="R1116">
        <v>29</v>
      </c>
    </row>
    <row r="1117" spans="1:18" x14ac:dyDescent="0.25">
      <c r="A1117" t="s">
        <v>1202</v>
      </c>
      <c r="B1117" t="s">
        <v>52</v>
      </c>
      <c r="C1117" t="s">
        <v>1171</v>
      </c>
      <c r="D1117" t="s">
        <v>52</v>
      </c>
      <c r="E1117" t="s">
        <v>78</v>
      </c>
      <c r="F1117" t="s">
        <v>252</v>
      </c>
      <c r="G1117">
        <v>6.1667839000000004</v>
      </c>
      <c r="H1117">
        <v>-75.578844900000007</v>
      </c>
      <c r="J1117">
        <v>11</v>
      </c>
      <c r="M1117">
        <v>116</v>
      </c>
      <c r="N1117">
        <v>37</v>
      </c>
      <c r="O1117">
        <v>16</v>
      </c>
      <c r="P1117">
        <v>16</v>
      </c>
      <c r="Q1117">
        <v>22</v>
      </c>
      <c r="R1117">
        <v>29</v>
      </c>
    </row>
    <row r="1118" spans="1:18" x14ac:dyDescent="0.25">
      <c r="A1118" t="s">
        <v>1203</v>
      </c>
      <c r="B1118" t="s">
        <v>53</v>
      </c>
      <c r="C1118" t="s">
        <v>1204</v>
      </c>
      <c r="D1118" t="s">
        <v>54</v>
      </c>
      <c r="E1118" t="s">
        <v>78</v>
      </c>
      <c r="F1118" t="s">
        <v>252</v>
      </c>
      <c r="G1118" s="18">
        <v>5.9349648928189396</v>
      </c>
      <c r="H1118" s="18">
        <v>-75.544226928060198</v>
      </c>
      <c r="I1118" t="s">
        <v>1205</v>
      </c>
      <c r="J1118">
        <v>11</v>
      </c>
      <c r="K1118">
        <v>110</v>
      </c>
      <c r="L1118">
        <v>254</v>
      </c>
      <c r="M1118">
        <v>226.9</v>
      </c>
      <c r="N1118">
        <v>51.2</v>
      </c>
      <c r="O1118">
        <v>40</v>
      </c>
      <c r="P1118">
        <v>56</v>
      </c>
      <c r="Q1118">
        <v>37.9</v>
      </c>
      <c r="R1118">
        <v>34.5</v>
      </c>
    </row>
    <row r="1119" spans="1:18" x14ac:dyDescent="0.25">
      <c r="A1119" t="s">
        <v>1206</v>
      </c>
      <c r="B1119" t="s">
        <v>53</v>
      </c>
      <c r="C1119" t="s">
        <v>1204</v>
      </c>
      <c r="D1119" t="s">
        <v>54</v>
      </c>
      <c r="E1119" t="s">
        <v>78</v>
      </c>
      <c r="F1119" t="s">
        <v>252</v>
      </c>
      <c r="G1119" s="18">
        <v>5.9349648928189396</v>
      </c>
      <c r="H1119" s="18">
        <v>-75.544226928060198</v>
      </c>
      <c r="I1119" t="s">
        <v>1205</v>
      </c>
      <c r="J1119">
        <v>11</v>
      </c>
      <c r="K1119">
        <v>138</v>
      </c>
      <c r="L1119">
        <v>254</v>
      </c>
      <c r="M1119">
        <v>260.60000000000002</v>
      </c>
      <c r="N1119">
        <v>58.5</v>
      </c>
      <c r="O1119">
        <v>44</v>
      </c>
      <c r="P1119">
        <v>60</v>
      </c>
      <c r="Q1119">
        <v>39.700000000000003</v>
      </c>
      <c r="R1119">
        <v>70.900000000000006</v>
      </c>
    </row>
    <row r="1120" spans="1:18" x14ac:dyDescent="0.25">
      <c r="A1120" t="s">
        <v>1207</v>
      </c>
      <c r="B1120" t="s">
        <v>53</v>
      </c>
      <c r="C1120" t="s">
        <v>1204</v>
      </c>
      <c r="D1120" t="s">
        <v>54</v>
      </c>
      <c r="E1120" t="s">
        <v>78</v>
      </c>
      <c r="F1120" t="s">
        <v>252</v>
      </c>
      <c r="G1120" s="18">
        <v>5.9349648928189396</v>
      </c>
      <c r="H1120" s="18">
        <v>-75.544226928060198</v>
      </c>
      <c r="I1120" t="s">
        <v>1205</v>
      </c>
      <c r="J1120">
        <v>11</v>
      </c>
      <c r="K1120">
        <v>92</v>
      </c>
      <c r="L1120">
        <v>254</v>
      </c>
      <c r="M1120">
        <v>151.4</v>
      </c>
      <c r="N1120">
        <v>31.7</v>
      </c>
      <c r="O1120">
        <v>20</v>
      </c>
      <c r="P1120">
        <v>30</v>
      </c>
      <c r="Q1120">
        <v>25.9</v>
      </c>
      <c r="R1120">
        <v>70.900000000000006</v>
      </c>
    </row>
    <row r="1121" spans="1:18" x14ac:dyDescent="0.25">
      <c r="A1121" t="s">
        <v>1208</v>
      </c>
      <c r="B1121" t="s">
        <v>53</v>
      </c>
      <c r="C1121" t="s">
        <v>1204</v>
      </c>
      <c r="D1121" t="s">
        <v>54</v>
      </c>
      <c r="E1121" t="s">
        <v>78</v>
      </c>
      <c r="F1121" t="s">
        <v>252</v>
      </c>
      <c r="G1121" s="18">
        <v>5.9349648928189396</v>
      </c>
      <c r="H1121" s="18">
        <v>-75.544226928060198</v>
      </c>
      <c r="I1121" t="s">
        <v>1205</v>
      </c>
      <c r="J1121">
        <v>11</v>
      </c>
      <c r="K1121">
        <v>122</v>
      </c>
      <c r="L1121">
        <v>254</v>
      </c>
      <c r="M1121">
        <v>240.5</v>
      </c>
      <c r="N1121">
        <v>39</v>
      </c>
      <c r="O1121">
        <v>44</v>
      </c>
      <c r="P1121">
        <v>62</v>
      </c>
      <c r="Q1121">
        <v>48.3</v>
      </c>
      <c r="R1121">
        <v>45.5</v>
      </c>
    </row>
    <row r="1122" spans="1:18" x14ac:dyDescent="0.25">
      <c r="A1122" t="s">
        <v>1209</v>
      </c>
      <c r="B1122" t="s">
        <v>53</v>
      </c>
      <c r="C1122" t="s">
        <v>1204</v>
      </c>
      <c r="D1122" t="s">
        <v>54</v>
      </c>
      <c r="E1122" t="s">
        <v>78</v>
      </c>
      <c r="F1122" t="s">
        <v>252</v>
      </c>
      <c r="G1122" s="18">
        <v>5.9349648928189396</v>
      </c>
      <c r="H1122" s="18">
        <v>-75.544226928060198</v>
      </c>
      <c r="I1122" t="s">
        <v>1205</v>
      </c>
      <c r="J1122">
        <v>11</v>
      </c>
      <c r="K1122">
        <v>114</v>
      </c>
      <c r="L1122">
        <v>254</v>
      </c>
      <c r="M1122">
        <v>209</v>
      </c>
      <c r="N1122">
        <v>36.6</v>
      </c>
      <c r="O1122">
        <v>32</v>
      </c>
      <c r="P1122">
        <v>62</v>
      </c>
      <c r="Q1122">
        <v>29.3</v>
      </c>
      <c r="R1122">
        <v>63.6</v>
      </c>
    </row>
    <row r="1123" spans="1:18" x14ac:dyDescent="0.25">
      <c r="A1123" t="s">
        <v>1210</v>
      </c>
      <c r="B1123" t="s">
        <v>53</v>
      </c>
      <c r="C1123" t="s">
        <v>1204</v>
      </c>
      <c r="D1123" t="s">
        <v>54</v>
      </c>
      <c r="E1123" t="s">
        <v>78</v>
      </c>
      <c r="F1123" t="s">
        <v>252</v>
      </c>
      <c r="G1123" s="18">
        <v>5.9349648928189396</v>
      </c>
      <c r="H1123" s="18">
        <v>-75.544226928060198</v>
      </c>
      <c r="I1123" t="s">
        <v>1205</v>
      </c>
      <c r="J1123">
        <v>11</v>
      </c>
      <c r="K1123">
        <v>147</v>
      </c>
      <c r="L1123">
        <v>254</v>
      </c>
      <c r="M1123">
        <v>269.89999999999998</v>
      </c>
      <c r="N1123">
        <v>56.1</v>
      </c>
      <c r="O1123">
        <v>36</v>
      </c>
      <c r="P1123">
        <v>60</v>
      </c>
      <c r="Q1123">
        <v>55.2</v>
      </c>
      <c r="R1123">
        <v>80</v>
      </c>
    </row>
    <row r="1124" spans="1:18" x14ac:dyDescent="0.25">
      <c r="A1124" t="s">
        <v>1211</v>
      </c>
      <c r="B1124" t="s">
        <v>53</v>
      </c>
      <c r="C1124" t="s">
        <v>1204</v>
      </c>
      <c r="D1124" t="s">
        <v>54</v>
      </c>
      <c r="E1124" t="s">
        <v>78</v>
      </c>
      <c r="F1124" t="s">
        <v>252</v>
      </c>
      <c r="G1124" s="18">
        <v>5.9349648928189396</v>
      </c>
      <c r="H1124" s="18">
        <v>-75.544226928060198</v>
      </c>
      <c r="I1124" t="s">
        <v>1205</v>
      </c>
      <c r="J1124">
        <v>11</v>
      </c>
      <c r="K1124">
        <v>85</v>
      </c>
      <c r="L1124">
        <v>254</v>
      </c>
      <c r="M1124">
        <v>172.1</v>
      </c>
      <c r="N1124">
        <v>46.3</v>
      </c>
      <c r="O1124">
        <v>16</v>
      </c>
      <c r="P1124">
        <v>26</v>
      </c>
      <c r="Q1124">
        <v>51.7</v>
      </c>
      <c r="R1124">
        <v>27.3</v>
      </c>
    </row>
    <row r="1125" spans="1:18" x14ac:dyDescent="0.25">
      <c r="A1125" t="s">
        <v>1212</v>
      </c>
      <c r="B1125" t="s">
        <v>53</v>
      </c>
      <c r="C1125" t="s">
        <v>1204</v>
      </c>
      <c r="D1125" t="s">
        <v>54</v>
      </c>
      <c r="E1125" t="s">
        <v>78</v>
      </c>
      <c r="F1125" t="s">
        <v>252</v>
      </c>
      <c r="G1125" s="18">
        <v>5.9349648928189396</v>
      </c>
      <c r="H1125" s="18">
        <v>-75.544226928060198</v>
      </c>
      <c r="I1125" t="s">
        <v>1205</v>
      </c>
      <c r="J1125">
        <v>11</v>
      </c>
      <c r="K1125">
        <v>121</v>
      </c>
      <c r="L1125">
        <v>254</v>
      </c>
      <c r="M1125">
        <v>212.2</v>
      </c>
      <c r="N1125">
        <v>26.8</v>
      </c>
      <c r="O1125">
        <v>28</v>
      </c>
      <c r="P1125">
        <v>52</v>
      </c>
      <c r="Q1125">
        <v>53.4</v>
      </c>
      <c r="R1125">
        <v>70.900000000000006</v>
      </c>
    </row>
    <row r="1126" spans="1:18" x14ac:dyDescent="0.25">
      <c r="A1126" t="s">
        <v>1213</v>
      </c>
      <c r="B1126" t="s">
        <v>53</v>
      </c>
      <c r="C1126" t="s">
        <v>1204</v>
      </c>
      <c r="D1126" t="s">
        <v>54</v>
      </c>
      <c r="E1126" t="s">
        <v>78</v>
      </c>
      <c r="F1126" t="s">
        <v>252</v>
      </c>
      <c r="G1126" s="18">
        <v>5.9349648928189396</v>
      </c>
      <c r="H1126" s="18">
        <v>-75.544226928060198</v>
      </c>
      <c r="I1126" t="s">
        <v>1205</v>
      </c>
      <c r="J1126">
        <v>11</v>
      </c>
      <c r="K1126">
        <v>127</v>
      </c>
      <c r="L1126">
        <v>254</v>
      </c>
      <c r="M1126">
        <v>250.9</v>
      </c>
      <c r="N1126">
        <v>53.7</v>
      </c>
      <c r="O1126">
        <v>32</v>
      </c>
      <c r="P1126">
        <v>70</v>
      </c>
      <c r="Q1126">
        <v>44.8</v>
      </c>
      <c r="R1126">
        <v>50.9</v>
      </c>
    </row>
    <row r="1127" spans="1:18" x14ac:dyDescent="0.25">
      <c r="A1127" t="s">
        <v>1214</v>
      </c>
      <c r="B1127" t="s">
        <v>53</v>
      </c>
      <c r="C1127" t="s">
        <v>1204</v>
      </c>
      <c r="D1127" t="s">
        <v>54</v>
      </c>
      <c r="E1127" t="s">
        <v>78</v>
      </c>
      <c r="F1127" t="s">
        <v>252</v>
      </c>
      <c r="G1127" s="18">
        <v>5.9349648928189396</v>
      </c>
      <c r="H1127" s="18">
        <v>-75.544226928060198</v>
      </c>
      <c r="I1127" t="s">
        <v>1205</v>
      </c>
      <c r="J1127">
        <v>11</v>
      </c>
      <c r="K1127">
        <v>104</v>
      </c>
      <c r="L1127">
        <v>254</v>
      </c>
      <c r="M1127">
        <v>187.3</v>
      </c>
      <c r="N1127">
        <v>17.100000000000001</v>
      </c>
      <c r="O1127">
        <v>32</v>
      </c>
      <c r="P1127">
        <v>52</v>
      </c>
      <c r="Q1127">
        <v>43.1</v>
      </c>
      <c r="R1127">
        <v>54.5</v>
      </c>
    </row>
    <row r="1128" spans="1:18" x14ac:dyDescent="0.25">
      <c r="A1128" t="s">
        <v>1215</v>
      </c>
      <c r="B1128" t="s">
        <v>53</v>
      </c>
      <c r="C1128" t="s">
        <v>1204</v>
      </c>
      <c r="D1128" t="s">
        <v>54</v>
      </c>
      <c r="E1128" t="s">
        <v>78</v>
      </c>
      <c r="F1128" t="s">
        <v>252</v>
      </c>
      <c r="G1128" s="18">
        <v>5.9349648928189396</v>
      </c>
      <c r="H1128" s="18">
        <v>-75.544226928060198</v>
      </c>
      <c r="I1128" t="s">
        <v>1205</v>
      </c>
      <c r="J1128">
        <v>11</v>
      </c>
      <c r="K1128">
        <v>124</v>
      </c>
      <c r="L1128">
        <v>254</v>
      </c>
      <c r="M1128">
        <v>226.2</v>
      </c>
      <c r="N1128">
        <v>39</v>
      </c>
      <c r="O1128">
        <v>28</v>
      </c>
      <c r="P1128">
        <v>60</v>
      </c>
      <c r="Q1128">
        <v>46.6</v>
      </c>
      <c r="R1128">
        <v>67.3</v>
      </c>
    </row>
    <row r="1129" spans="1:18" x14ac:dyDescent="0.25">
      <c r="A1129" t="s">
        <v>1216</v>
      </c>
      <c r="B1129" t="s">
        <v>53</v>
      </c>
      <c r="C1129" t="s">
        <v>1204</v>
      </c>
      <c r="D1129" t="s">
        <v>54</v>
      </c>
      <c r="E1129" t="s">
        <v>78</v>
      </c>
      <c r="F1129" t="s">
        <v>252</v>
      </c>
      <c r="G1129" s="18">
        <v>5.9349648928189396</v>
      </c>
      <c r="H1129" s="18">
        <v>-75.544226928060198</v>
      </c>
      <c r="I1129" t="s">
        <v>1205</v>
      </c>
      <c r="J1129">
        <v>11</v>
      </c>
      <c r="K1129">
        <v>134</v>
      </c>
      <c r="L1129">
        <v>254</v>
      </c>
      <c r="M1129">
        <v>248.3</v>
      </c>
      <c r="N1129">
        <v>61</v>
      </c>
      <c r="O1129">
        <v>32</v>
      </c>
      <c r="P1129">
        <v>56</v>
      </c>
      <c r="Q1129">
        <v>41.4</v>
      </c>
      <c r="R1129">
        <v>74.5</v>
      </c>
    </row>
    <row r="1130" spans="1:18" x14ac:dyDescent="0.25">
      <c r="A1130" t="s">
        <v>1217</v>
      </c>
      <c r="B1130" t="s">
        <v>53</v>
      </c>
      <c r="C1130" t="s">
        <v>1204</v>
      </c>
      <c r="D1130" t="s">
        <v>54</v>
      </c>
      <c r="E1130" t="s">
        <v>78</v>
      </c>
      <c r="F1130" t="s">
        <v>252</v>
      </c>
      <c r="G1130" s="18">
        <v>5.9349648928189396</v>
      </c>
      <c r="H1130" s="18">
        <v>-75.544226928060198</v>
      </c>
      <c r="I1130" t="s">
        <v>1205</v>
      </c>
      <c r="J1130">
        <v>11</v>
      </c>
      <c r="K1130">
        <v>130</v>
      </c>
      <c r="L1130">
        <v>254</v>
      </c>
      <c r="M1130">
        <v>245</v>
      </c>
      <c r="N1130">
        <v>53.7</v>
      </c>
      <c r="O1130">
        <v>32</v>
      </c>
      <c r="P1130">
        <v>60</v>
      </c>
      <c r="Q1130">
        <v>44.8</v>
      </c>
      <c r="R1130">
        <v>65.5</v>
      </c>
    </row>
    <row r="1131" spans="1:18" x14ac:dyDescent="0.25">
      <c r="A1131" t="s">
        <v>1218</v>
      </c>
      <c r="B1131" t="s">
        <v>53</v>
      </c>
      <c r="C1131" t="s">
        <v>1204</v>
      </c>
      <c r="D1131" t="s">
        <v>54</v>
      </c>
      <c r="E1131" t="s">
        <v>78</v>
      </c>
      <c r="F1131" t="s">
        <v>252</v>
      </c>
      <c r="G1131" s="18">
        <v>5.9349648928189396</v>
      </c>
      <c r="H1131" s="18">
        <v>-75.544226928060198</v>
      </c>
      <c r="I1131" t="s">
        <v>1205</v>
      </c>
      <c r="J1131">
        <v>11</v>
      </c>
      <c r="K1131">
        <v>102</v>
      </c>
      <c r="L1131">
        <v>254</v>
      </c>
      <c r="M1131">
        <v>199.3</v>
      </c>
      <c r="N1131">
        <v>31.7</v>
      </c>
      <c r="O1131">
        <v>38</v>
      </c>
      <c r="P1131">
        <v>50</v>
      </c>
      <c r="Q1131">
        <v>39.700000000000003</v>
      </c>
      <c r="R1131">
        <v>40</v>
      </c>
    </row>
    <row r="1132" spans="1:18" x14ac:dyDescent="0.25">
      <c r="A1132" t="s">
        <v>1219</v>
      </c>
      <c r="B1132" t="s">
        <v>53</v>
      </c>
      <c r="C1132" t="s">
        <v>1204</v>
      </c>
      <c r="D1132" t="s">
        <v>54</v>
      </c>
      <c r="E1132" t="s">
        <v>78</v>
      </c>
      <c r="F1132" t="s">
        <v>252</v>
      </c>
      <c r="G1132" s="18">
        <v>5.9349648928189396</v>
      </c>
      <c r="H1132" s="18">
        <v>-75.544226928060198</v>
      </c>
      <c r="I1132" t="s">
        <v>1205</v>
      </c>
      <c r="J1132">
        <v>11</v>
      </c>
      <c r="K1132">
        <v>116</v>
      </c>
      <c r="L1132">
        <v>254</v>
      </c>
      <c r="M1132">
        <v>200.1</v>
      </c>
      <c r="N1132">
        <v>41.5</v>
      </c>
      <c r="O1132">
        <v>20</v>
      </c>
      <c r="P1132">
        <v>48</v>
      </c>
      <c r="Q1132">
        <v>37.9</v>
      </c>
      <c r="R1132">
        <v>78.2</v>
      </c>
    </row>
    <row r="1133" spans="1:18" x14ac:dyDescent="0.25">
      <c r="A1133" t="s">
        <v>1220</v>
      </c>
      <c r="B1133" t="s">
        <v>53</v>
      </c>
      <c r="C1133" t="s">
        <v>1204</v>
      </c>
      <c r="D1133" t="s">
        <v>54</v>
      </c>
      <c r="E1133" t="s">
        <v>78</v>
      </c>
      <c r="F1133" t="s">
        <v>252</v>
      </c>
      <c r="G1133" s="18">
        <v>5.9349648928189396</v>
      </c>
      <c r="H1133" s="18">
        <v>-75.544226928060198</v>
      </c>
      <c r="I1133" t="s">
        <v>1205</v>
      </c>
      <c r="J1133">
        <v>11</v>
      </c>
      <c r="K1133">
        <v>132</v>
      </c>
      <c r="L1133">
        <v>254</v>
      </c>
      <c r="M1133">
        <v>237.2</v>
      </c>
      <c r="N1133">
        <v>34.1</v>
      </c>
      <c r="O1133">
        <v>38</v>
      </c>
      <c r="P1133">
        <v>62</v>
      </c>
      <c r="Q1133">
        <v>46.6</v>
      </c>
      <c r="R1133">
        <v>74.5</v>
      </c>
    </row>
    <row r="1134" spans="1:18" x14ac:dyDescent="0.25">
      <c r="A1134" t="s">
        <v>1221</v>
      </c>
      <c r="B1134" t="s">
        <v>53</v>
      </c>
      <c r="C1134" t="s">
        <v>1204</v>
      </c>
      <c r="D1134" t="s">
        <v>54</v>
      </c>
      <c r="E1134" t="s">
        <v>78</v>
      </c>
      <c r="F1134" t="s">
        <v>252</v>
      </c>
      <c r="G1134" s="18">
        <v>5.9349648928189396</v>
      </c>
      <c r="H1134" s="18">
        <v>-75.544226928060198</v>
      </c>
      <c r="I1134" t="s">
        <v>1205</v>
      </c>
      <c r="J1134">
        <v>11</v>
      </c>
      <c r="K1134">
        <v>123</v>
      </c>
      <c r="L1134">
        <v>254</v>
      </c>
      <c r="M1134">
        <v>232.2</v>
      </c>
      <c r="N1134">
        <v>56.1</v>
      </c>
      <c r="O1134">
        <v>26</v>
      </c>
      <c r="P1134">
        <v>68</v>
      </c>
      <c r="Q1134">
        <v>29.3</v>
      </c>
      <c r="R1134">
        <v>65.5</v>
      </c>
    </row>
    <row r="1135" spans="1:18" x14ac:dyDescent="0.25">
      <c r="A1135" t="s">
        <v>1222</v>
      </c>
      <c r="B1135" t="s">
        <v>53</v>
      </c>
      <c r="C1135" t="s">
        <v>1204</v>
      </c>
      <c r="D1135" t="s">
        <v>54</v>
      </c>
      <c r="E1135" t="s">
        <v>78</v>
      </c>
      <c r="F1135" t="s">
        <v>252</v>
      </c>
      <c r="G1135" s="18">
        <v>5.9349648928189396</v>
      </c>
      <c r="H1135" s="18">
        <v>-75.544226928060198</v>
      </c>
      <c r="I1135" t="s">
        <v>1205</v>
      </c>
      <c r="J1135">
        <v>11</v>
      </c>
      <c r="K1135">
        <v>101</v>
      </c>
      <c r="L1135">
        <v>254</v>
      </c>
      <c r="M1135">
        <v>209.5</v>
      </c>
      <c r="N1135">
        <v>43.9</v>
      </c>
      <c r="O1135">
        <v>32</v>
      </c>
      <c r="P1135">
        <v>58</v>
      </c>
      <c r="Q1135">
        <v>37.9</v>
      </c>
      <c r="R1135">
        <v>29.1</v>
      </c>
    </row>
    <row r="1136" spans="1:18" x14ac:dyDescent="0.25">
      <c r="A1136" t="s">
        <v>1223</v>
      </c>
      <c r="B1136" t="s">
        <v>53</v>
      </c>
      <c r="C1136" t="s">
        <v>1204</v>
      </c>
      <c r="D1136" t="s">
        <v>54</v>
      </c>
      <c r="E1136" t="s">
        <v>78</v>
      </c>
      <c r="F1136" t="s">
        <v>252</v>
      </c>
      <c r="G1136" s="18">
        <v>5.9349648928189396</v>
      </c>
      <c r="H1136" s="18">
        <v>-75.544226928060198</v>
      </c>
      <c r="I1136" t="s">
        <v>1205</v>
      </c>
      <c r="J1136">
        <v>11</v>
      </c>
      <c r="K1136">
        <v>105</v>
      </c>
      <c r="L1136">
        <v>254</v>
      </c>
      <c r="M1136">
        <v>222.4</v>
      </c>
      <c r="N1136">
        <v>46.3</v>
      </c>
      <c r="O1136">
        <v>36</v>
      </c>
      <c r="P1136">
        <v>56</v>
      </c>
      <c r="Q1136">
        <v>46.6</v>
      </c>
      <c r="R1136">
        <v>23.6</v>
      </c>
    </row>
    <row r="1137" spans="1:18" x14ac:dyDescent="0.25">
      <c r="A1137" t="s">
        <v>1224</v>
      </c>
      <c r="B1137" t="s">
        <v>53</v>
      </c>
      <c r="C1137" t="s">
        <v>1204</v>
      </c>
      <c r="D1137" t="s">
        <v>54</v>
      </c>
      <c r="E1137" t="s">
        <v>78</v>
      </c>
      <c r="F1137" t="s">
        <v>252</v>
      </c>
      <c r="G1137" s="18">
        <v>5.9349648928189396</v>
      </c>
      <c r="H1137" s="18">
        <v>-75.544226928060198</v>
      </c>
      <c r="I1137" t="s">
        <v>1205</v>
      </c>
      <c r="J1137">
        <v>11</v>
      </c>
      <c r="K1137">
        <v>146</v>
      </c>
      <c r="L1137">
        <v>254</v>
      </c>
      <c r="M1137">
        <v>281.8</v>
      </c>
      <c r="N1137">
        <v>56.1</v>
      </c>
      <c r="O1137">
        <v>44</v>
      </c>
      <c r="P1137">
        <v>74</v>
      </c>
      <c r="Q1137">
        <v>48.3</v>
      </c>
      <c r="R1137">
        <v>65.5</v>
      </c>
    </row>
    <row r="1138" spans="1:18" x14ac:dyDescent="0.25">
      <c r="A1138" t="s">
        <v>1225</v>
      </c>
      <c r="B1138" t="s">
        <v>53</v>
      </c>
      <c r="C1138" t="s">
        <v>1204</v>
      </c>
      <c r="D1138" t="s">
        <v>54</v>
      </c>
      <c r="E1138" t="s">
        <v>78</v>
      </c>
      <c r="F1138" t="s">
        <v>252</v>
      </c>
      <c r="G1138" s="18">
        <v>5.9349648928189396</v>
      </c>
      <c r="H1138" s="18">
        <v>-75.544226928060198</v>
      </c>
      <c r="I1138" t="s">
        <v>1205</v>
      </c>
      <c r="J1138">
        <v>11</v>
      </c>
      <c r="K1138">
        <v>96</v>
      </c>
      <c r="L1138">
        <v>254</v>
      </c>
      <c r="M1138">
        <v>184</v>
      </c>
      <c r="N1138">
        <v>51.2</v>
      </c>
      <c r="O1138">
        <v>20</v>
      </c>
      <c r="P1138">
        <v>54</v>
      </c>
      <c r="Q1138">
        <v>17.2</v>
      </c>
      <c r="R1138">
        <v>50.9</v>
      </c>
    </row>
    <row r="1139" spans="1:18" x14ac:dyDescent="0.25">
      <c r="A1139" t="s">
        <v>1226</v>
      </c>
      <c r="B1139" t="s">
        <v>53</v>
      </c>
      <c r="C1139" t="s">
        <v>1204</v>
      </c>
      <c r="D1139" t="s">
        <v>54</v>
      </c>
      <c r="E1139" t="s">
        <v>78</v>
      </c>
      <c r="F1139" t="s">
        <v>252</v>
      </c>
      <c r="G1139" s="18">
        <v>5.9349648928189396</v>
      </c>
      <c r="H1139" s="18">
        <v>-75.544226928060198</v>
      </c>
      <c r="I1139" t="s">
        <v>1205</v>
      </c>
      <c r="J1139">
        <v>11</v>
      </c>
      <c r="K1139">
        <v>110</v>
      </c>
      <c r="L1139">
        <v>254</v>
      </c>
      <c r="M1139">
        <v>228.2</v>
      </c>
      <c r="N1139">
        <v>46.3</v>
      </c>
      <c r="O1139">
        <v>44</v>
      </c>
      <c r="P1139">
        <v>62</v>
      </c>
      <c r="Q1139">
        <v>34.5</v>
      </c>
      <c r="R1139">
        <v>32.700000000000003</v>
      </c>
    </row>
    <row r="1140" spans="1:18" x14ac:dyDescent="0.25">
      <c r="A1140" t="s">
        <v>1227</v>
      </c>
      <c r="B1140" t="s">
        <v>54</v>
      </c>
      <c r="C1140" t="s">
        <v>1228</v>
      </c>
      <c r="D1140" t="s">
        <v>54</v>
      </c>
      <c r="E1140" t="s">
        <v>78</v>
      </c>
      <c r="F1140" t="s">
        <v>252</v>
      </c>
      <c r="G1140">
        <v>6.1870000000000003</v>
      </c>
      <c r="H1140">
        <v>-75.38</v>
      </c>
      <c r="I1140" t="s">
        <v>110</v>
      </c>
      <c r="M1140">
        <v>279.7</v>
      </c>
      <c r="N1140">
        <v>58.5</v>
      </c>
      <c r="O1140">
        <v>32</v>
      </c>
      <c r="P1140">
        <v>78</v>
      </c>
      <c r="Q1140">
        <v>56.9</v>
      </c>
      <c r="R1140">
        <v>50.9</v>
      </c>
    </row>
    <row r="1141" spans="1:18" x14ac:dyDescent="0.25">
      <c r="A1141" t="s">
        <v>1229</v>
      </c>
      <c r="B1141" t="s">
        <v>54</v>
      </c>
      <c r="C1141" t="s">
        <v>1228</v>
      </c>
      <c r="D1141" t="s">
        <v>54</v>
      </c>
      <c r="E1141" t="s">
        <v>78</v>
      </c>
      <c r="F1141" t="s">
        <v>252</v>
      </c>
      <c r="G1141">
        <v>6.1870000000000003</v>
      </c>
      <c r="H1141">
        <v>-75.38</v>
      </c>
      <c r="I1141" t="s">
        <v>110</v>
      </c>
      <c r="M1141">
        <v>313.39999999999998</v>
      </c>
      <c r="N1141">
        <v>61</v>
      </c>
      <c r="O1141">
        <v>52</v>
      </c>
      <c r="P1141">
        <v>80</v>
      </c>
      <c r="Q1141">
        <v>58.6</v>
      </c>
      <c r="R1141">
        <v>60</v>
      </c>
    </row>
    <row r="1142" spans="1:18" x14ac:dyDescent="0.25">
      <c r="A1142" t="s">
        <v>1230</v>
      </c>
      <c r="B1142" t="s">
        <v>54</v>
      </c>
      <c r="C1142" t="s">
        <v>1228</v>
      </c>
      <c r="D1142" t="s">
        <v>54</v>
      </c>
      <c r="E1142" t="s">
        <v>78</v>
      </c>
      <c r="F1142" t="s">
        <v>252</v>
      </c>
      <c r="G1142">
        <v>6.1870000000000003</v>
      </c>
      <c r="H1142">
        <v>-75.38</v>
      </c>
      <c r="I1142" t="s">
        <v>110</v>
      </c>
      <c r="M1142">
        <v>163.4</v>
      </c>
      <c r="N1142">
        <v>31.7</v>
      </c>
      <c r="O1142">
        <v>30</v>
      </c>
      <c r="P1142">
        <v>28</v>
      </c>
      <c r="Q1142">
        <v>37.9</v>
      </c>
      <c r="R1142">
        <v>41.8</v>
      </c>
    </row>
    <row r="1143" spans="1:18" x14ac:dyDescent="0.25">
      <c r="A1143" t="s">
        <v>1231</v>
      </c>
      <c r="B1143" t="s">
        <v>54</v>
      </c>
      <c r="C1143" t="s">
        <v>1228</v>
      </c>
      <c r="D1143" t="s">
        <v>54</v>
      </c>
      <c r="E1143" t="s">
        <v>78</v>
      </c>
      <c r="F1143" t="s">
        <v>252</v>
      </c>
      <c r="G1143">
        <v>6.1870000000000003</v>
      </c>
      <c r="H1143">
        <v>-75.38</v>
      </c>
      <c r="I1143" t="s">
        <v>110</v>
      </c>
      <c r="M1143">
        <v>268.5</v>
      </c>
      <c r="N1143">
        <v>82.9</v>
      </c>
      <c r="O1143">
        <v>34</v>
      </c>
      <c r="P1143">
        <v>70</v>
      </c>
      <c r="Q1143">
        <v>27.6</v>
      </c>
      <c r="R1143">
        <v>54.5</v>
      </c>
    </row>
    <row r="1144" spans="1:18" x14ac:dyDescent="0.25">
      <c r="A1144" t="s">
        <v>1232</v>
      </c>
      <c r="B1144" t="s">
        <v>54</v>
      </c>
      <c r="C1144" t="s">
        <v>1228</v>
      </c>
      <c r="D1144" t="s">
        <v>54</v>
      </c>
      <c r="E1144" t="s">
        <v>78</v>
      </c>
      <c r="F1144" t="s">
        <v>252</v>
      </c>
      <c r="G1144">
        <v>6.1870000000000003</v>
      </c>
      <c r="H1144">
        <v>-75.38</v>
      </c>
      <c r="I1144" t="s">
        <v>110</v>
      </c>
      <c r="M1144">
        <v>201.2</v>
      </c>
      <c r="N1144">
        <v>61</v>
      </c>
      <c r="O1144">
        <v>32</v>
      </c>
      <c r="P1144">
        <v>30</v>
      </c>
      <c r="Q1144">
        <v>36.200000000000003</v>
      </c>
      <c r="R1144">
        <v>45.5</v>
      </c>
    </row>
    <row r="1145" spans="1:18" x14ac:dyDescent="0.25">
      <c r="A1145" t="s">
        <v>1233</v>
      </c>
      <c r="B1145" t="s">
        <v>54</v>
      </c>
      <c r="C1145" t="s">
        <v>1228</v>
      </c>
      <c r="D1145" t="s">
        <v>54</v>
      </c>
      <c r="E1145" t="s">
        <v>78</v>
      </c>
      <c r="F1145" t="s">
        <v>252</v>
      </c>
      <c r="G1145">
        <v>6.1870000000000003</v>
      </c>
      <c r="H1145">
        <v>-75.38</v>
      </c>
      <c r="I1145" t="s">
        <v>110</v>
      </c>
      <c r="M1145">
        <v>228.8</v>
      </c>
      <c r="N1145">
        <v>58.5</v>
      </c>
      <c r="O1145">
        <v>24</v>
      </c>
      <c r="P1145">
        <v>58</v>
      </c>
      <c r="Q1145">
        <v>41.4</v>
      </c>
      <c r="R1145">
        <v>49.1</v>
      </c>
    </row>
    <row r="1146" spans="1:18" x14ac:dyDescent="0.25">
      <c r="A1146" t="s">
        <v>1234</v>
      </c>
      <c r="B1146" t="s">
        <v>54</v>
      </c>
      <c r="C1146" t="s">
        <v>1228</v>
      </c>
      <c r="D1146" t="s">
        <v>54</v>
      </c>
      <c r="E1146" t="s">
        <v>78</v>
      </c>
      <c r="F1146" t="s">
        <v>252</v>
      </c>
      <c r="G1146">
        <v>6.1870000000000003</v>
      </c>
      <c r="H1146">
        <v>-75.38</v>
      </c>
      <c r="I1146" t="s">
        <v>110</v>
      </c>
      <c r="M1146">
        <v>255.1</v>
      </c>
      <c r="N1146">
        <v>63.4</v>
      </c>
      <c r="O1146">
        <v>30</v>
      </c>
      <c r="P1146">
        <v>70</v>
      </c>
      <c r="Q1146">
        <v>43.1</v>
      </c>
      <c r="R1146">
        <v>43.6</v>
      </c>
    </row>
    <row r="1147" spans="1:18" x14ac:dyDescent="0.25">
      <c r="A1147" t="s">
        <v>1235</v>
      </c>
      <c r="B1147" t="s">
        <v>54</v>
      </c>
      <c r="C1147" t="s">
        <v>1228</v>
      </c>
      <c r="D1147" t="s">
        <v>54</v>
      </c>
      <c r="E1147" t="s">
        <v>78</v>
      </c>
      <c r="F1147" t="s">
        <v>252</v>
      </c>
      <c r="G1147">
        <v>6.1870000000000003</v>
      </c>
      <c r="H1147">
        <v>-75.38</v>
      </c>
      <c r="I1147" t="s">
        <v>110</v>
      </c>
      <c r="M1147">
        <v>236.6</v>
      </c>
      <c r="N1147">
        <v>73.2</v>
      </c>
      <c r="O1147">
        <v>22</v>
      </c>
      <c r="P1147">
        <v>60</v>
      </c>
      <c r="Q1147">
        <v>29.3</v>
      </c>
      <c r="R1147">
        <v>61.8</v>
      </c>
    </row>
    <row r="1148" spans="1:18" x14ac:dyDescent="0.25">
      <c r="A1148" t="s">
        <v>1236</v>
      </c>
      <c r="B1148" t="s">
        <v>54</v>
      </c>
      <c r="C1148" t="s">
        <v>1228</v>
      </c>
      <c r="D1148" t="s">
        <v>54</v>
      </c>
      <c r="E1148" t="s">
        <v>78</v>
      </c>
      <c r="F1148" t="s">
        <v>252</v>
      </c>
      <c r="G1148">
        <v>6.1870000000000003</v>
      </c>
      <c r="H1148">
        <v>-75.38</v>
      </c>
      <c r="I1148" t="s">
        <v>110</v>
      </c>
      <c r="M1148">
        <v>205.4</v>
      </c>
      <c r="N1148">
        <v>51.2</v>
      </c>
      <c r="O1148">
        <v>32</v>
      </c>
      <c r="P1148">
        <v>40</v>
      </c>
      <c r="Q1148">
        <v>39.700000000000003</v>
      </c>
      <c r="R1148">
        <v>45.5</v>
      </c>
    </row>
    <row r="1149" spans="1:18" x14ac:dyDescent="0.25">
      <c r="A1149" t="s">
        <v>1237</v>
      </c>
      <c r="B1149" t="s">
        <v>54</v>
      </c>
      <c r="C1149" t="s">
        <v>1228</v>
      </c>
      <c r="D1149" t="s">
        <v>54</v>
      </c>
      <c r="E1149" t="s">
        <v>78</v>
      </c>
      <c r="F1149" t="s">
        <v>252</v>
      </c>
      <c r="G1149">
        <v>6.1870000000000003</v>
      </c>
      <c r="H1149">
        <v>-75.38</v>
      </c>
      <c r="I1149" t="s">
        <v>110</v>
      </c>
      <c r="M1149">
        <v>228.4</v>
      </c>
      <c r="N1149">
        <v>65.900000000000006</v>
      </c>
      <c r="O1149">
        <v>40</v>
      </c>
      <c r="P1149">
        <v>50</v>
      </c>
      <c r="Q1149">
        <v>27.6</v>
      </c>
      <c r="R1149">
        <v>43.6</v>
      </c>
    </row>
    <row r="1150" spans="1:18" x14ac:dyDescent="0.25">
      <c r="A1150" t="s">
        <v>1238</v>
      </c>
      <c r="B1150" t="s">
        <v>54</v>
      </c>
      <c r="C1150" t="s">
        <v>1228</v>
      </c>
      <c r="D1150" t="s">
        <v>54</v>
      </c>
      <c r="E1150" t="s">
        <v>78</v>
      </c>
      <c r="F1150" t="s">
        <v>252</v>
      </c>
      <c r="G1150">
        <v>6.1870000000000003</v>
      </c>
      <c r="H1150">
        <v>-75.38</v>
      </c>
      <c r="I1150" t="s">
        <v>80</v>
      </c>
      <c r="M1150">
        <v>177.9</v>
      </c>
      <c r="N1150">
        <v>34.1</v>
      </c>
      <c r="O1150">
        <v>36</v>
      </c>
      <c r="P1150">
        <v>34</v>
      </c>
      <c r="Q1150">
        <v>37.9</v>
      </c>
      <c r="R1150">
        <v>36.4</v>
      </c>
    </row>
    <row r="1151" spans="1:18" x14ac:dyDescent="0.25">
      <c r="A1151" t="s">
        <v>1239</v>
      </c>
      <c r="B1151" t="s">
        <v>54</v>
      </c>
      <c r="C1151" t="s">
        <v>1228</v>
      </c>
      <c r="D1151" t="s">
        <v>54</v>
      </c>
      <c r="E1151" t="s">
        <v>78</v>
      </c>
      <c r="F1151" t="s">
        <v>252</v>
      </c>
      <c r="G1151">
        <v>6.1870000000000003</v>
      </c>
      <c r="H1151">
        <v>-75.38</v>
      </c>
      <c r="I1151" t="s">
        <v>80</v>
      </c>
      <c r="M1151">
        <v>294.8</v>
      </c>
      <c r="N1151">
        <v>56.1</v>
      </c>
      <c r="O1151">
        <v>54</v>
      </c>
      <c r="P1151">
        <v>60</v>
      </c>
      <c r="Q1151">
        <v>67.2</v>
      </c>
      <c r="R1151">
        <v>54.5</v>
      </c>
    </row>
    <row r="1152" spans="1:18" x14ac:dyDescent="0.25">
      <c r="A1152" t="s">
        <v>1240</v>
      </c>
      <c r="B1152" t="s">
        <v>54</v>
      </c>
      <c r="C1152" t="s">
        <v>1228</v>
      </c>
      <c r="D1152" t="s">
        <v>54</v>
      </c>
      <c r="E1152" t="s">
        <v>78</v>
      </c>
      <c r="F1152" t="s">
        <v>252</v>
      </c>
      <c r="G1152">
        <v>6.1870000000000003</v>
      </c>
      <c r="H1152">
        <v>-75.38</v>
      </c>
      <c r="I1152" t="s">
        <v>80</v>
      </c>
      <c r="M1152">
        <v>348.5</v>
      </c>
      <c r="N1152">
        <v>90.2</v>
      </c>
      <c r="O1152">
        <v>50</v>
      </c>
      <c r="P1152">
        <v>84</v>
      </c>
      <c r="Q1152">
        <v>62.1</v>
      </c>
      <c r="R1152">
        <v>47.3</v>
      </c>
    </row>
    <row r="1153" spans="1:18" x14ac:dyDescent="0.25">
      <c r="A1153" t="s">
        <v>1241</v>
      </c>
      <c r="B1153" t="s">
        <v>54</v>
      </c>
      <c r="C1153" t="s">
        <v>1228</v>
      </c>
      <c r="D1153" t="s">
        <v>54</v>
      </c>
      <c r="E1153" t="s">
        <v>78</v>
      </c>
      <c r="F1153" t="s">
        <v>252</v>
      </c>
      <c r="G1153">
        <v>6.1870000000000003</v>
      </c>
      <c r="H1153">
        <v>-75.38</v>
      </c>
      <c r="I1153" t="s">
        <v>80</v>
      </c>
      <c r="M1153">
        <v>212.2</v>
      </c>
      <c r="N1153">
        <v>34.1</v>
      </c>
      <c r="O1153">
        <v>30</v>
      </c>
      <c r="P1153">
        <v>56</v>
      </c>
      <c r="Q1153">
        <v>53.4</v>
      </c>
      <c r="R1153">
        <v>30.9</v>
      </c>
    </row>
    <row r="1154" spans="1:18" x14ac:dyDescent="0.25">
      <c r="A1154" t="s">
        <v>1242</v>
      </c>
      <c r="B1154" t="s">
        <v>54</v>
      </c>
      <c r="C1154" t="s">
        <v>1228</v>
      </c>
      <c r="D1154" t="s">
        <v>54</v>
      </c>
      <c r="E1154" t="s">
        <v>78</v>
      </c>
      <c r="F1154" t="s">
        <v>252</v>
      </c>
      <c r="G1154">
        <v>6.1870000000000003</v>
      </c>
      <c r="H1154">
        <v>-75.38</v>
      </c>
      <c r="I1154" t="s">
        <v>80</v>
      </c>
      <c r="M1154">
        <v>146.80000000000001</v>
      </c>
      <c r="N1154">
        <v>29.3</v>
      </c>
      <c r="O1154">
        <v>26</v>
      </c>
      <c r="P1154">
        <v>34</v>
      </c>
      <c r="Q1154">
        <v>25.9</v>
      </c>
      <c r="R1154">
        <v>36.4</v>
      </c>
    </row>
    <row r="1155" spans="1:18" x14ac:dyDescent="0.25">
      <c r="A1155" t="s">
        <v>1243</v>
      </c>
      <c r="B1155" t="s">
        <v>54</v>
      </c>
      <c r="C1155" t="s">
        <v>1228</v>
      </c>
      <c r="D1155" t="s">
        <v>54</v>
      </c>
      <c r="E1155" t="s">
        <v>78</v>
      </c>
      <c r="F1155" t="s">
        <v>252</v>
      </c>
      <c r="G1155">
        <v>6.1870000000000003</v>
      </c>
      <c r="H1155">
        <v>-75.38</v>
      </c>
      <c r="I1155" t="s">
        <v>80</v>
      </c>
      <c r="M1155">
        <v>173.8</v>
      </c>
      <c r="N1155">
        <v>46.3</v>
      </c>
      <c r="O1155">
        <v>30</v>
      </c>
      <c r="P1155">
        <v>26</v>
      </c>
      <c r="Q1155">
        <v>36.200000000000003</v>
      </c>
      <c r="R1155">
        <v>36.4</v>
      </c>
    </row>
    <row r="1156" spans="1:18" x14ac:dyDescent="0.25">
      <c r="A1156" t="s">
        <v>1244</v>
      </c>
      <c r="B1156" t="s">
        <v>54</v>
      </c>
      <c r="C1156" t="s">
        <v>1228</v>
      </c>
      <c r="D1156" t="s">
        <v>54</v>
      </c>
      <c r="E1156" t="s">
        <v>78</v>
      </c>
      <c r="F1156" t="s">
        <v>252</v>
      </c>
      <c r="G1156">
        <v>6.1870000000000003</v>
      </c>
      <c r="H1156">
        <v>-75.38</v>
      </c>
      <c r="I1156" t="s">
        <v>80</v>
      </c>
      <c r="M1156">
        <v>214.4</v>
      </c>
      <c r="N1156">
        <v>48.8</v>
      </c>
      <c r="O1156">
        <v>38</v>
      </c>
      <c r="P1156">
        <v>60</v>
      </c>
      <c r="Q1156">
        <v>29.3</v>
      </c>
      <c r="R1156">
        <v>29.1</v>
      </c>
    </row>
    <row r="1157" spans="1:18" x14ac:dyDescent="0.25">
      <c r="A1157" t="s">
        <v>1245</v>
      </c>
      <c r="B1157" t="s">
        <v>54</v>
      </c>
      <c r="C1157" t="s">
        <v>1228</v>
      </c>
      <c r="D1157" t="s">
        <v>54</v>
      </c>
      <c r="E1157" t="s">
        <v>78</v>
      </c>
      <c r="F1157" t="s">
        <v>252</v>
      </c>
      <c r="G1157">
        <v>6.1870000000000003</v>
      </c>
      <c r="H1157">
        <v>-75.38</v>
      </c>
      <c r="I1157" t="s">
        <v>110</v>
      </c>
      <c r="M1157">
        <v>262.2</v>
      </c>
      <c r="N1157">
        <v>70.7</v>
      </c>
      <c r="O1157">
        <v>22</v>
      </c>
      <c r="P1157">
        <v>64</v>
      </c>
      <c r="Q1157">
        <v>51.7</v>
      </c>
      <c r="R1157">
        <v>56.4</v>
      </c>
    </row>
    <row r="1158" spans="1:18" x14ac:dyDescent="0.25">
      <c r="A1158" t="s">
        <v>1246</v>
      </c>
      <c r="B1158" t="s">
        <v>54</v>
      </c>
      <c r="C1158" t="s">
        <v>1228</v>
      </c>
      <c r="D1158" t="s">
        <v>54</v>
      </c>
      <c r="E1158" t="s">
        <v>78</v>
      </c>
      <c r="F1158" t="s">
        <v>252</v>
      </c>
      <c r="G1158">
        <v>6.1870000000000003</v>
      </c>
      <c r="H1158">
        <v>-75.38</v>
      </c>
      <c r="I1158" t="s">
        <v>80</v>
      </c>
      <c r="M1158">
        <v>312.60000000000002</v>
      </c>
      <c r="N1158">
        <v>70.7</v>
      </c>
      <c r="O1158">
        <v>44</v>
      </c>
      <c r="P1158">
        <v>80</v>
      </c>
      <c r="Q1158">
        <v>48.3</v>
      </c>
      <c r="R1158">
        <v>83.6</v>
      </c>
    </row>
    <row r="1159" spans="1:18" x14ac:dyDescent="0.25">
      <c r="A1159" t="s">
        <v>1247</v>
      </c>
      <c r="B1159" t="s">
        <v>54</v>
      </c>
      <c r="C1159" t="s">
        <v>1228</v>
      </c>
      <c r="D1159" t="s">
        <v>54</v>
      </c>
      <c r="E1159" t="s">
        <v>78</v>
      </c>
      <c r="F1159" t="s">
        <v>252</v>
      </c>
      <c r="G1159">
        <v>6.1870000000000003</v>
      </c>
      <c r="H1159">
        <v>-75.38</v>
      </c>
      <c r="I1159" t="s">
        <v>80</v>
      </c>
      <c r="M1159">
        <v>256.10000000000002</v>
      </c>
      <c r="N1159">
        <v>56.1</v>
      </c>
      <c r="O1159">
        <v>42</v>
      </c>
      <c r="P1159">
        <v>58</v>
      </c>
      <c r="Q1159">
        <v>48.3</v>
      </c>
      <c r="R1159">
        <v>52.7</v>
      </c>
    </row>
    <row r="1160" spans="1:18" x14ac:dyDescent="0.25">
      <c r="A1160" t="s">
        <v>1248</v>
      </c>
      <c r="B1160" t="s">
        <v>54</v>
      </c>
      <c r="C1160" t="s">
        <v>1228</v>
      </c>
      <c r="D1160" t="s">
        <v>54</v>
      </c>
      <c r="E1160" t="s">
        <v>78</v>
      </c>
      <c r="F1160" t="s">
        <v>252</v>
      </c>
      <c r="G1160">
        <v>6.1870000000000003</v>
      </c>
      <c r="H1160">
        <v>-75.38</v>
      </c>
      <c r="I1160" t="s">
        <v>80</v>
      </c>
      <c r="M1160">
        <v>217.9</v>
      </c>
      <c r="N1160">
        <v>65.900000000000006</v>
      </c>
      <c r="O1160">
        <v>24</v>
      </c>
      <c r="P1160">
        <v>50</v>
      </c>
      <c r="Q1160">
        <v>34.5</v>
      </c>
      <c r="R1160">
        <v>43.6</v>
      </c>
    </row>
    <row r="1161" spans="1:18" x14ac:dyDescent="0.25">
      <c r="A1161" t="s">
        <v>1249</v>
      </c>
      <c r="B1161" t="s">
        <v>54</v>
      </c>
      <c r="C1161" t="s">
        <v>1228</v>
      </c>
      <c r="D1161" t="s">
        <v>54</v>
      </c>
      <c r="E1161" t="s">
        <v>78</v>
      </c>
      <c r="F1161" t="s">
        <v>252</v>
      </c>
      <c r="G1161">
        <v>6.1870000000000003</v>
      </c>
      <c r="H1161">
        <v>-75.38</v>
      </c>
      <c r="I1161" t="s">
        <v>80</v>
      </c>
      <c r="M1161">
        <v>190.4</v>
      </c>
      <c r="N1161">
        <v>58.5</v>
      </c>
      <c r="O1161">
        <v>36</v>
      </c>
      <c r="P1161">
        <v>32</v>
      </c>
      <c r="Q1161">
        <v>27.6</v>
      </c>
      <c r="R1161">
        <v>32.700000000000003</v>
      </c>
    </row>
    <row r="1162" spans="1:18" x14ac:dyDescent="0.25">
      <c r="A1162" t="s">
        <v>1250</v>
      </c>
      <c r="B1162" t="s">
        <v>54</v>
      </c>
      <c r="C1162" t="s">
        <v>1228</v>
      </c>
      <c r="D1162" t="s">
        <v>54</v>
      </c>
      <c r="E1162" t="s">
        <v>78</v>
      </c>
      <c r="F1162" t="s">
        <v>252</v>
      </c>
      <c r="G1162">
        <v>6.1870000000000003</v>
      </c>
      <c r="H1162">
        <v>-75.38</v>
      </c>
      <c r="I1162" t="s">
        <v>80</v>
      </c>
      <c r="M1162">
        <v>145.6</v>
      </c>
      <c r="N1162">
        <v>31.7</v>
      </c>
      <c r="O1162">
        <v>32</v>
      </c>
      <c r="P1162">
        <v>22</v>
      </c>
      <c r="Q1162">
        <v>24.1</v>
      </c>
      <c r="R1162">
        <v>49.1</v>
      </c>
    </row>
    <row r="1163" spans="1:18" x14ac:dyDescent="0.25">
      <c r="A1163" t="s">
        <v>1251</v>
      </c>
      <c r="B1163" t="s">
        <v>54</v>
      </c>
      <c r="C1163" t="s">
        <v>1228</v>
      </c>
      <c r="D1163" t="s">
        <v>54</v>
      </c>
      <c r="E1163" t="s">
        <v>78</v>
      </c>
      <c r="F1163" t="s">
        <v>252</v>
      </c>
      <c r="G1163">
        <v>6.1870000000000003</v>
      </c>
      <c r="H1163">
        <v>-75.38</v>
      </c>
      <c r="I1163" t="s">
        <v>80</v>
      </c>
      <c r="M1163">
        <v>186.3</v>
      </c>
      <c r="N1163">
        <v>48.8</v>
      </c>
      <c r="O1163">
        <v>32</v>
      </c>
      <c r="P1163">
        <v>30</v>
      </c>
      <c r="Q1163">
        <v>25.9</v>
      </c>
      <c r="R1163">
        <v>74.5</v>
      </c>
    </row>
    <row r="1164" spans="1:18" x14ac:dyDescent="0.25">
      <c r="A1164" t="s">
        <v>1252</v>
      </c>
      <c r="B1164" t="s">
        <v>54</v>
      </c>
      <c r="C1164" t="s">
        <v>1228</v>
      </c>
      <c r="D1164" t="s">
        <v>54</v>
      </c>
      <c r="E1164" t="s">
        <v>78</v>
      </c>
      <c r="F1164" t="s">
        <v>252</v>
      </c>
      <c r="G1164">
        <v>6.1870000000000003</v>
      </c>
      <c r="H1164">
        <v>-75.38</v>
      </c>
      <c r="I1164" t="s">
        <v>80</v>
      </c>
      <c r="M1164">
        <v>293.39999999999998</v>
      </c>
      <c r="N1164">
        <v>58.5</v>
      </c>
      <c r="O1164">
        <v>44</v>
      </c>
      <c r="P1164">
        <v>74</v>
      </c>
      <c r="Q1164">
        <v>51.7</v>
      </c>
      <c r="R1164">
        <v>78.2</v>
      </c>
    </row>
    <row r="1165" spans="1:18" x14ac:dyDescent="0.25">
      <c r="A1165" t="s">
        <v>1253</v>
      </c>
      <c r="B1165" t="s">
        <v>54</v>
      </c>
      <c r="C1165" t="s">
        <v>1228</v>
      </c>
      <c r="D1165" t="s">
        <v>54</v>
      </c>
      <c r="E1165" t="s">
        <v>78</v>
      </c>
      <c r="F1165" t="s">
        <v>252</v>
      </c>
      <c r="G1165">
        <v>6.1870000000000003</v>
      </c>
      <c r="H1165">
        <v>-75.38</v>
      </c>
      <c r="I1165" t="s">
        <v>80</v>
      </c>
      <c r="M1165">
        <v>226.3</v>
      </c>
      <c r="N1165">
        <v>48.8</v>
      </c>
      <c r="O1165">
        <v>36</v>
      </c>
      <c r="P1165">
        <v>52</v>
      </c>
      <c r="Q1165">
        <v>44.8</v>
      </c>
      <c r="R1165">
        <v>43.6</v>
      </c>
    </row>
    <row r="1166" spans="1:18" x14ac:dyDescent="0.25">
      <c r="A1166" t="s">
        <v>1254</v>
      </c>
      <c r="B1166" t="s">
        <v>54</v>
      </c>
      <c r="C1166" t="s">
        <v>1228</v>
      </c>
      <c r="D1166" t="s">
        <v>54</v>
      </c>
      <c r="E1166" t="s">
        <v>78</v>
      </c>
      <c r="F1166" t="s">
        <v>252</v>
      </c>
      <c r="G1166">
        <v>6.1870000000000003</v>
      </c>
      <c r="H1166">
        <v>-75.38</v>
      </c>
      <c r="I1166" t="s">
        <v>110</v>
      </c>
      <c r="M1166">
        <v>206.7</v>
      </c>
      <c r="N1166">
        <v>56.1</v>
      </c>
      <c r="O1166">
        <v>42</v>
      </c>
      <c r="P1166">
        <v>42</v>
      </c>
      <c r="Q1166">
        <v>29.3</v>
      </c>
      <c r="R1166">
        <v>29.1</v>
      </c>
    </row>
    <row r="1167" spans="1:18" x14ac:dyDescent="0.25">
      <c r="A1167" t="s">
        <v>1255</v>
      </c>
      <c r="B1167" t="s">
        <v>54</v>
      </c>
      <c r="C1167" t="s">
        <v>1228</v>
      </c>
      <c r="D1167" t="s">
        <v>54</v>
      </c>
      <c r="E1167" t="s">
        <v>78</v>
      </c>
      <c r="F1167" t="s">
        <v>252</v>
      </c>
      <c r="G1167">
        <v>6.1870000000000003</v>
      </c>
      <c r="H1167">
        <v>-75.38</v>
      </c>
      <c r="I1167" t="s">
        <v>80</v>
      </c>
      <c r="M1167">
        <v>234.3</v>
      </c>
      <c r="N1167">
        <v>51.2</v>
      </c>
      <c r="O1167">
        <v>32</v>
      </c>
      <c r="P1167">
        <v>56</v>
      </c>
      <c r="Q1167">
        <v>51.7</v>
      </c>
      <c r="R1167">
        <v>36.4</v>
      </c>
    </row>
    <row r="1168" spans="1:18" x14ac:dyDescent="0.25">
      <c r="A1168" t="s">
        <v>1256</v>
      </c>
      <c r="B1168" t="s">
        <v>54</v>
      </c>
      <c r="C1168" t="s">
        <v>1228</v>
      </c>
      <c r="D1168" t="s">
        <v>54</v>
      </c>
      <c r="E1168" t="s">
        <v>78</v>
      </c>
      <c r="F1168" t="s">
        <v>252</v>
      </c>
      <c r="G1168">
        <v>6.1870000000000003</v>
      </c>
      <c r="H1168">
        <v>-75.38</v>
      </c>
      <c r="I1168" t="s">
        <v>80</v>
      </c>
      <c r="M1168">
        <v>207.4</v>
      </c>
      <c r="N1168">
        <v>46.3</v>
      </c>
      <c r="O1168">
        <v>34</v>
      </c>
      <c r="P1168">
        <v>40</v>
      </c>
      <c r="Q1168">
        <v>44.8</v>
      </c>
      <c r="R1168">
        <v>43.6</v>
      </c>
    </row>
    <row r="1169" spans="1:18" x14ac:dyDescent="0.25">
      <c r="A1169" t="s">
        <v>1257</v>
      </c>
      <c r="B1169" t="s">
        <v>54</v>
      </c>
      <c r="C1169" t="s">
        <v>1228</v>
      </c>
      <c r="D1169" t="s">
        <v>54</v>
      </c>
      <c r="E1169" t="s">
        <v>78</v>
      </c>
      <c r="F1169" t="s">
        <v>252</v>
      </c>
      <c r="G1169">
        <v>6.1870000000000003</v>
      </c>
      <c r="H1169">
        <v>-75.38</v>
      </c>
      <c r="I1169" t="s">
        <v>110</v>
      </c>
      <c r="M1169">
        <v>188.8</v>
      </c>
      <c r="N1169">
        <v>43.9</v>
      </c>
      <c r="O1169">
        <v>36</v>
      </c>
      <c r="P1169">
        <v>40</v>
      </c>
      <c r="Q1169">
        <v>31</v>
      </c>
      <c r="R1169">
        <v>38.200000000000003</v>
      </c>
    </row>
    <row r="1170" spans="1:18" x14ac:dyDescent="0.25">
      <c r="A1170" t="s">
        <v>1258</v>
      </c>
      <c r="B1170" t="s">
        <v>54</v>
      </c>
      <c r="C1170" t="s">
        <v>1228</v>
      </c>
      <c r="D1170" t="s">
        <v>54</v>
      </c>
      <c r="E1170" t="s">
        <v>78</v>
      </c>
      <c r="F1170" t="s">
        <v>252</v>
      </c>
      <c r="G1170">
        <v>6.1870000000000003</v>
      </c>
      <c r="H1170">
        <v>-75.38</v>
      </c>
      <c r="I1170" t="s">
        <v>110</v>
      </c>
      <c r="M1170">
        <v>233.5</v>
      </c>
      <c r="N1170">
        <v>46.3</v>
      </c>
      <c r="O1170">
        <v>22</v>
      </c>
      <c r="P1170">
        <v>70</v>
      </c>
      <c r="Q1170">
        <v>48.3</v>
      </c>
      <c r="R1170">
        <v>47.3</v>
      </c>
    </row>
    <row r="1171" spans="1:18" x14ac:dyDescent="0.25">
      <c r="A1171" t="s">
        <v>1259</v>
      </c>
      <c r="B1171" t="s">
        <v>54</v>
      </c>
      <c r="C1171" t="s">
        <v>1228</v>
      </c>
      <c r="D1171" t="s">
        <v>54</v>
      </c>
      <c r="E1171" t="s">
        <v>78</v>
      </c>
      <c r="F1171" t="s">
        <v>252</v>
      </c>
      <c r="G1171">
        <v>6.1870000000000003</v>
      </c>
      <c r="H1171">
        <v>-75.38</v>
      </c>
      <c r="I1171" t="s">
        <v>110</v>
      </c>
      <c r="M1171">
        <v>316.89999999999998</v>
      </c>
      <c r="N1171">
        <v>75.599999999999994</v>
      </c>
      <c r="O1171">
        <v>52</v>
      </c>
      <c r="P1171">
        <v>84</v>
      </c>
      <c r="Q1171">
        <v>32.799999999999997</v>
      </c>
      <c r="R1171">
        <v>90.9</v>
      </c>
    </row>
    <row r="1172" spans="1:18" x14ac:dyDescent="0.25">
      <c r="A1172" t="s">
        <v>1260</v>
      </c>
      <c r="B1172" t="s">
        <v>54</v>
      </c>
      <c r="C1172" t="s">
        <v>1228</v>
      </c>
      <c r="D1172" t="s">
        <v>54</v>
      </c>
      <c r="E1172" t="s">
        <v>78</v>
      </c>
      <c r="F1172" t="s">
        <v>252</v>
      </c>
      <c r="G1172">
        <v>6.1870000000000003</v>
      </c>
      <c r="H1172">
        <v>-75.38</v>
      </c>
      <c r="I1172" t="s">
        <v>110</v>
      </c>
      <c r="M1172">
        <v>201.1</v>
      </c>
      <c r="N1172">
        <v>31.7</v>
      </c>
      <c r="O1172">
        <v>38</v>
      </c>
      <c r="P1172">
        <v>44</v>
      </c>
      <c r="Q1172">
        <v>44.8</v>
      </c>
      <c r="R1172">
        <v>47.3</v>
      </c>
    </row>
    <row r="1173" spans="1:18" x14ac:dyDescent="0.25">
      <c r="A1173" t="s">
        <v>1261</v>
      </c>
      <c r="B1173" t="s">
        <v>54</v>
      </c>
      <c r="C1173" t="s">
        <v>1228</v>
      </c>
      <c r="D1173" t="s">
        <v>54</v>
      </c>
      <c r="E1173" t="s">
        <v>78</v>
      </c>
      <c r="F1173" t="s">
        <v>252</v>
      </c>
      <c r="G1173">
        <v>6.1870000000000003</v>
      </c>
      <c r="H1173">
        <v>-75.38</v>
      </c>
      <c r="I1173" t="s">
        <v>110</v>
      </c>
      <c r="M1173">
        <v>279.7</v>
      </c>
      <c r="N1173">
        <v>56.1</v>
      </c>
      <c r="O1173">
        <v>50</v>
      </c>
      <c r="P1173">
        <v>66</v>
      </c>
      <c r="Q1173">
        <v>55.2</v>
      </c>
      <c r="R1173">
        <v>45.5</v>
      </c>
    </row>
    <row r="1174" spans="1:18" x14ac:dyDescent="0.25">
      <c r="A1174" t="s">
        <v>1262</v>
      </c>
      <c r="B1174" t="s">
        <v>54</v>
      </c>
      <c r="C1174" t="s">
        <v>1263</v>
      </c>
      <c r="D1174" t="s">
        <v>54</v>
      </c>
      <c r="E1174" t="s">
        <v>78</v>
      </c>
      <c r="F1174" t="s">
        <v>252</v>
      </c>
      <c r="G1174">
        <v>6.1429999999999998</v>
      </c>
      <c r="H1174">
        <v>-75.448999999999998</v>
      </c>
      <c r="I1174" t="s">
        <v>80</v>
      </c>
      <c r="M1174">
        <v>156.80000000000001</v>
      </c>
      <c r="N1174">
        <v>34.1</v>
      </c>
      <c r="O1174">
        <v>38</v>
      </c>
      <c r="P1174">
        <v>24</v>
      </c>
      <c r="Q1174">
        <v>27.6</v>
      </c>
      <c r="R1174">
        <v>36.4</v>
      </c>
    </row>
    <row r="1175" spans="1:18" x14ac:dyDescent="0.25">
      <c r="A1175" t="s">
        <v>1264</v>
      </c>
      <c r="B1175" t="s">
        <v>54</v>
      </c>
      <c r="C1175" t="s">
        <v>1263</v>
      </c>
      <c r="D1175" t="s">
        <v>54</v>
      </c>
      <c r="E1175" t="s">
        <v>78</v>
      </c>
      <c r="F1175" t="s">
        <v>252</v>
      </c>
      <c r="G1175">
        <v>6.1429999999999998</v>
      </c>
      <c r="H1175">
        <v>-75.448999999999998</v>
      </c>
      <c r="I1175" t="s">
        <v>80</v>
      </c>
      <c r="M1175">
        <v>198.9</v>
      </c>
      <c r="N1175">
        <v>51.2</v>
      </c>
      <c r="O1175">
        <v>26</v>
      </c>
      <c r="P1175">
        <v>60</v>
      </c>
      <c r="Q1175">
        <v>22.4</v>
      </c>
      <c r="R1175">
        <v>38.200000000000003</v>
      </c>
    </row>
    <row r="1176" spans="1:18" x14ac:dyDescent="0.25">
      <c r="A1176" t="s">
        <v>1265</v>
      </c>
      <c r="B1176" t="s">
        <v>54</v>
      </c>
      <c r="C1176" t="s">
        <v>1263</v>
      </c>
      <c r="D1176" t="s">
        <v>54</v>
      </c>
      <c r="E1176" t="s">
        <v>78</v>
      </c>
      <c r="F1176" t="s">
        <v>252</v>
      </c>
      <c r="G1176">
        <v>6.1429999999999998</v>
      </c>
      <c r="H1176">
        <v>-75.448999999999998</v>
      </c>
      <c r="I1176" t="s">
        <v>80</v>
      </c>
      <c r="M1176">
        <v>286.10000000000002</v>
      </c>
      <c r="N1176">
        <v>63.4</v>
      </c>
      <c r="O1176">
        <v>36</v>
      </c>
      <c r="P1176">
        <v>80</v>
      </c>
      <c r="Q1176">
        <v>43.1</v>
      </c>
      <c r="R1176">
        <v>76.400000000000006</v>
      </c>
    </row>
    <row r="1177" spans="1:18" x14ac:dyDescent="0.25">
      <c r="A1177" t="s">
        <v>1266</v>
      </c>
      <c r="B1177" t="s">
        <v>54</v>
      </c>
      <c r="C1177" t="s">
        <v>1263</v>
      </c>
      <c r="D1177" t="s">
        <v>54</v>
      </c>
      <c r="E1177" t="s">
        <v>78</v>
      </c>
      <c r="F1177" t="s">
        <v>252</v>
      </c>
      <c r="G1177">
        <v>6.1429999999999998</v>
      </c>
      <c r="H1177">
        <v>-75.448999999999998</v>
      </c>
      <c r="I1177" t="s">
        <v>80</v>
      </c>
      <c r="M1177">
        <v>239.3</v>
      </c>
      <c r="N1177">
        <v>51.2</v>
      </c>
      <c r="O1177">
        <v>24</v>
      </c>
      <c r="P1177">
        <v>64</v>
      </c>
      <c r="Q1177">
        <v>50</v>
      </c>
      <c r="R1177">
        <v>54.5</v>
      </c>
    </row>
    <row r="1178" spans="1:18" x14ac:dyDescent="0.25">
      <c r="A1178" t="s">
        <v>1267</v>
      </c>
      <c r="B1178" t="s">
        <v>54</v>
      </c>
      <c r="C1178" t="s">
        <v>1263</v>
      </c>
      <c r="D1178" t="s">
        <v>54</v>
      </c>
      <c r="E1178" t="s">
        <v>78</v>
      </c>
      <c r="F1178" t="s">
        <v>252</v>
      </c>
      <c r="G1178">
        <v>6.1429999999999998</v>
      </c>
      <c r="H1178">
        <v>-75.448999999999998</v>
      </c>
      <c r="I1178" t="s">
        <v>80</v>
      </c>
      <c r="M1178">
        <v>188.5</v>
      </c>
      <c r="N1178">
        <v>43.9</v>
      </c>
      <c r="O1178">
        <v>36</v>
      </c>
      <c r="P1178">
        <v>38</v>
      </c>
      <c r="Q1178">
        <v>32.799999999999997</v>
      </c>
      <c r="R1178">
        <v>38.200000000000003</v>
      </c>
    </row>
    <row r="1179" spans="1:18" x14ac:dyDescent="0.25">
      <c r="A1179" t="s">
        <v>1268</v>
      </c>
      <c r="B1179" t="s">
        <v>54</v>
      </c>
      <c r="C1179" t="s">
        <v>1263</v>
      </c>
      <c r="D1179" t="s">
        <v>54</v>
      </c>
      <c r="E1179" t="s">
        <v>78</v>
      </c>
      <c r="F1179" t="s">
        <v>252</v>
      </c>
      <c r="G1179">
        <v>6.1429999999999998</v>
      </c>
      <c r="H1179">
        <v>-75.448999999999998</v>
      </c>
      <c r="I1179" t="s">
        <v>80</v>
      </c>
      <c r="M1179">
        <v>237.1</v>
      </c>
      <c r="N1179">
        <v>56.1</v>
      </c>
      <c r="O1179">
        <v>26</v>
      </c>
      <c r="P1179">
        <v>70</v>
      </c>
      <c r="Q1179">
        <v>32.799999999999997</v>
      </c>
      <c r="R1179">
        <v>61.8</v>
      </c>
    </row>
    <row r="1180" spans="1:18" x14ac:dyDescent="0.25">
      <c r="A1180" t="s">
        <v>1269</v>
      </c>
      <c r="B1180" t="s">
        <v>54</v>
      </c>
      <c r="C1180" t="s">
        <v>1263</v>
      </c>
      <c r="D1180" t="s">
        <v>54</v>
      </c>
      <c r="E1180" t="s">
        <v>78</v>
      </c>
      <c r="F1180" t="s">
        <v>252</v>
      </c>
      <c r="G1180">
        <v>6.1429999999999998</v>
      </c>
      <c r="H1180">
        <v>-75.448999999999998</v>
      </c>
      <c r="I1180" t="s">
        <v>80</v>
      </c>
      <c r="M1180">
        <v>121.5</v>
      </c>
      <c r="N1180">
        <v>19.5</v>
      </c>
      <c r="O1180">
        <v>22</v>
      </c>
      <c r="P1180">
        <v>24</v>
      </c>
      <c r="Q1180">
        <v>25.9</v>
      </c>
      <c r="R1180">
        <v>41.8</v>
      </c>
    </row>
    <row r="1181" spans="1:18" x14ac:dyDescent="0.25">
      <c r="A1181" t="s">
        <v>1270</v>
      </c>
      <c r="B1181" t="s">
        <v>54</v>
      </c>
      <c r="C1181" t="s">
        <v>1263</v>
      </c>
      <c r="D1181" t="s">
        <v>54</v>
      </c>
      <c r="E1181" t="s">
        <v>78</v>
      </c>
      <c r="F1181" t="s">
        <v>252</v>
      </c>
      <c r="G1181">
        <v>6.1429999999999998</v>
      </c>
      <c r="H1181">
        <v>-75.448999999999998</v>
      </c>
      <c r="I1181" t="s">
        <v>80</v>
      </c>
      <c r="M1181">
        <v>133.5</v>
      </c>
      <c r="N1181">
        <v>31.7</v>
      </c>
      <c r="O1181">
        <v>26</v>
      </c>
      <c r="P1181">
        <v>24</v>
      </c>
      <c r="Q1181">
        <v>20.7</v>
      </c>
      <c r="R1181">
        <v>40</v>
      </c>
    </row>
    <row r="1182" spans="1:18" x14ac:dyDescent="0.25">
      <c r="A1182" t="s">
        <v>1271</v>
      </c>
      <c r="B1182" t="s">
        <v>54</v>
      </c>
      <c r="C1182" t="s">
        <v>1263</v>
      </c>
      <c r="D1182" t="s">
        <v>54</v>
      </c>
      <c r="E1182" t="s">
        <v>78</v>
      </c>
      <c r="F1182" t="s">
        <v>252</v>
      </c>
      <c r="G1182">
        <v>6.1429999999999998</v>
      </c>
      <c r="H1182">
        <v>-75.448999999999998</v>
      </c>
      <c r="I1182" t="s">
        <v>80</v>
      </c>
      <c r="M1182">
        <v>171</v>
      </c>
      <c r="N1182">
        <v>56.1</v>
      </c>
      <c r="O1182">
        <v>22</v>
      </c>
      <c r="P1182">
        <v>36</v>
      </c>
      <c r="Q1182">
        <v>19</v>
      </c>
      <c r="R1182">
        <v>45.5</v>
      </c>
    </row>
    <row r="1183" spans="1:18" x14ac:dyDescent="0.25">
      <c r="A1183" t="s">
        <v>1272</v>
      </c>
      <c r="B1183" t="s">
        <v>54</v>
      </c>
      <c r="C1183" t="s">
        <v>1263</v>
      </c>
      <c r="D1183" t="s">
        <v>54</v>
      </c>
      <c r="E1183" t="s">
        <v>78</v>
      </c>
      <c r="F1183" t="s">
        <v>252</v>
      </c>
      <c r="G1183">
        <v>6.1429999999999998</v>
      </c>
      <c r="H1183">
        <v>-75.448999999999998</v>
      </c>
      <c r="I1183" t="s">
        <v>80</v>
      </c>
      <c r="M1183">
        <v>160.9</v>
      </c>
      <c r="N1183">
        <v>36.6</v>
      </c>
      <c r="O1183">
        <v>30</v>
      </c>
      <c r="P1183">
        <v>36</v>
      </c>
      <c r="Q1183">
        <v>24.1</v>
      </c>
      <c r="R1183">
        <v>38.200000000000003</v>
      </c>
    </row>
    <row r="1184" spans="1:18" x14ac:dyDescent="0.25">
      <c r="A1184" t="s">
        <v>1273</v>
      </c>
      <c r="B1184" t="s">
        <v>54</v>
      </c>
      <c r="C1184" t="s">
        <v>1263</v>
      </c>
      <c r="D1184" t="s">
        <v>54</v>
      </c>
      <c r="E1184" t="s">
        <v>78</v>
      </c>
      <c r="F1184" t="s">
        <v>252</v>
      </c>
      <c r="G1184">
        <v>6.1429999999999998</v>
      </c>
      <c r="H1184">
        <v>-75.448999999999998</v>
      </c>
      <c r="I1184" t="s">
        <v>80</v>
      </c>
      <c r="M1184">
        <v>132.1</v>
      </c>
      <c r="N1184">
        <v>41.5</v>
      </c>
      <c r="O1184">
        <v>18</v>
      </c>
      <c r="P1184">
        <v>24</v>
      </c>
      <c r="Q1184">
        <v>20.7</v>
      </c>
      <c r="R1184">
        <v>30.9</v>
      </c>
    </row>
    <row r="1185" spans="1:18" x14ac:dyDescent="0.25">
      <c r="A1185" t="s">
        <v>1274</v>
      </c>
      <c r="B1185" t="s">
        <v>54</v>
      </c>
      <c r="C1185" t="s">
        <v>1263</v>
      </c>
      <c r="D1185" t="s">
        <v>54</v>
      </c>
      <c r="E1185" t="s">
        <v>78</v>
      </c>
      <c r="F1185" t="s">
        <v>252</v>
      </c>
      <c r="G1185">
        <v>6.1429999999999998</v>
      </c>
      <c r="H1185">
        <v>-75.448999999999998</v>
      </c>
      <c r="I1185" t="s">
        <v>80</v>
      </c>
      <c r="M1185">
        <v>197.7</v>
      </c>
      <c r="N1185">
        <v>41.5</v>
      </c>
      <c r="O1185">
        <v>30</v>
      </c>
      <c r="P1185">
        <v>40</v>
      </c>
      <c r="Q1185">
        <v>46.6</v>
      </c>
      <c r="R1185">
        <v>40</v>
      </c>
    </row>
    <row r="1186" spans="1:18" x14ac:dyDescent="0.25">
      <c r="A1186" t="s">
        <v>1275</v>
      </c>
      <c r="B1186" t="s">
        <v>54</v>
      </c>
      <c r="C1186" t="s">
        <v>1263</v>
      </c>
      <c r="D1186" t="s">
        <v>54</v>
      </c>
      <c r="E1186" t="s">
        <v>78</v>
      </c>
      <c r="F1186" t="s">
        <v>252</v>
      </c>
      <c r="G1186">
        <v>6.1429999999999998</v>
      </c>
      <c r="H1186">
        <v>-75.448999999999998</v>
      </c>
      <c r="I1186" t="s">
        <v>80</v>
      </c>
      <c r="M1186">
        <v>140.4</v>
      </c>
      <c r="N1186">
        <v>39</v>
      </c>
      <c r="O1186">
        <v>16</v>
      </c>
      <c r="P1186">
        <v>32</v>
      </c>
      <c r="Q1186">
        <v>20.7</v>
      </c>
      <c r="R1186">
        <v>41.8</v>
      </c>
    </row>
    <row r="1187" spans="1:18" x14ac:dyDescent="0.25">
      <c r="A1187" t="s">
        <v>1276</v>
      </c>
      <c r="B1187" t="s">
        <v>54</v>
      </c>
      <c r="C1187" t="s">
        <v>1263</v>
      </c>
      <c r="D1187" t="s">
        <v>54</v>
      </c>
      <c r="E1187" t="s">
        <v>78</v>
      </c>
      <c r="F1187" t="s">
        <v>252</v>
      </c>
      <c r="G1187">
        <v>6.1429999999999998</v>
      </c>
      <c r="H1187">
        <v>-75.448999999999998</v>
      </c>
      <c r="I1187" t="s">
        <v>80</v>
      </c>
      <c r="M1187">
        <v>280.5</v>
      </c>
      <c r="N1187">
        <v>56.1</v>
      </c>
      <c r="O1187">
        <v>28</v>
      </c>
      <c r="P1187">
        <v>72</v>
      </c>
      <c r="Q1187">
        <v>60.3</v>
      </c>
      <c r="R1187">
        <v>80</v>
      </c>
    </row>
    <row r="1188" spans="1:18" x14ac:dyDescent="0.25">
      <c r="A1188" t="s">
        <v>1277</v>
      </c>
      <c r="B1188" t="s">
        <v>54</v>
      </c>
      <c r="C1188" t="s">
        <v>1263</v>
      </c>
      <c r="D1188" t="s">
        <v>54</v>
      </c>
      <c r="E1188" t="s">
        <v>78</v>
      </c>
      <c r="F1188" t="s">
        <v>252</v>
      </c>
      <c r="G1188">
        <v>6.1429999999999998</v>
      </c>
      <c r="H1188">
        <v>-75.448999999999998</v>
      </c>
      <c r="I1188" t="s">
        <v>80</v>
      </c>
      <c r="M1188">
        <v>140.1</v>
      </c>
      <c r="N1188">
        <v>26.8</v>
      </c>
      <c r="O1188">
        <v>28</v>
      </c>
      <c r="P1188">
        <v>28</v>
      </c>
      <c r="Q1188">
        <v>25.9</v>
      </c>
      <c r="R1188">
        <v>38.200000000000003</v>
      </c>
    </row>
    <row r="1189" spans="1:18" x14ac:dyDescent="0.25">
      <c r="A1189" t="s">
        <v>1278</v>
      </c>
      <c r="B1189" t="s">
        <v>54</v>
      </c>
      <c r="C1189" t="s">
        <v>1263</v>
      </c>
      <c r="D1189" t="s">
        <v>54</v>
      </c>
      <c r="E1189" t="s">
        <v>78</v>
      </c>
      <c r="F1189" t="s">
        <v>252</v>
      </c>
      <c r="G1189">
        <v>6.1429999999999998</v>
      </c>
      <c r="H1189">
        <v>-75.448999999999998</v>
      </c>
      <c r="I1189" t="s">
        <v>80</v>
      </c>
      <c r="M1189">
        <v>123.1</v>
      </c>
      <c r="N1189">
        <v>34.1</v>
      </c>
      <c r="O1189">
        <v>28</v>
      </c>
      <c r="P1189">
        <v>16</v>
      </c>
      <c r="Q1189">
        <v>20.7</v>
      </c>
      <c r="R1189">
        <v>23.6</v>
      </c>
    </row>
    <row r="1190" spans="1:18" x14ac:dyDescent="0.25">
      <c r="A1190" t="s">
        <v>1279</v>
      </c>
      <c r="B1190" t="s">
        <v>54</v>
      </c>
      <c r="C1190" t="s">
        <v>1263</v>
      </c>
      <c r="D1190" t="s">
        <v>54</v>
      </c>
      <c r="E1190" t="s">
        <v>78</v>
      </c>
      <c r="F1190" t="s">
        <v>252</v>
      </c>
      <c r="G1190">
        <v>6.1429999999999998</v>
      </c>
      <c r="H1190">
        <v>-75.448999999999998</v>
      </c>
      <c r="I1190" t="s">
        <v>80</v>
      </c>
      <c r="M1190">
        <v>165.4</v>
      </c>
      <c r="N1190">
        <v>34.1</v>
      </c>
      <c r="O1190">
        <v>38</v>
      </c>
      <c r="P1190">
        <v>30</v>
      </c>
      <c r="Q1190">
        <v>32.799999999999997</v>
      </c>
      <c r="R1190">
        <v>25.5</v>
      </c>
    </row>
    <row r="1191" spans="1:18" x14ac:dyDescent="0.25">
      <c r="A1191" t="s">
        <v>1280</v>
      </c>
      <c r="B1191" t="s">
        <v>54</v>
      </c>
      <c r="C1191" t="s">
        <v>1263</v>
      </c>
      <c r="D1191" t="s">
        <v>54</v>
      </c>
      <c r="E1191" t="s">
        <v>78</v>
      </c>
      <c r="F1191" t="s">
        <v>252</v>
      </c>
      <c r="G1191">
        <v>6.1429999999999998</v>
      </c>
      <c r="H1191">
        <v>-75.448999999999998</v>
      </c>
      <c r="I1191" t="s">
        <v>80</v>
      </c>
      <c r="M1191">
        <v>119.7</v>
      </c>
      <c r="N1191">
        <v>29.3</v>
      </c>
      <c r="O1191">
        <v>22</v>
      </c>
      <c r="P1191">
        <v>20</v>
      </c>
      <c r="Q1191">
        <v>27.6</v>
      </c>
      <c r="R1191">
        <v>14.5</v>
      </c>
    </row>
    <row r="1192" spans="1:18" x14ac:dyDescent="0.25">
      <c r="A1192" t="s">
        <v>1281</v>
      </c>
      <c r="B1192" t="s">
        <v>54</v>
      </c>
      <c r="C1192" t="s">
        <v>1263</v>
      </c>
      <c r="D1192" t="s">
        <v>54</v>
      </c>
      <c r="E1192" t="s">
        <v>78</v>
      </c>
      <c r="F1192" t="s">
        <v>252</v>
      </c>
      <c r="G1192">
        <v>6.1429999999999998</v>
      </c>
      <c r="H1192">
        <v>-75.448999999999998</v>
      </c>
      <c r="I1192" t="s">
        <v>80</v>
      </c>
      <c r="M1192">
        <v>294.5</v>
      </c>
      <c r="N1192">
        <v>58.5</v>
      </c>
      <c r="O1192">
        <v>42</v>
      </c>
      <c r="P1192">
        <v>70</v>
      </c>
      <c r="Q1192">
        <v>58.6</v>
      </c>
      <c r="R1192">
        <v>78.2</v>
      </c>
    </row>
    <row r="1193" spans="1:18" x14ac:dyDescent="0.25">
      <c r="A1193" t="s">
        <v>1282</v>
      </c>
      <c r="B1193" t="s">
        <v>54</v>
      </c>
      <c r="C1193" t="s">
        <v>1263</v>
      </c>
      <c r="D1193" t="s">
        <v>54</v>
      </c>
      <c r="E1193" t="s">
        <v>78</v>
      </c>
      <c r="F1193" t="s">
        <v>252</v>
      </c>
      <c r="G1193">
        <v>6.1429999999999998</v>
      </c>
      <c r="H1193">
        <v>-75.448999999999998</v>
      </c>
      <c r="I1193" t="s">
        <v>80</v>
      </c>
      <c r="M1193">
        <v>171.2</v>
      </c>
      <c r="N1193">
        <v>48.8</v>
      </c>
      <c r="O1193">
        <v>26</v>
      </c>
      <c r="P1193">
        <v>34</v>
      </c>
      <c r="Q1193">
        <v>29.3</v>
      </c>
      <c r="R1193">
        <v>30.9</v>
      </c>
    </row>
    <row r="1194" spans="1:18" x14ac:dyDescent="0.25">
      <c r="A1194" t="s">
        <v>1283</v>
      </c>
      <c r="B1194" t="s">
        <v>54</v>
      </c>
      <c r="C1194" t="s">
        <v>1263</v>
      </c>
      <c r="D1194" t="s">
        <v>54</v>
      </c>
      <c r="E1194" t="s">
        <v>78</v>
      </c>
      <c r="F1194" t="s">
        <v>252</v>
      </c>
      <c r="G1194">
        <v>6.1429999999999998</v>
      </c>
      <c r="H1194">
        <v>-75.448999999999998</v>
      </c>
      <c r="I1194" t="s">
        <v>80</v>
      </c>
      <c r="M1194">
        <v>143.1</v>
      </c>
      <c r="N1194">
        <v>31.7</v>
      </c>
      <c r="O1194">
        <v>26</v>
      </c>
      <c r="P1194">
        <v>22</v>
      </c>
      <c r="Q1194">
        <v>32.799999999999997</v>
      </c>
      <c r="R1194">
        <v>34.5</v>
      </c>
    </row>
    <row r="1195" spans="1:18" x14ac:dyDescent="0.25">
      <c r="A1195" t="s">
        <v>1284</v>
      </c>
      <c r="B1195" t="s">
        <v>54</v>
      </c>
      <c r="C1195" t="s">
        <v>1263</v>
      </c>
      <c r="D1195" t="s">
        <v>54</v>
      </c>
      <c r="E1195" t="s">
        <v>78</v>
      </c>
      <c r="F1195" t="s">
        <v>252</v>
      </c>
      <c r="G1195">
        <v>6.1429999999999998</v>
      </c>
      <c r="H1195">
        <v>-75.448999999999998</v>
      </c>
      <c r="I1195" t="s">
        <v>80</v>
      </c>
      <c r="M1195">
        <v>156.9</v>
      </c>
      <c r="N1195">
        <v>31.7</v>
      </c>
      <c r="O1195">
        <v>28</v>
      </c>
      <c r="P1195">
        <v>30</v>
      </c>
      <c r="Q1195">
        <v>29.3</v>
      </c>
      <c r="R1195">
        <v>50.9</v>
      </c>
    </row>
    <row r="1196" spans="1:18" x14ac:dyDescent="0.25">
      <c r="A1196" t="s">
        <v>1285</v>
      </c>
      <c r="B1196" t="s">
        <v>54</v>
      </c>
      <c r="C1196" t="s">
        <v>1263</v>
      </c>
      <c r="D1196" t="s">
        <v>54</v>
      </c>
      <c r="E1196" t="s">
        <v>78</v>
      </c>
      <c r="F1196" t="s">
        <v>252</v>
      </c>
      <c r="G1196">
        <v>6.1429999999999998</v>
      </c>
      <c r="H1196">
        <v>-75.448999999999998</v>
      </c>
      <c r="I1196" t="s">
        <v>80</v>
      </c>
      <c r="M1196">
        <v>136.9</v>
      </c>
      <c r="N1196">
        <v>24.4</v>
      </c>
      <c r="O1196">
        <v>26</v>
      </c>
      <c r="P1196">
        <v>16</v>
      </c>
      <c r="Q1196">
        <v>41.4</v>
      </c>
      <c r="R1196">
        <v>32.700000000000003</v>
      </c>
    </row>
    <row r="1197" spans="1:18" x14ac:dyDescent="0.25">
      <c r="A1197" t="s">
        <v>1286</v>
      </c>
      <c r="B1197" t="s">
        <v>54</v>
      </c>
      <c r="C1197" t="s">
        <v>1263</v>
      </c>
      <c r="D1197" t="s">
        <v>54</v>
      </c>
      <c r="E1197" t="s">
        <v>78</v>
      </c>
      <c r="F1197" t="s">
        <v>252</v>
      </c>
      <c r="G1197">
        <v>6.1429999999999998</v>
      </c>
      <c r="H1197">
        <v>-75.448999999999998</v>
      </c>
      <c r="I1197" t="s">
        <v>80</v>
      </c>
      <c r="M1197">
        <v>181</v>
      </c>
      <c r="N1197">
        <v>51.2</v>
      </c>
      <c r="O1197">
        <v>30</v>
      </c>
      <c r="P1197">
        <v>24</v>
      </c>
      <c r="Q1197">
        <v>41.4</v>
      </c>
      <c r="R1197">
        <v>30.9</v>
      </c>
    </row>
    <row r="1198" spans="1:18" x14ac:dyDescent="0.25">
      <c r="A1198" t="s">
        <v>1287</v>
      </c>
      <c r="B1198" t="s">
        <v>54</v>
      </c>
      <c r="C1198" t="s">
        <v>1263</v>
      </c>
      <c r="D1198" t="s">
        <v>54</v>
      </c>
      <c r="E1198" t="s">
        <v>78</v>
      </c>
      <c r="F1198" t="s">
        <v>252</v>
      </c>
      <c r="G1198">
        <v>6.1429999999999998</v>
      </c>
      <c r="H1198">
        <v>-75.448999999999998</v>
      </c>
      <c r="I1198" t="s">
        <v>80</v>
      </c>
      <c r="M1198">
        <v>178.8</v>
      </c>
      <c r="N1198">
        <v>41.5</v>
      </c>
      <c r="O1198">
        <v>30</v>
      </c>
      <c r="P1198">
        <v>28</v>
      </c>
      <c r="Q1198">
        <v>37.9</v>
      </c>
      <c r="R1198">
        <v>52.7</v>
      </c>
    </row>
    <row r="1199" spans="1:18" x14ac:dyDescent="0.25">
      <c r="A1199" t="s">
        <v>1288</v>
      </c>
      <c r="B1199" t="s">
        <v>54</v>
      </c>
      <c r="C1199" t="s">
        <v>1263</v>
      </c>
      <c r="D1199" t="s">
        <v>54</v>
      </c>
      <c r="E1199" t="s">
        <v>78</v>
      </c>
      <c r="F1199" t="s">
        <v>252</v>
      </c>
      <c r="G1199">
        <v>6.1429999999999998</v>
      </c>
      <c r="H1199">
        <v>-75.448999999999998</v>
      </c>
      <c r="I1199" t="s">
        <v>80</v>
      </c>
      <c r="M1199">
        <v>159.30000000000001</v>
      </c>
      <c r="N1199">
        <v>43.9</v>
      </c>
      <c r="O1199">
        <v>34</v>
      </c>
      <c r="P1199">
        <v>24</v>
      </c>
      <c r="Q1199">
        <v>25.9</v>
      </c>
      <c r="R1199">
        <v>30.9</v>
      </c>
    </row>
    <row r="1200" spans="1:18" x14ac:dyDescent="0.25">
      <c r="A1200" t="s">
        <v>1289</v>
      </c>
      <c r="B1200" t="s">
        <v>54</v>
      </c>
      <c r="C1200" t="s">
        <v>1263</v>
      </c>
      <c r="D1200" t="s">
        <v>54</v>
      </c>
      <c r="E1200" t="s">
        <v>78</v>
      </c>
      <c r="F1200" t="s">
        <v>252</v>
      </c>
      <c r="G1200">
        <v>6.1429999999999998</v>
      </c>
      <c r="H1200">
        <v>-75.448999999999998</v>
      </c>
      <c r="I1200" t="s">
        <v>80</v>
      </c>
      <c r="M1200">
        <v>165.5</v>
      </c>
      <c r="N1200">
        <v>39</v>
      </c>
      <c r="O1200">
        <v>26</v>
      </c>
      <c r="P1200">
        <v>30</v>
      </c>
      <c r="Q1200">
        <v>34.5</v>
      </c>
      <c r="R1200">
        <v>41.8</v>
      </c>
    </row>
    <row r="1201" spans="1:18" x14ac:dyDescent="0.25">
      <c r="A1201" t="s">
        <v>1290</v>
      </c>
      <c r="B1201" t="s">
        <v>54</v>
      </c>
      <c r="C1201" t="s">
        <v>1263</v>
      </c>
      <c r="D1201" t="s">
        <v>54</v>
      </c>
      <c r="E1201" t="s">
        <v>78</v>
      </c>
      <c r="F1201" t="s">
        <v>252</v>
      </c>
      <c r="G1201">
        <v>6.1429999999999998</v>
      </c>
      <c r="H1201">
        <v>-75.448999999999998</v>
      </c>
      <c r="I1201" t="s">
        <v>80</v>
      </c>
      <c r="M1201">
        <v>269.89999999999998</v>
      </c>
      <c r="N1201">
        <v>63.4</v>
      </c>
      <c r="O1201">
        <v>40</v>
      </c>
      <c r="P1201">
        <v>66</v>
      </c>
      <c r="Q1201">
        <v>39.700000000000003</v>
      </c>
      <c r="R1201">
        <v>74.5</v>
      </c>
    </row>
    <row r="1202" spans="1:18" x14ac:dyDescent="0.25">
      <c r="A1202" t="s">
        <v>1291</v>
      </c>
      <c r="B1202" t="s">
        <v>54</v>
      </c>
      <c r="C1202" t="s">
        <v>1292</v>
      </c>
      <c r="D1202" t="s">
        <v>54</v>
      </c>
      <c r="E1202" t="s">
        <v>78</v>
      </c>
      <c r="F1202" t="s">
        <v>252</v>
      </c>
      <c r="G1202">
        <v>6.0789999999999997</v>
      </c>
      <c r="H1202">
        <v>-75.424000000000007</v>
      </c>
      <c r="I1202" t="s">
        <v>80</v>
      </c>
      <c r="M1202">
        <v>286</v>
      </c>
      <c r="N1202">
        <v>63.4</v>
      </c>
      <c r="O1202">
        <v>34</v>
      </c>
      <c r="P1202">
        <v>66</v>
      </c>
      <c r="Q1202">
        <v>62.1</v>
      </c>
      <c r="R1202">
        <v>67.3</v>
      </c>
    </row>
    <row r="1203" spans="1:18" x14ac:dyDescent="0.25">
      <c r="A1203" t="s">
        <v>1293</v>
      </c>
      <c r="B1203" t="s">
        <v>54</v>
      </c>
      <c r="C1203" t="s">
        <v>1292</v>
      </c>
      <c r="D1203" t="s">
        <v>54</v>
      </c>
      <c r="E1203" t="s">
        <v>78</v>
      </c>
      <c r="F1203" t="s">
        <v>252</v>
      </c>
      <c r="G1203">
        <v>6.0789999999999997</v>
      </c>
      <c r="H1203">
        <v>-75.424000000000007</v>
      </c>
      <c r="I1203" t="s">
        <v>80</v>
      </c>
      <c r="M1203">
        <v>230.5</v>
      </c>
      <c r="N1203">
        <v>58.5</v>
      </c>
      <c r="O1203">
        <v>44</v>
      </c>
      <c r="P1203">
        <v>26</v>
      </c>
      <c r="Q1203">
        <v>50</v>
      </c>
      <c r="R1203">
        <v>63.6</v>
      </c>
    </row>
    <row r="1204" spans="1:18" x14ac:dyDescent="0.25">
      <c r="A1204" t="s">
        <v>1294</v>
      </c>
      <c r="B1204" t="s">
        <v>54</v>
      </c>
      <c r="C1204" t="s">
        <v>1292</v>
      </c>
      <c r="D1204" t="s">
        <v>54</v>
      </c>
      <c r="E1204" t="s">
        <v>78</v>
      </c>
      <c r="F1204" t="s">
        <v>252</v>
      </c>
      <c r="G1204">
        <v>6.0789999999999997</v>
      </c>
      <c r="H1204">
        <v>-75.424000000000007</v>
      </c>
      <c r="I1204" t="s">
        <v>80</v>
      </c>
      <c r="M1204">
        <v>153.5</v>
      </c>
      <c r="N1204">
        <v>46.3</v>
      </c>
      <c r="O1204">
        <v>20</v>
      </c>
      <c r="P1204">
        <v>16</v>
      </c>
      <c r="Q1204">
        <v>37.9</v>
      </c>
      <c r="R1204">
        <v>38.200000000000003</v>
      </c>
    </row>
    <row r="1205" spans="1:18" x14ac:dyDescent="0.25">
      <c r="A1205" t="s">
        <v>1295</v>
      </c>
      <c r="B1205" t="s">
        <v>54</v>
      </c>
      <c r="C1205" t="s">
        <v>1292</v>
      </c>
      <c r="D1205" t="s">
        <v>54</v>
      </c>
      <c r="E1205" t="s">
        <v>78</v>
      </c>
      <c r="F1205" t="s">
        <v>252</v>
      </c>
      <c r="G1205">
        <v>6.0789999999999997</v>
      </c>
      <c r="H1205">
        <v>-75.424000000000007</v>
      </c>
      <c r="I1205" t="s">
        <v>80</v>
      </c>
      <c r="M1205">
        <v>316.10000000000002</v>
      </c>
      <c r="N1205">
        <v>48.8</v>
      </c>
      <c r="O1205">
        <v>52</v>
      </c>
      <c r="P1205">
        <v>80</v>
      </c>
      <c r="Q1205">
        <v>69</v>
      </c>
      <c r="R1205">
        <v>72.7</v>
      </c>
    </row>
    <row r="1206" spans="1:18" x14ac:dyDescent="0.25">
      <c r="A1206" t="s">
        <v>1296</v>
      </c>
      <c r="B1206" t="s">
        <v>54</v>
      </c>
      <c r="C1206" t="s">
        <v>1292</v>
      </c>
      <c r="D1206" t="s">
        <v>54</v>
      </c>
      <c r="E1206" t="s">
        <v>78</v>
      </c>
      <c r="F1206" t="s">
        <v>252</v>
      </c>
      <c r="G1206">
        <v>6.0789999999999997</v>
      </c>
      <c r="H1206">
        <v>-75.424000000000007</v>
      </c>
      <c r="I1206" t="s">
        <v>80</v>
      </c>
      <c r="M1206">
        <v>259.8</v>
      </c>
      <c r="N1206">
        <v>58.5</v>
      </c>
      <c r="O1206">
        <v>36</v>
      </c>
      <c r="P1206">
        <v>66</v>
      </c>
      <c r="Q1206">
        <v>48.3</v>
      </c>
      <c r="R1206">
        <v>49.1</v>
      </c>
    </row>
    <row r="1207" spans="1:18" x14ac:dyDescent="0.25">
      <c r="A1207" t="s">
        <v>1297</v>
      </c>
      <c r="B1207" t="s">
        <v>54</v>
      </c>
      <c r="C1207" t="s">
        <v>1292</v>
      </c>
      <c r="D1207" t="s">
        <v>54</v>
      </c>
      <c r="E1207" t="s">
        <v>78</v>
      </c>
      <c r="F1207" t="s">
        <v>252</v>
      </c>
      <c r="G1207">
        <v>6.0789999999999997</v>
      </c>
      <c r="H1207">
        <v>-75.424000000000007</v>
      </c>
      <c r="I1207" t="s">
        <v>80</v>
      </c>
      <c r="M1207">
        <v>320</v>
      </c>
      <c r="N1207">
        <v>73.2</v>
      </c>
      <c r="O1207">
        <v>42</v>
      </c>
      <c r="P1207">
        <v>80</v>
      </c>
      <c r="Q1207">
        <v>50</v>
      </c>
      <c r="R1207">
        <v>96.4</v>
      </c>
    </row>
    <row r="1208" spans="1:18" x14ac:dyDescent="0.25">
      <c r="A1208" t="s">
        <v>1298</v>
      </c>
      <c r="B1208" t="s">
        <v>54</v>
      </c>
      <c r="C1208" t="s">
        <v>1292</v>
      </c>
      <c r="D1208" t="s">
        <v>54</v>
      </c>
      <c r="E1208" t="s">
        <v>78</v>
      </c>
      <c r="F1208" t="s">
        <v>252</v>
      </c>
      <c r="G1208">
        <v>6.0789999999999997</v>
      </c>
      <c r="H1208">
        <v>-75.424000000000007</v>
      </c>
      <c r="I1208" t="s">
        <v>80</v>
      </c>
      <c r="M1208">
        <v>138.1</v>
      </c>
      <c r="N1208">
        <v>22</v>
      </c>
      <c r="O1208">
        <v>36</v>
      </c>
      <c r="P1208">
        <v>30</v>
      </c>
      <c r="Q1208">
        <v>19</v>
      </c>
      <c r="R1208">
        <v>38.200000000000003</v>
      </c>
    </row>
    <row r="1209" spans="1:18" x14ac:dyDescent="0.25">
      <c r="A1209" t="s">
        <v>1299</v>
      </c>
      <c r="B1209" t="s">
        <v>54</v>
      </c>
      <c r="C1209" t="s">
        <v>1292</v>
      </c>
      <c r="D1209" t="s">
        <v>54</v>
      </c>
      <c r="E1209" t="s">
        <v>78</v>
      </c>
      <c r="F1209" t="s">
        <v>252</v>
      </c>
      <c r="G1209">
        <v>6.0789999999999997</v>
      </c>
      <c r="H1209">
        <v>-75.424000000000007</v>
      </c>
      <c r="I1209" t="s">
        <v>80</v>
      </c>
      <c r="M1209">
        <v>275.10000000000002</v>
      </c>
      <c r="N1209">
        <v>65.900000000000006</v>
      </c>
      <c r="O1209">
        <v>28</v>
      </c>
      <c r="P1209">
        <v>74</v>
      </c>
      <c r="Q1209">
        <v>50</v>
      </c>
      <c r="R1209">
        <v>61.8</v>
      </c>
    </row>
    <row r="1210" spans="1:18" x14ac:dyDescent="0.25">
      <c r="A1210" t="s">
        <v>1300</v>
      </c>
      <c r="B1210" t="s">
        <v>54</v>
      </c>
      <c r="C1210" t="s">
        <v>1292</v>
      </c>
      <c r="D1210" t="s">
        <v>54</v>
      </c>
      <c r="E1210" t="s">
        <v>78</v>
      </c>
      <c r="F1210" t="s">
        <v>252</v>
      </c>
      <c r="G1210">
        <v>6.0789999999999997</v>
      </c>
      <c r="H1210">
        <v>-75.424000000000007</v>
      </c>
      <c r="I1210" t="s">
        <v>80</v>
      </c>
      <c r="M1210">
        <v>229.2</v>
      </c>
      <c r="N1210">
        <v>75.599999999999994</v>
      </c>
      <c r="O1210">
        <v>32</v>
      </c>
      <c r="P1210">
        <v>20</v>
      </c>
      <c r="Q1210">
        <v>53.4</v>
      </c>
      <c r="R1210">
        <v>52.7</v>
      </c>
    </row>
    <row r="1211" spans="1:18" x14ac:dyDescent="0.25">
      <c r="A1211" t="s">
        <v>1301</v>
      </c>
      <c r="B1211" t="s">
        <v>54</v>
      </c>
      <c r="C1211" t="s">
        <v>1292</v>
      </c>
      <c r="D1211" t="s">
        <v>54</v>
      </c>
      <c r="E1211" t="s">
        <v>78</v>
      </c>
      <c r="F1211" t="s">
        <v>252</v>
      </c>
      <c r="G1211">
        <v>6.0789999999999997</v>
      </c>
      <c r="H1211">
        <v>-75.424000000000007</v>
      </c>
      <c r="I1211" t="s">
        <v>80</v>
      </c>
      <c r="M1211">
        <v>226</v>
      </c>
      <c r="N1211">
        <v>46.3</v>
      </c>
      <c r="O1211">
        <v>32</v>
      </c>
      <c r="P1211">
        <v>58</v>
      </c>
      <c r="Q1211">
        <v>41.4</v>
      </c>
      <c r="R1211">
        <v>54.5</v>
      </c>
    </row>
    <row r="1212" spans="1:18" x14ac:dyDescent="0.25">
      <c r="A1212" t="s">
        <v>1302</v>
      </c>
      <c r="B1212" t="s">
        <v>54</v>
      </c>
      <c r="C1212" t="s">
        <v>1292</v>
      </c>
      <c r="D1212" t="s">
        <v>54</v>
      </c>
      <c r="E1212" t="s">
        <v>78</v>
      </c>
      <c r="F1212" t="s">
        <v>252</v>
      </c>
      <c r="G1212">
        <v>6.0789999999999997</v>
      </c>
      <c r="H1212">
        <v>-75.424000000000007</v>
      </c>
      <c r="I1212" t="s">
        <v>80</v>
      </c>
      <c r="M1212">
        <v>176.8</v>
      </c>
      <c r="N1212">
        <v>41.5</v>
      </c>
      <c r="O1212">
        <v>24</v>
      </c>
      <c r="P1212">
        <v>28</v>
      </c>
      <c r="Q1212">
        <v>37.9</v>
      </c>
      <c r="R1212">
        <v>65.5</v>
      </c>
    </row>
    <row r="1213" spans="1:18" x14ac:dyDescent="0.25">
      <c r="A1213" t="s">
        <v>1303</v>
      </c>
      <c r="B1213" t="s">
        <v>54</v>
      </c>
      <c r="C1213" t="s">
        <v>1292</v>
      </c>
      <c r="D1213" t="s">
        <v>54</v>
      </c>
      <c r="E1213" t="s">
        <v>78</v>
      </c>
      <c r="F1213" t="s">
        <v>252</v>
      </c>
      <c r="G1213">
        <v>6.0789999999999997</v>
      </c>
      <c r="H1213">
        <v>-75.424000000000007</v>
      </c>
      <c r="I1213" t="s">
        <v>80</v>
      </c>
      <c r="M1213">
        <v>238</v>
      </c>
      <c r="N1213">
        <v>56.1</v>
      </c>
      <c r="O1213">
        <v>46</v>
      </c>
      <c r="P1213">
        <v>54</v>
      </c>
      <c r="Q1213">
        <v>36.200000000000003</v>
      </c>
      <c r="R1213">
        <v>41.8</v>
      </c>
    </row>
    <row r="1214" spans="1:18" x14ac:dyDescent="0.25">
      <c r="A1214" t="s">
        <v>1304</v>
      </c>
      <c r="B1214" t="s">
        <v>54</v>
      </c>
      <c r="C1214" t="s">
        <v>1292</v>
      </c>
      <c r="D1214" t="s">
        <v>54</v>
      </c>
      <c r="E1214" t="s">
        <v>78</v>
      </c>
      <c r="F1214" t="s">
        <v>252</v>
      </c>
      <c r="G1214">
        <v>6.0789999999999997</v>
      </c>
      <c r="H1214">
        <v>-75.424000000000007</v>
      </c>
      <c r="I1214" t="s">
        <v>80</v>
      </c>
      <c r="M1214">
        <v>218.7</v>
      </c>
      <c r="N1214">
        <v>51.2</v>
      </c>
      <c r="O1214">
        <v>40</v>
      </c>
      <c r="P1214">
        <v>32</v>
      </c>
      <c r="Q1214">
        <v>50</v>
      </c>
      <c r="R1214">
        <v>49.1</v>
      </c>
    </row>
    <row r="1215" spans="1:18" x14ac:dyDescent="0.25">
      <c r="A1215" t="s">
        <v>1305</v>
      </c>
      <c r="B1215" t="s">
        <v>54</v>
      </c>
      <c r="C1215" t="s">
        <v>1292</v>
      </c>
      <c r="D1215" t="s">
        <v>54</v>
      </c>
      <c r="E1215" t="s">
        <v>78</v>
      </c>
      <c r="F1215" t="s">
        <v>252</v>
      </c>
      <c r="G1215">
        <v>6.0789999999999997</v>
      </c>
      <c r="H1215">
        <v>-75.424000000000007</v>
      </c>
      <c r="I1215" t="s">
        <v>80</v>
      </c>
      <c r="M1215">
        <v>278</v>
      </c>
      <c r="N1215">
        <v>61</v>
      </c>
      <c r="O1215">
        <v>32</v>
      </c>
      <c r="P1215">
        <v>74</v>
      </c>
      <c r="Q1215">
        <v>55.2</v>
      </c>
      <c r="R1215">
        <v>56.4</v>
      </c>
    </row>
    <row r="1216" spans="1:18" x14ac:dyDescent="0.25">
      <c r="A1216" t="s">
        <v>1306</v>
      </c>
      <c r="B1216" t="s">
        <v>54</v>
      </c>
      <c r="C1216" t="s">
        <v>1292</v>
      </c>
      <c r="D1216" t="s">
        <v>54</v>
      </c>
      <c r="E1216" t="s">
        <v>78</v>
      </c>
      <c r="F1216" t="s">
        <v>252</v>
      </c>
      <c r="G1216">
        <v>6.0789999999999997</v>
      </c>
      <c r="H1216">
        <v>-75.424000000000007</v>
      </c>
      <c r="I1216" t="s">
        <v>80</v>
      </c>
      <c r="M1216">
        <v>180.3</v>
      </c>
      <c r="N1216">
        <v>56.1</v>
      </c>
      <c r="O1216">
        <v>38</v>
      </c>
      <c r="P1216">
        <v>24</v>
      </c>
      <c r="Q1216">
        <v>22.4</v>
      </c>
      <c r="R1216">
        <v>47.3</v>
      </c>
    </row>
    <row r="1217" spans="1:18" x14ac:dyDescent="0.25">
      <c r="A1217" t="s">
        <v>1307</v>
      </c>
      <c r="B1217" t="s">
        <v>54</v>
      </c>
      <c r="C1217" t="s">
        <v>1292</v>
      </c>
      <c r="D1217" t="s">
        <v>54</v>
      </c>
      <c r="E1217" t="s">
        <v>78</v>
      </c>
      <c r="F1217" t="s">
        <v>252</v>
      </c>
      <c r="G1217">
        <v>6.0789999999999997</v>
      </c>
      <c r="H1217">
        <v>-75.424000000000007</v>
      </c>
      <c r="I1217" t="s">
        <v>80</v>
      </c>
      <c r="M1217">
        <v>199.1</v>
      </c>
      <c r="N1217">
        <v>48.8</v>
      </c>
      <c r="O1217">
        <v>32</v>
      </c>
      <c r="P1217">
        <v>36</v>
      </c>
      <c r="Q1217">
        <v>44.8</v>
      </c>
      <c r="R1217">
        <v>32.700000000000003</v>
      </c>
    </row>
    <row r="1218" spans="1:18" x14ac:dyDescent="0.25">
      <c r="A1218" t="s">
        <v>1308</v>
      </c>
      <c r="B1218" t="s">
        <v>54</v>
      </c>
      <c r="C1218" t="s">
        <v>1292</v>
      </c>
      <c r="D1218" t="s">
        <v>54</v>
      </c>
      <c r="E1218" t="s">
        <v>78</v>
      </c>
      <c r="F1218" t="s">
        <v>252</v>
      </c>
      <c r="G1218">
        <v>6.0789999999999997</v>
      </c>
      <c r="H1218">
        <v>-75.424000000000007</v>
      </c>
      <c r="I1218" t="s">
        <v>80</v>
      </c>
      <c r="M1218">
        <v>314.89999999999998</v>
      </c>
      <c r="N1218">
        <v>73.2</v>
      </c>
      <c r="O1218">
        <v>38</v>
      </c>
      <c r="P1218">
        <v>74</v>
      </c>
      <c r="Q1218">
        <v>58.6</v>
      </c>
      <c r="R1218">
        <v>87.3</v>
      </c>
    </row>
    <row r="1219" spans="1:18" x14ac:dyDescent="0.25">
      <c r="A1219" t="s">
        <v>1309</v>
      </c>
      <c r="B1219" t="s">
        <v>54</v>
      </c>
      <c r="C1219" t="s">
        <v>1310</v>
      </c>
      <c r="D1219" t="s">
        <v>54</v>
      </c>
      <c r="E1219" t="s">
        <v>78</v>
      </c>
      <c r="F1219" t="s">
        <v>252</v>
      </c>
      <c r="G1219">
        <v>6.1529999999999996</v>
      </c>
      <c r="H1219">
        <v>-75.406999999999996</v>
      </c>
      <c r="I1219" t="s">
        <v>110</v>
      </c>
      <c r="M1219">
        <v>307.3</v>
      </c>
      <c r="N1219">
        <v>65.900000000000006</v>
      </c>
      <c r="O1219">
        <v>56</v>
      </c>
      <c r="P1219">
        <v>60</v>
      </c>
      <c r="Q1219">
        <v>62.1</v>
      </c>
      <c r="R1219">
        <v>67.3</v>
      </c>
    </row>
    <row r="1220" spans="1:18" x14ac:dyDescent="0.25">
      <c r="A1220" t="s">
        <v>1311</v>
      </c>
      <c r="B1220" t="s">
        <v>54</v>
      </c>
      <c r="C1220" t="s">
        <v>1310</v>
      </c>
      <c r="D1220" t="s">
        <v>54</v>
      </c>
      <c r="E1220" t="s">
        <v>78</v>
      </c>
      <c r="F1220" t="s">
        <v>252</v>
      </c>
      <c r="G1220">
        <v>6.1529999999999996</v>
      </c>
      <c r="H1220">
        <v>-75.406999999999996</v>
      </c>
      <c r="I1220" t="s">
        <v>110</v>
      </c>
      <c r="M1220">
        <v>146.6</v>
      </c>
      <c r="N1220">
        <v>39</v>
      </c>
      <c r="O1220">
        <v>16</v>
      </c>
      <c r="P1220">
        <v>26</v>
      </c>
      <c r="Q1220">
        <v>34.5</v>
      </c>
      <c r="R1220">
        <v>34.5</v>
      </c>
    </row>
    <row r="1221" spans="1:18" x14ac:dyDescent="0.25">
      <c r="A1221" t="s">
        <v>1312</v>
      </c>
      <c r="B1221" t="s">
        <v>54</v>
      </c>
      <c r="C1221" t="s">
        <v>1310</v>
      </c>
      <c r="D1221" t="s">
        <v>54</v>
      </c>
      <c r="E1221" t="s">
        <v>78</v>
      </c>
      <c r="F1221" t="s">
        <v>252</v>
      </c>
      <c r="G1221">
        <v>6.1529999999999996</v>
      </c>
      <c r="H1221">
        <v>-75.406999999999996</v>
      </c>
      <c r="I1221" t="s">
        <v>110</v>
      </c>
      <c r="M1221">
        <v>179.6</v>
      </c>
      <c r="N1221">
        <v>39</v>
      </c>
      <c r="O1221">
        <v>24</v>
      </c>
      <c r="P1221">
        <v>42</v>
      </c>
      <c r="Q1221">
        <v>37.9</v>
      </c>
      <c r="R1221">
        <v>38.200000000000003</v>
      </c>
    </row>
    <row r="1222" spans="1:18" x14ac:dyDescent="0.25">
      <c r="A1222" t="s">
        <v>1313</v>
      </c>
      <c r="B1222" t="s">
        <v>54</v>
      </c>
      <c r="C1222" t="s">
        <v>1310</v>
      </c>
      <c r="D1222" t="s">
        <v>54</v>
      </c>
      <c r="E1222" t="s">
        <v>78</v>
      </c>
      <c r="F1222" t="s">
        <v>252</v>
      </c>
      <c r="G1222">
        <v>6.1529999999999996</v>
      </c>
      <c r="H1222">
        <v>-75.406999999999996</v>
      </c>
      <c r="I1222" t="s">
        <v>110</v>
      </c>
      <c r="M1222">
        <v>208.9</v>
      </c>
      <c r="N1222">
        <v>56.1</v>
      </c>
      <c r="O1222">
        <v>36</v>
      </c>
      <c r="P1222">
        <v>36</v>
      </c>
      <c r="Q1222">
        <v>39.700000000000003</v>
      </c>
      <c r="R1222">
        <v>40</v>
      </c>
    </row>
    <row r="1223" spans="1:18" x14ac:dyDescent="0.25">
      <c r="A1223" t="s">
        <v>1314</v>
      </c>
      <c r="B1223" t="s">
        <v>54</v>
      </c>
      <c r="C1223" t="s">
        <v>1310</v>
      </c>
      <c r="D1223" t="s">
        <v>54</v>
      </c>
      <c r="E1223" t="s">
        <v>78</v>
      </c>
      <c r="F1223" t="s">
        <v>252</v>
      </c>
      <c r="G1223">
        <v>6.1529999999999996</v>
      </c>
      <c r="H1223">
        <v>-75.406999999999996</v>
      </c>
      <c r="I1223" t="s">
        <v>110</v>
      </c>
      <c r="M1223">
        <v>243.9</v>
      </c>
      <c r="N1223">
        <v>48.8</v>
      </c>
      <c r="O1223">
        <v>40</v>
      </c>
      <c r="P1223">
        <v>50</v>
      </c>
      <c r="Q1223">
        <v>58.6</v>
      </c>
      <c r="R1223">
        <v>41.8</v>
      </c>
    </row>
    <row r="1224" spans="1:18" x14ac:dyDescent="0.25">
      <c r="A1224" t="s">
        <v>1315</v>
      </c>
      <c r="B1224" t="s">
        <v>54</v>
      </c>
      <c r="C1224" t="s">
        <v>1310</v>
      </c>
      <c r="D1224" t="s">
        <v>54</v>
      </c>
      <c r="E1224" t="s">
        <v>78</v>
      </c>
      <c r="F1224" t="s">
        <v>252</v>
      </c>
      <c r="G1224">
        <v>6.1529999999999996</v>
      </c>
      <c r="H1224">
        <v>-75.406999999999996</v>
      </c>
      <c r="I1224" t="s">
        <v>110</v>
      </c>
      <c r="M1224">
        <v>225.8</v>
      </c>
      <c r="N1224">
        <v>56.1</v>
      </c>
      <c r="O1224">
        <v>46</v>
      </c>
      <c r="P1224">
        <v>48</v>
      </c>
      <c r="Q1224">
        <v>31</v>
      </c>
      <c r="R1224">
        <v>43.6</v>
      </c>
    </row>
    <row r="1225" spans="1:18" x14ac:dyDescent="0.25">
      <c r="A1225" t="s">
        <v>1316</v>
      </c>
      <c r="B1225" t="s">
        <v>54</v>
      </c>
      <c r="C1225" t="s">
        <v>1310</v>
      </c>
      <c r="D1225" t="s">
        <v>54</v>
      </c>
      <c r="E1225" t="s">
        <v>78</v>
      </c>
      <c r="F1225" t="s">
        <v>252</v>
      </c>
      <c r="G1225">
        <v>6.1529999999999996</v>
      </c>
      <c r="H1225">
        <v>-75.406999999999996</v>
      </c>
      <c r="I1225" t="s">
        <v>110</v>
      </c>
      <c r="M1225">
        <v>197.2</v>
      </c>
      <c r="N1225">
        <v>46.3</v>
      </c>
      <c r="O1225">
        <v>28</v>
      </c>
      <c r="P1225">
        <v>36</v>
      </c>
      <c r="Q1225">
        <v>44.8</v>
      </c>
      <c r="R1225">
        <v>47.3</v>
      </c>
    </row>
    <row r="1226" spans="1:18" x14ac:dyDescent="0.25">
      <c r="A1226" t="s">
        <v>1317</v>
      </c>
      <c r="B1226" t="s">
        <v>54</v>
      </c>
      <c r="C1226" t="s">
        <v>1310</v>
      </c>
      <c r="D1226" t="s">
        <v>54</v>
      </c>
      <c r="E1226" t="s">
        <v>78</v>
      </c>
      <c r="F1226" t="s">
        <v>252</v>
      </c>
      <c r="G1226">
        <v>6.1529999999999996</v>
      </c>
      <c r="H1226">
        <v>-75.406999999999996</v>
      </c>
      <c r="I1226" t="s">
        <v>110</v>
      </c>
      <c r="M1226">
        <v>233.9</v>
      </c>
      <c r="N1226">
        <v>58.5</v>
      </c>
      <c r="O1226">
        <v>32</v>
      </c>
      <c r="P1226">
        <v>36</v>
      </c>
      <c r="Q1226">
        <v>58.6</v>
      </c>
      <c r="R1226">
        <v>52.7</v>
      </c>
    </row>
    <row r="1227" spans="1:18" x14ac:dyDescent="0.25">
      <c r="A1227" t="s">
        <v>1318</v>
      </c>
      <c r="B1227" t="s">
        <v>54</v>
      </c>
      <c r="C1227" t="s">
        <v>1310</v>
      </c>
      <c r="D1227" t="s">
        <v>54</v>
      </c>
      <c r="E1227" t="s">
        <v>78</v>
      </c>
      <c r="F1227" t="s">
        <v>252</v>
      </c>
      <c r="G1227">
        <v>6.1529999999999996</v>
      </c>
      <c r="H1227">
        <v>-75.406999999999996</v>
      </c>
      <c r="I1227" t="s">
        <v>110</v>
      </c>
      <c r="M1227">
        <v>182.7</v>
      </c>
      <c r="N1227">
        <v>41.5</v>
      </c>
      <c r="O1227">
        <v>26</v>
      </c>
      <c r="P1227">
        <v>32</v>
      </c>
      <c r="Q1227">
        <v>43.1</v>
      </c>
      <c r="R1227">
        <v>47.3</v>
      </c>
    </row>
    <row r="1228" spans="1:18" x14ac:dyDescent="0.25">
      <c r="A1228" t="s">
        <v>1319</v>
      </c>
      <c r="B1228" t="s">
        <v>54</v>
      </c>
      <c r="C1228" t="s">
        <v>1310</v>
      </c>
      <c r="D1228" t="s">
        <v>54</v>
      </c>
      <c r="E1228" t="s">
        <v>78</v>
      </c>
      <c r="F1228" t="s">
        <v>252</v>
      </c>
      <c r="G1228">
        <v>6.1529999999999996</v>
      </c>
      <c r="H1228">
        <v>-75.406999999999996</v>
      </c>
      <c r="I1228" t="s">
        <v>110</v>
      </c>
      <c r="M1228">
        <v>109.5</v>
      </c>
      <c r="N1228">
        <v>17.100000000000001</v>
      </c>
      <c r="O1228">
        <v>20</v>
      </c>
      <c r="P1228">
        <v>26</v>
      </c>
      <c r="Q1228">
        <v>17.2</v>
      </c>
      <c r="R1228">
        <v>43.6</v>
      </c>
    </row>
    <row r="1229" spans="1:18" x14ac:dyDescent="0.25">
      <c r="A1229" t="s">
        <v>1320</v>
      </c>
      <c r="B1229" t="s">
        <v>54</v>
      </c>
      <c r="C1229" t="s">
        <v>1310</v>
      </c>
      <c r="D1229" t="s">
        <v>54</v>
      </c>
      <c r="E1229" t="s">
        <v>78</v>
      </c>
      <c r="F1229" t="s">
        <v>252</v>
      </c>
      <c r="G1229">
        <v>6.1529999999999996</v>
      </c>
      <c r="H1229">
        <v>-75.406999999999996</v>
      </c>
      <c r="I1229" t="s">
        <v>80</v>
      </c>
      <c r="M1229">
        <v>272.60000000000002</v>
      </c>
      <c r="N1229">
        <v>78</v>
      </c>
      <c r="O1229">
        <v>26</v>
      </c>
      <c r="P1229">
        <v>66</v>
      </c>
      <c r="Q1229">
        <v>41.4</v>
      </c>
      <c r="R1229">
        <v>74.5</v>
      </c>
    </row>
    <row r="1230" spans="1:18" x14ac:dyDescent="0.25">
      <c r="A1230" t="s">
        <v>1321</v>
      </c>
      <c r="B1230" t="s">
        <v>54</v>
      </c>
      <c r="C1230" t="s">
        <v>1310</v>
      </c>
      <c r="D1230" t="s">
        <v>54</v>
      </c>
      <c r="E1230" t="s">
        <v>78</v>
      </c>
      <c r="F1230" t="s">
        <v>252</v>
      </c>
      <c r="G1230">
        <v>6.1529999999999996</v>
      </c>
      <c r="H1230">
        <v>-75.406999999999996</v>
      </c>
      <c r="I1230" t="s">
        <v>110</v>
      </c>
      <c r="M1230">
        <v>190</v>
      </c>
      <c r="N1230">
        <v>53.7</v>
      </c>
      <c r="O1230">
        <v>22</v>
      </c>
      <c r="P1230">
        <v>40</v>
      </c>
      <c r="Q1230">
        <v>34.5</v>
      </c>
      <c r="R1230">
        <v>43.6</v>
      </c>
    </row>
    <row r="1231" spans="1:18" x14ac:dyDescent="0.25">
      <c r="A1231" t="s">
        <v>1322</v>
      </c>
      <c r="B1231" t="s">
        <v>54</v>
      </c>
      <c r="C1231" t="s">
        <v>1310</v>
      </c>
      <c r="D1231" t="s">
        <v>54</v>
      </c>
      <c r="E1231" t="s">
        <v>78</v>
      </c>
      <c r="F1231" t="s">
        <v>252</v>
      </c>
      <c r="G1231">
        <v>6.1529999999999996</v>
      </c>
      <c r="H1231">
        <v>-75.406999999999996</v>
      </c>
      <c r="I1231" t="s">
        <v>80</v>
      </c>
      <c r="M1231">
        <v>164.9</v>
      </c>
      <c r="N1231">
        <v>43.9</v>
      </c>
      <c r="O1231">
        <v>34</v>
      </c>
      <c r="P1231">
        <v>16</v>
      </c>
      <c r="Q1231">
        <v>34.5</v>
      </c>
      <c r="R1231">
        <v>43.6</v>
      </c>
    </row>
    <row r="1232" spans="1:18" x14ac:dyDescent="0.25">
      <c r="A1232" t="s">
        <v>1323</v>
      </c>
      <c r="B1232" t="s">
        <v>54</v>
      </c>
      <c r="C1232" t="s">
        <v>1310</v>
      </c>
      <c r="D1232" t="s">
        <v>54</v>
      </c>
      <c r="E1232" t="s">
        <v>78</v>
      </c>
      <c r="F1232" t="s">
        <v>252</v>
      </c>
      <c r="G1232">
        <v>6.1529999999999996</v>
      </c>
      <c r="H1232">
        <v>-75.406999999999996</v>
      </c>
      <c r="I1232" t="s">
        <v>80</v>
      </c>
      <c r="M1232">
        <v>171.4</v>
      </c>
      <c r="N1232">
        <v>48.8</v>
      </c>
      <c r="O1232">
        <v>26</v>
      </c>
      <c r="P1232">
        <v>22</v>
      </c>
      <c r="Q1232">
        <v>39.700000000000003</v>
      </c>
      <c r="R1232">
        <v>36.4</v>
      </c>
    </row>
    <row r="1233" spans="1:18" x14ac:dyDescent="0.25">
      <c r="A1233" t="s">
        <v>1324</v>
      </c>
      <c r="B1233" t="s">
        <v>54</v>
      </c>
      <c r="C1233" t="s">
        <v>1310</v>
      </c>
      <c r="D1233" t="s">
        <v>54</v>
      </c>
      <c r="E1233" t="s">
        <v>78</v>
      </c>
      <c r="F1233" t="s">
        <v>252</v>
      </c>
      <c r="G1233">
        <v>6.1529999999999996</v>
      </c>
      <c r="H1233">
        <v>-75.406999999999996</v>
      </c>
      <c r="I1233" t="s">
        <v>80</v>
      </c>
      <c r="M1233">
        <v>303.10000000000002</v>
      </c>
      <c r="N1233">
        <v>80.5</v>
      </c>
      <c r="O1233">
        <v>44</v>
      </c>
      <c r="P1233">
        <v>60</v>
      </c>
      <c r="Q1233">
        <v>55.2</v>
      </c>
      <c r="R1233">
        <v>69.099999999999994</v>
      </c>
    </row>
    <row r="1234" spans="1:18" x14ac:dyDescent="0.25">
      <c r="A1234" t="s">
        <v>1325</v>
      </c>
      <c r="B1234" t="s">
        <v>54</v>
      </c>
      <c r="C1234" t="s">
        <v>1310</v>
      </c>
      <c r="D1234" t="s">
        <v>54</v>
      </c>
      <c r="E1234" t="s">
        <v>78</v>
      </c>
      <c r="F1234" t="s">
        <v>252</v>
      </c>
      <c r="G1234">
        <v>6.1529999999999996</v>
      </c>
      <c r="H1234">
        <v>-75.406999999999996</v>
      </c>
      <c r="I1234" t="s">
        <v>80</v>
      </c>
      <c r="M1234">
        <v>203.3</v>
      </c>
      <c r="N1234">
        <v>36.6</v>
      </c>
      <c r="O1234">
        <v>32</v>
      </c>
      <c r="P1234">
        <v>36</v>
      </c>
      <c r="Q1234">
        <v>53.4</v>
      </c>
      <c r="R1234">
        <v>54.5</v>
      </c>
    </row>
    <row r="1235" spans="1:18" x14ac:dyDescent="0.25">
      <c r="A1235" t="s">
        <v>1326</v>
      </c>
      <c r="B1235" t="s">
        <v>54</v>
      </c>
      <c r="C1235" t="s">
        <v>1310</v>
      </c>
      <c r="D1235" t="s">
        <v>54</v>
      </c>
      <c r="E1235" t="s">
        <v>78</v>
      </c>
      <c r="F1235" t="s">
        <v>252</v>
      </c>
      <c r="G1235">
        <v>6.1529999999999996</v>
      </c>
      <c r="H1235">
        <v>-75.406999999999996</v>
      </c>
      <c r="I1235" t="s">
        <v>80</v>
      </c>
      <c r="M1235">
        <v>123.8</v>
      </c>
      <c r="N1235">
        <v>61</v>
      </c>
      <c r="O1235">
        <v>10</v>
      </c>
      <c r="P1235">
        <v>26</v>
      </c>
      <c r="Q1235">
        <v>10.3</v>
      </c>
      <c r="R1235">
        <v>0</v>
      </c>
    </row>
    <row r="1236" spans="1:18" x14ac:dyDescent="0.25">
      <c r="A1236" t="s">
        <v>1327</v>
      </c>
      <c r="B1236" t="s">
        <v>54</v>
      </c>
      <c r="C1236" t="s">
        <v>1310</v>
      </c>
      <c r="D1236" t="s">
        <v>54</v>
      </c>
      <c r="E1236" t="s">
        <v>78</v>
      </c>
      <c r="F1236" t="s">
        <v>252</v>
      </c>
      <c r="G1236">
        <v>6.1529999999999996</v>
      </c>
      <c r="H1236">
        <v>-75.406999999999996</v>
      </c>
      <c r="I1236" t="s">
        <v>80</v>
      </c>
      <c r="M1236">
        <v>242.8</v>
      </c>
      <c r="N1236">
        <v>75.599999999999994</v>
      </c>
      <c r="O1236">
        <v>32</v>
      </c>
      <c r="P1236">
        <v>48</v>
      </c>
      <c r="Q1236">
        <v>39.700000000000003</v>
      </c>
      <c r="R1236">
        <v>45.5</v>
      </c>
    </row>
    <row r="1237" spans="1:18" x14ac:dyDescent="0.25">
      <c r="A1237" t="s">
        <v>1328</v>
      </c>
      <c r="B1237" t="s">
        <v>54</v>
      </c>
      <c r="C1237" t="s">
        <v>1310</v>
      </c>
      <c r="D1237" t="s">
        <v>54</v>
      </c>
      <c r="E1237" t="s">
        <v>78</v>
      </c>
      <c r="F1237" t="s">
        <v>252</v>
      </c>
      <c r="G1237">
        <v>6.1529999999999996</v>
      </c>
      <c r="H1237">
        <v>-75.406999999999996</v>
      </c>
      <c r="I1237" t="s">
        <v>80</v>
      </c>
      <c r="M1237">
        <v>150</v>
      </c>
      <c r="N1237">
        <v>31.7</v>
      </c>
      <c r="O1237">
        <v>28</v>
      </c>
      <c r="P1237">
        <v>34</v>
      </c>
      <c r="Q1237">
        <v>24.1</v>
      </c>
      <c r="R1237">
        <v>36.4</v>
      </c>
    </row>
    <row r="1238" spans="1:18" x14ac:dyDescent="0.25">
      <c r="A1238" t="s">
        <v>1329</v>
      </c>
      <c r="B1238" t="s">
        <v>54</v>
      </c>
      <c r="C1238" t="s">
        <v>1310</v>
      </c>
      <c r="D1238" t="s">
        <v>54</v>
      </c>
      <c r="E1238" t="s">
        <v>78</v>
      </c>
      <c r="F1238" t="s">
        <v>252</v>
      </c>
      <c r="G1238">
        <v>6.1529999999999996</v>
      </c>
      <c r="H1238">
        <v>-75.406999999999996</v>
      </c>
      <c r="I1238" t="s">
        <v>80</v>
      </c>
      <c r="M1238">
        <v>311.89999999999998</v>
      </c>
      <c r="N1238">
        <v>70.7</v>
      </c>
      <c r="O1238">
        <v>48</v>
      </c>
      <c r="P1238">
        <v>76</v>
      </c>
      <c r="Q1238">
        <v>58.6</v>
      </c>
      <c r="R1238">
        <v>50.9</v>
      </c>
    </row>
    <row r="1239" spans="1:18" x14ac:dyDescent="0.25">
      <c r="A1239" t="s">
        <v>1330</v>
      </c>
      <c r="B1239" t="s">
        <v>54</v>
      </c>
      <c r="C1239" t="s">
        <v>1310</v>
      </c>
      <c r="D1239" t="s">
        <v>54</v>
      </c>
      <c r="E1239" t="s">
        <v>78</v>
      </c>
      <c r="F1239" t="s">
        <v>252</v>
      </c>
      <c r="G1239">
        <v>6.1529999999999996</v>
      </c>
      <c r="H1239">
        <v>-75.406999999999996</v>
      </c>
      <c r="I1239" t="s">
        <v>80</v>
      </c>
      <c r="M1239">
        <v>176.8</v>
      </c>
      <c r="N1239">
        <v>41.5</v>
      </c>
      <c r="O1239">
        <v>22</v>
      </c>
      <c r="P1239">
        <v>42</v>
      </c>
      <c r="Q1239">
        <v>36.200000000000003</v>
      </c>
      <c r="R1239">
        <v>34.5</v>
      </c>
    </row>
    <row r="1240" spans="1:18" x14ac:dyDescent="0.25">
      <c r="A1240" t="s">
        <v>1331</v>
      </c>
      <c r="B1240" t="s">
        <v>54</v>
      </c>
      <c r="C1240" t="s">
        <v>1310</v>
      </c>
      <c r="D1240" t="s">
        <v>54</v>
      </c>
      <c r="E1240" t="s">
        <v>78</v>
      </c>
      <c r="F1240" t="s">
        <v>252</v>
      </c>
      <c r="G1240">
        <v>6.1529999999999996</v>
      </c>
      <c r="H1240">
        <v>-75.406999999999996</v>
      </c>
      <c r="I1240" t="s">
        <v>80</v>
      </c>
      <c r="M1240">
        <v>208.4</v>
      </c>
      <c r="N1240">
        <v>61</v>
      </c>
      <c r="O1240">
        <v>44</v>
      </c>
      <c r="P1240">
        <v>18</v>
      </c>
      <c r="Q1240">
        <v>32.799999999999997</v>
      </c>
      <c r="R1240">
        <v>74.5</v>
      </c>
    </row>
    <row r="1241" spans="1:18" x14ac:dyDescent="0.25">
      <c r="A1241" t="s">
        <v>1332</v>
      </c>
      <c r="B1241" t="s">
        <v>54</v>
      </c>
      <c r="C1241" t="s">
        <v>1310</v>
      </c>
      <c r="D1241" t="s">
        <v>54</v>
      </c>
      <c r="E1241" t="s">
        <v>78</v>
      </c>
      <c r="F1241" t="s">
        <v>252</v>
      </c>
      <c r="G1241">
        <v>6.1529999999999996</v>
      </c>
      <c r="H1241">
        <v>-75.406999999999996</v>
      </c>
      <c r="I1241" t="s">
        <v>110</v>
      </c>
      <c r="M1241">
        <v>199.2</v>
      </c>
      <c r="N1241">
        <v>51.2</v>
      </c>
      <c r="O1241">
        <v>36</v>
      </c>
      <c r="P1241">
        <v>44</v>
      </c>
      <c r="Q1241">
        <v>29.3</v>
      </c>
      <c r="R1241">
        <v>36.4</v>
      </c>
    </row>
    <row r="1242" spans="1:18" x14ac:dyDescent="0.25">
      <c r="A1242" t="s">
        <v>1333</v>
      </c>
      <c r="B1242" t="s">
        <v>54</v>
      </c>
      <c r="C1242" t="s">
        <v>1310</v>
      </c>
      <c r="D1242" t="s">
        <v>54</v>
      </c>
      <c r="E1242" t="s">
        <v>78</v>
      </c>
      <c r="F1242" t="s">
        <v>252</v>
      </c>
      <c r="G1242">
        <v>6.1529999999999996</v>
      </c>
      <c r="H1242">
        <v>-75.406999999999996</v>
      </c>
      <c r="I1242" t="s">
        <v>80</v>
      </c>
      <c r="M1242">
        <v>224.3</v>
      </c>
      <c r="N1242">
        <v>70.7</v>
      </c>
      <c r="O1242">
        <v>44</v>
      </c>
      <c r="P1242">
        <v>26</v>
      </c>
      <c r="Q1242">
        <v>27.6</v>
      </c>
      <c r="R1242">
        <v>78.2</v>
      </c>
    </row>
    <row r="1243" spans="1:18" x14ac:dyDescent="0.25">
      <c r="A1243" t="s">
        <v>1334</v>
      </c>
      <c r="B1243" t="s">
        <v>54</v>
      </c>
      <c r="C1243" t="s">
        <v>1310</v>
      </c>
      <c r="D1243" t="s">
        <v>54</v>
      </c>
      <c r="E1243" t="s">
        <v>78</v>
      </c>
      <c r="F1243" t="s">
        <v>252</v>
      </c>
      <c r="G1243">
        <v>6.1529999999999996</v>
      </c>
      <c r="H1243">
        <v>-75.406999999999996</v>
      </c>
      <c r="I1243" t="s">
        <v>80</v>
      </c>
      <c r="M1243">
        <v>287.10000000000002</v>
      </c>
      <c r="N1243">
        <v>70.7</v>
      </c>
      <c r="O1243">
        <v>32</v>
      </c>
      <c r="P1243">
        <v>66</v>
      </c>
      <c r="Q1243">
        <v>53.4</v>
      </c>
      <c r="R1243">
        <v>80</v>
      </c>
    </row>
    <row r="1244" spans="1:18" x14ac:dyDescent="0.25">
      <c r="A1244" t="s">
        <v>1335</v>
      </c>
      <c r="B1244" t="s">
        <v>54</v>
      </c>
      <c r="C1244" t="s">
        <v>1310</v>
      </c>
      <c r="D1244" t="s">
        <v>54</v>
      </c>
      <c r="E1244" t="s">
        <v>78</v>
      </c>
      <c r="F1244" t="s">
        <v>252</v>
      </c>
      <c r="G1244">
        <v>6.1529999999999996</v>
      </c>
      <c r="H1244">
        <v>-75.406999999999996</v>
      </c>
      <c r="I1244" t="s">
        <v>80</v>
      </c>
      <c r="M1244">
        <v>265.8</v>
      </c>
      <c r="N1244">
        <v>61</v>
      </c>
      <c r="O1244">
        <v>44</v>
      </c>
      <c r="P1244">
        <v>52</v>
      </c>
      <c r="Q1244">
        <v>55.2</v>
      </c>
      <c r="R1244">
        <v>54.5</v>
      </c>
    </row>
    <row r="1245" spans="1:18" x14ac:dyDescent="0.25">
      <c r="A1245" t="s">
        <v>1336</v>
      </c>
      <c r="B1245" t="s">
        <v>54</v>
      </c>
      <c r="C1245" t="s">
        <v>1310</v>
      </c>
      <c r="D1245" t="s">
        <v>54</v>
      </c>
      <c r="E1245" t="s">
        <v>78</v>
      </c>
      <c r="F1245" t="s">
        <v>252</v>
      </c>
      <c r="G1245">
        <v>6.1529999999999996</v>
      </c>
      <c r="H1245">
        <v>-75.406999999999996</v>
      </c>
      <c r="I1245" t="s">
        <v>80</v>
      </c>
      <c r="M1245">
        <v>166.7</v>
      </c>
      <c r="N1245">
        <v>34.1</v>
      </c>
      <c r="O1245">
        <v>30</v>
      </c>
      <c r="P1245">
        <v>32</v>
      </c>
      <c r="Q1245">
        <v>36.200000000000003</v>
      </c>
      <c r="R1245">
        <v>36.4</v>
      </c>
    </row>
    <row r="1246" spans="1:18" x14ac:dyDescent="0.25">
      <c r="A1246" t="s">
        <v>1337</v>
      </c>
      <c r="B1246" t="s">
        <v>54</v>
      </c>
      <c r="C1246" t="s">
        <v>1310</v>
      </c>
      <c r="D1246" t="s">
        <v>54</v>
      </c>
      <c r="E1246" t="s">
        <v>78</v>
      </c>
      <c r="F1246" t="s">
        <v>252</v>
      </c>
      <c r="G1246">
        <v>6.1529999999999996</v>
      </c>
      <c r="H1246">
        <v>-75.406999999999996</v>
      </c>
      <c r="I1246" t="s">
        <v>80</v>
      </c>
      <c r="M1246">
        <v>190.5</v>
      </c>
      <c r="N1246">
        <v>53.7</v>
      </c>
      <c r="O1246">
        <v>26</v>
      </c>
      <c r="P1246">
        <v>34</v>
      </c>
      <c r="Q1246">
        <v>34.5</v>
      </c>
      <c r="R1246">
        <v>50.9</v>
      </c>
    </row>
    <row r="1247" spans="1:18" x14ac:dyDescent="0.25">
      <c r="A1247" t="s">
        <v>1338</v>
      </c>
      <c r="B1247" t="s">
        <v>54</v>
      </c>
      <c r="C1247" t="s">
        <v>1310</v>
      </c>
      <c r="D1247" t="s">
        <v>54</v>
      </c>
      <c r="E1247" t="s">
        <v>78</v>
      </c>
      <c r="F1247" t="s">
        <v>252</v>
      </c>
      <c r="G1247">
        <v>6.1529999999999996</v>
      </c>
      <c r="H1247">
        <v>-75.406999999999996</v>
      </c>
      <c r="I1247" t="s">
        <v>80</v>
      </c>
      <c r="M1247">
        <v>218.7</v>
      </c>
      <c r="N1247">
        <v>51.2</v>
      </c>
      <c r="O1247">
        <v>28</v>
      </c>
      <c r="P1247">
        <v>52</v>
      </c>
      <c r="Q1247">
        <v>41.4</v>
      </c>
      <c r="R1247">
        <v>50.9</v>
      </c>
    </row>
    <row r="1248" spans="1:18" x14ac:dyDescent="0.25">
      <c r="A1248" t="s">
        <v>1339</v>
      </c>
      <c r="B1248" t="s">
        <v>54</v>
      </c>
      <c r="C1248" t="s">
        <v>1310</v>
      </c>
      <c r="D1248" t="s">
        <v>54</v>
      </c>
      <c r="E1248" t="s">
        <v>78</v>
      </c>
      <c r="F1248" t="s">
        <v>252</v>
      </c>
      <c r="G1248">
        <v>6.1529999999999996</v>
      </c>
      <c r="H1248">
        <v>-75.406999999999996</v>
      </c>
      <c r="I1248" t="s">
        <v>80</v>
      </c>
      <c r="M1248">
        <v>197.1</v>
      </c>
      <c r="N1248">
        <v>51.2</v>
      </c>
      <c r="O1248">
        <v>32</v>
      </c>
      <c r="P1248">
        <v>48</v>
      </c>
      <c r="Q1248">
        <v>29.3</v>
      </c>
      <c r="R1248">
        <v>30.9</v>
      </c>
    </row>
    <row r="1249" spans="1:18" x14ac:dyDescent="0.25">
      <c r="A1249" t="s">
        <v>1340</v>
      </c>
      <c r="B1249" t="s">
        <v>54</v>
      </c>
      <c r="C1249" t="s">
        <v>1310</v>
      </c>
      <c r="D1249" t="s">
        <v>54</v>
      </c>
      <c r="E1249" t="s">
        <v>78</v>
      </c>
      <c r="F1249" t="s">
        <v>252</v>
      </c>
      <c r="G1249">
        <v>6.1529999999999996</v>
      </c>
      <c r="H1249">
        <v>-75.406999999999996</v>
      </c>
      <c r="I1249" t="s">
        <v>80</v>
      </c>
      <c r="M1249">
        <v>322.39999999999998</v>
      </c>
      <c r="N1249">
        <v>73.2</v>
      </c>
      <c r="O1249">
        <v>36</v>
      </c>
      <c r="P1249">
        <v>86</v>
      </c>
      <c r="Q1249">
        <v>55.2</v>
      </c>
      <c r="R1249">
        <v>87.3</v>
      </c>
    </row>
    <row r="1250" spans="1:18" x14ac:dyDescent="0.25">
      <c r="A1250" t="s">
        <v>1341</v>
      </c>
      <c r="B1250" t="s">
        <v>54</v>
      </c>
      <c r="C1250" t="s">
        <v>1310</v>
      </c>
      <c r="D1250" t="s">
        <v>54</v>
      </c>
      <c r="E1250" t="s">
        <v>78</v>
      </c>
      <c r="F1250" t="s">
        <v>252</v>
      </c>
      <c r="G1250">
        <v>6.1529999999999996</v>
      </c>
      <c r="H1250">
        <v>-75.406999999999996</v>
      </c>
      <c r="I1250" t="s">
        <v>80</v>
      </c>
      <c r="M1250">
        <v>232.8</v>
      </c>
      <c r="N1250">
        <v>56.1</v>
      </c>
      <c r="O1250">
        <v>42</v>
      </c>
      <c r="P1250">
        <v>36</v>
      </c>
      <c r="Q1250">
        <v>48.3</v>
      </c>
      <c r="R1250">
        <v>58.2</v>
      </c>
    </row>
    <row r="1251" spans="1:18" x14ac:dyDescent="0.25">
      <c r="A1251" t="s">
        <v>1342</v>
      </c>
      <c r="B1251" t="s">
        <v>54</v>
      </c>
      <c r="C1251" t="s">
        <v>1310</v>
      </c>
      <c r="D1251" t="s">
        <v>54</v>
      </c>
      <c r="E1251" t="s">
        <v>78</v>
      </c>
      <c r="F1251" t="s">
        <v>252</v>
      </c>
      <c r="G1251">
        <v>6.1529999999999996</v>
      </c>
      <c r="H1251">
        <v>-75.406999999999996</v>
      </c>
      <c r="I1251" t="s">
        <v>80</v>
      </c>
      <c r="M1251">
        <v>206.9</v>
      </c>
      <c r="N1251">
        <v>63.4</v>
      </c>
      <c r="O1251">
        <v>32</v>
      </c>
      <c r="P1251">
        <v>34</v>
      </c>
      <c r="Q1251">
        <v>29.3</v>
      </c>
      <c r="R1251">
        <v>61.8</v>
      </c>
    </row>
    <row r="1252" spans="1:18" x14ac:dyDescent="0.25">
      <c r="A1252" t="s">
        <v>1343</v>
      </c>
      <c r="B1252" t="s">
        <v>54</v>
      </c>
      <c r="C1252" t="s">
        <v>1310</v>
      </c>
      <c r="D1252" t="s">
        <v>54</v>
      </c>
      <c r="E1252" t="s">
        <v>78</v>
      </c>
      <c r="F1252" t="s">
        <v>252</v>
      </c>
      <c r="G1252">
        <v>6.1529999999999996</v>
      </c>
      <c r="H1252">
        <v>-75.406999999999996</v>
      </c>
      <c r="I1252" t="s">
        <v>110</v>
      </c>
      <c r="M1252">
        <v>154.9</v>
      </c>
      <c r="N1252">
        <v>34.1</v>
      </c>
      <c r="O1252">
        <v>24</v>
      </c>
      <c r="P1252">
        <v>28</v>
      </c>
      <c r="Q1252">
        <v>39.700000000000003</v>
      </c>
      <c r="R1252">
        <v>25.5</v>
      </c>
    </row>
    <row r="1253" spans="1:18" x14ac:dyDescent="0.25">
      <c r="A1253" t="s">
        <v>1344</v>
      </c>
      <c r="B1253" t="s">
        <v>54</v>
      </c>
      <c r="C1253" t="s">
        <v>1310</v>
      </c>
      <c r="D1253" t="s">
        <v>54</v>
      </c>
      <c r="E1253" t="s">
        <v>78</v>
      </c>
      <c r="F1253" t="s">
        <v>252</v>
      </c>
      <c r="G1253">
        <v>6.1529999999999996</v>
      </c>
      <c r="H1253">
        <v>-75.406999999999996</v>
      </c>
      <c r="I1253" t="s">
        <v>80</v>
      </c>
      <c r="M1253">
        <v>161.5</v>
      </c>
      <c r="N1253">
        <v>31.7</v>
      </c>
      <c r="O1253">
        <v>26</v>
      </c>
      <c r="P1253">
        <v>30</v>
      </c>
      <c r="Q1253">
        <v>31</v>
      </c>
      <c r="R1253">
        <v>63.6</v>
      </c>
    </row>
    <row r="1254" spans="1:18" x14ac:dyDescent="0.25">
      <c r="A1254" t="s">
        <v>1345</v>
      </c>
      <c r="B1254" t="s">
        <v>54</v>
      </c>
      <c r="C1254" t="s">
        <v>1310</v>
      </c>
      <c r="D1254" t="s">
        <v>54</v>
      </c>
      <c r="E1254" t="s">
        <v>78</v>
      </c>
      <c r="F1254" t="s">
        <v>252</v>
      </c>
      <c r="G1254">
        <v>6.1529999999999996</v>
      </c>
      <c r="H1254">
        <v>-75.406999999999996</v>
      </c>
      <c r="I1254" t="s">
        <v>80</v>
      </c>
      <c r="M1254">
        <v>197.4</v>
      </c>
      <c r="N1254">
        <v>53.7</v>
      </c>
      <c r="O1254">
        <v>32</v>
      </c>
      <c r="P1254">
        <v>42</v>
      </c>
      <c r="Q1254">
        <v>25.9</v>
      </c>
      <c r="R1254">
        <v>52.7</v>
      </c>
    </row>
    <row r="1255" spans="1:18" x14ac:dyDescent="0.25">
      <c r="A1255" t="s">
        <v>1346</v>
      </c>
      <c r="B1255" t="s">
        <v>54</v>
      </c>
      <c r="C1255" t="s">
        <v>1310</v>
      </c>
      <c r="D1255" t="s">
        <v>54</v>
      </c>
      <c r="E1255" t="s">
        <v>78</v>
      </c>
      <c r="F1255" t="s">
        <v>252</v>
      </c>
      <c r="G1255">
        <v>6.1529999999999996</v>
      </c>
      <c r="H1255">
        <v>-75.406999999999996</v>
      </c>
      <c r="I1255" t="s">
        <v>80</v>
      </c>
      <c r="M1255">
        <v>129</v>
      </c>
      <c r="N1255">
        <v>31.7</v>
      </c>
      <c r="O1255">
        <v>24</v>
      </c>
      <c r="P1255">
        <v>16</v>
      </c>
      <c r="Q1255">
        <v>31</v>
      </c>
      <c r="R1255">
        <v>27.3</v>
      </c>
    </row>
    <row r="1256" spans="1:18" x14ac:dyDescent="0.25">
      <c r="A1256" t="s">
        <v>1347</v>
      </c>
      <c r="B1256" t="s">
        <v>54</v>
      </c>
      <c r="C1256" t="s">
        <v>1310</v>
      </c>
      <c r="D1256" t="s">
        <v>54</v>
      </c>
      <c r="E1256" t="s">
        <v>78</v>
      </c>
      <c r="F1256" t="s">
        <v>252</v>
      </c>
      <c r="G1256">
        <v>6.1529999999999996</v>
      </c>
      <c r="H1256">
        <v>-75.406999999999996</v>
      </c>
      <c r="I1256" t="s">
        <v>110</v>
      </c>
      <c r="M1256">
        <v>152.30000000000001</v>
      </c>
      <c r="N1256">
        <v>22</v>
      </c>
      <c r="O1256">
        <v>34</v>
      </c>
      <c r="P1256">
        <v>34</v>
      </c>
      <c r="Q1256">
        <v>29.3</v>
      </c>
      <c r="R1256">
        <v>38.200000000000003</v>
      </c>
    </row>
    <row r="1257" spans="1:18" x14ac:dyDescent="0.25">
      <c r="A1257" t="s">
        <v>1348</v>
      </c>
      <c r="B1257" t="s">
        <v>54</v>
      </c>
      <c r="C1257" t="s">
        <v>1310</v>
      </c>
      <c r="D1257" t="s">
        <v>54</v>
      </c>
      <c r="E1257" t="s">
        <v>78</v>
      </c>
      <c r="F1257" t="s">
        <v>252</v>
      </c>
      <c r="G1257">
        <v>6.1529999999999996</v>
      </c>
      <c r="H1257">
        <v>-75.406999999999996</v>
      </c>
      <c r="I1257" t="s">
        <v>110</v>
      </c>
      <c r="M1257">
        <v>210.6</v>
      </c>
      <c r="N1257">
        <v>39</v>
      </c>
      <c r="O1257">
        <v>38</v>
      </c>
      <c r="P1257">
        <v>42</v>
      </c>
      <c r="Q1257">
        <v>46.6</v>
      </c>
      <c r="R1257">
        <v>50.9</v>
      </c>
    </row>
    <row r="1258" spans="1:18" x14ac:dyDescent="0.25">
      <c r="A1258" t="s">
        <v>1349</v>
      </c>
      <c r="B1258" t="s">
        <v>54</v>
      </c>
      <c r="C1258" t="s">
        <v>1310</v>
      </c>
      <c r="D1258" t="s">
        <v>54</v>
      </c>
      <c r="E1258" t="s">
        <v>78</v>
      </c>
      <c r="F1258" t="s">
        <v>252</v>
      </c>
      <c r="G1258">
        <v>6.1529999999999996</v>
      </c>
      <c r="H1258">
        <v>-75.406999999999996</v>
      </c>
      <c r="I1258" t="s">
        <v>110</v>
      </c>
      <c r="M1258">
        <v>194.4</v>
      </c>
      <c r="N1258">
        <v>43.9</v>
      </c>
      <c r="O1258">
        <v>36</v>
      </c>
      <c r="P1258">
        <v>34</v>
      </c>
      <c r="Q1258">
        <v>43.1</v>
      </c>
      <c r="R1258">
        <v>34.5</v>
      </c>
    </row>
    <row r="1259" spans="1:18" x14ac:dyDescent="0.25">
      <c r="A1259" t="s">
        <v>1350</v>
      </c>
      <c r="B1259" t="s">
        <v>54</v>
      </c>
      <c r="C1259" t="s">
        <v>1310</v>
      </c>
      <c r="D1259" t="s">
        <v>54</v>
      </c>
      <c r="E1259" t="s">
        <v>78</v>
      </c>
      <c r="F1259" t="s">
        <v>252</v>
      </c>
      <c r="G1259">
        <v>6.1529999999999996</v>
      </c>
      <c r="H1259">
        <v>-75.406999999999996</v>
      </c>
      <c r="I1259" t="s">
        <v>110</v>
      </c>
      <c r="M1259">
        <v>235.9</v>
      </c>
      <c r="N1259">
        <v>58.5</v>
      </c>
      <c r="O1259">
        <v>28</v>
      </c>
      <c r="P1259">
        <v>50</v>
      </c>
      <c r="Q1259">
        <v>43.1</v>
      </c>
      <c r="R1259">
        <v>74.5</v>
      </c>
    </row>
    <row r="1260" spans="1:18" x14ac:dyDescent="0.25">
      <c r="A1260" t="s">
        <v>1351</v>
      </c>
      <c r="B1260" t="s">
        <v>54</v>
      </c>
      <c r="C1260" t="s">
        <v>1352</v>
      </c>
      <c r="D1260" t="s">
        <v>54</v>
      </c>
      <c r="E1260" t="s">
        <v>78</v>
      </c>
      <c r="F1260" t="s">
        <v>252</v>
      </c>
      <c r="G1260">
        <v>6.1180000000000003</v>
      </c>
      <c r="H1260">
        <v>-75.445999999999998</v>
      </c>
      <c r="I1260" t="s">
        <v>80</v>
      </c>
      <c r="M1260">
        <v>133.6</v>
      </c>
      <c r="N1260">
        <v>68.3</v>
      </c>
      <c r="O1260">
        <v>16</v>
      </c>
      <c r="P1260">
        <v>16</v>
      </c>
      <c r="Q1260">
        <v>15.5</v>
      </c>
      <c r="R1260">
        <v>0</v>
      </c>
    </row>
    <row r="1261" spans="1:18" x14ac:dyDescent="0.25">
      <c r="A1261" t="s">
        <v>1353</v>
      </c>
      <c r="B1261" t="s">
        <v>54</v>
      </c>
      <c r="C1261" t="s">
        <v>1352</v>
      </c>
      <c r="D1261" t="s">
        <v>54</v>
      </c>
      <c r="E1261" t="s">
        <v>78</v>
      </c>
      <c r="F1261" t="s">
        <v>252</v>
      </c>
      <c r="G1261">
        <v>6.1180000000000003</v>
      </c>
      <c r="H1261">
        <v>-75.445999999999998</v>
      </c>
      <c r="I1261" t="s">
        <v>80</v>
      </c>
      <c r="M1261">
        <v>176.7</v>
      </c>
      <c r="N1261">
        <v>65.900000000000006</v>
      </c>
      <c r="O1261">
        <v>34</v>
      </c>
      <c r="P1261">
        <v>24</v>
      </c>
      <c r="Q1261">
        <v>29.3</v>
      </c>
      <c r="R1261">
        <v>0</v>
      </c>
    </row>
    <row r="1262" spans="1:18" x14ac:dyDescent="0.25">
      <c r="A1262" t="s">
        <v>1354</v>
      </c>
      <c r="B1262" t="s">
        <v>54</v>
      </c>
      <c r="C1262" t="s">
        <v>1352</v>
      </c>
      <c r="D1262" t="s">
        <v>54</v>
      </c>
      <c r="E1262" t="s">
        <v>78</v>
      </c>
      <c r="F1262" t="s">
        <v>252</v>
      </c>
      <c r="G1262">
        <v>6.1180000000000003</v>
      </c>
      <c r="H1262">
        <v>-75.445999999999998</v>
      </c>
      <c r="I1262" t="s">
        <v>80</v>
      </c>
      <c r="M1262">
        <v>114</v>
      </c>
      <c r="N1262">
        <v>34.1</v>
      </c>
      <c r="O1262">
        <v>22</v>
      </c>
      <c r="P1262">
        <v>22</v>
      </c>
      <c r="Q1262">
        <v>20.7</v>
      </c>
      <c r="R1262">
        <v>0</v>
      </c>
    </row>
    <row r="1263" spans="1:18" x14ac:dyDescent="0.25">
      <c r="A1263" t="s">
        <v>1355</v>
      </c>
      <c r="B1263" t="s">
        <v>54</v>
      </c>
      <c r="C1263" t="s">
        <v>1352</v>
      </c>
      <c r="D1263" t="s">
        <v>54</v>
      </c>
      <c r="E1263" t="s">
        <v>78</v>
      </c>
      <c r="F1263" t="s">
        <v>252</v>
      </c>
      <c r="G1263">
        <v>6.1180000000000003</v>
      </c>
      <c r="H1263">
        <v>-75.445999999999998</v>
      </c>
      <c r="I1263" t="s">
        <v>80</v>
      </c>
      <c r="M1263">
        <v>189.8</v>
      </c>
      <c r="N1263">
        <v>73.2</v>
      </c>
      <c r="O1263">
        <v>24</v>
      </c>
      <c r="P1263">
        <v>38</v>
      </c>
      <c r="Q1263">
        <v>29.3</v>
      </c>
      <c r="R1263">
        <v>0</v>
      </c>
    </row>
    <row r="1264" spans="1:18" x14ac:dyDescent="0.25">
      <c r="A1264" t="s">
        <v>1356</v>
      </c>
      <c r="B1264" t="s">
        <v>54</v>
      </c>
      <c r="C1264" t="s">
        <v>1352</v>
      </c>
      <c r="D1264" t="s">
        <v>54</v>
      </c>
      <c r="E1264" t="s">
        <v>78</v>
      </c>
      <c r="F1264" t="s">
        <v>252</v>
      </c>
      <c r="G1264">
        <v>6.1180000000000003</v>
      </c>
      <c r="H1264">
        <v>-75.445999999999998</v>
      </c>
      <c r="I1264" t="s">
        <v>80</v>
      </c>
      <c r="M1264">
        <v>173.4</v>
      </c>
      <c r="N1264">
        <v>65.900000000000006</v>
      </c>
      <c r="O1264">
        <v>26</v>
      </c>
      <c r="P1264">
        <v>36</v>
      </c>
      <c r="Q1264">
        <v>22.4</v>
      </c>
      <c r="R1264">
        <v>0</v>
      </c>
    </row>
    <row r="1265" spans="1:18" x14ac:dyDescent="0.25">
      <c r="A1265" t="s">
        <v>1357</v>
      </c>
      <c r="B1265" t="s">
        <v>54</v>
      </c>
      <c r="C1265" t="s">
        <v>1352</v>
      </c>
      <c r="D1265" t="s">
        <v>54</v>
      </c>
      <c r="E1265" t="s">
        <v>78</v>
      </c>
      <c r="F1265" t="s">
        <v>252</v>
      </c>
      <c r="G1265">
        <v>6.1180000000000003</v>
      </c>
      <c r="H1265">
        <v>-75.445999999999998</v>
      </c>
      <c r="I1265" t="s">
        <v>80</v>
      </c>
      <c r="M1265">
        <v>157.69999999999999</v>
      </c>
      <c r="N1265">
        <v>73.2</v>
      </c>
      <c r="O1265">
        <v>24</v>
      </c>
      <c r="P1265">
        <v>24</v>
      </c>
      <c r="Q1265">
        <v>15.5</v>
      </c>
      <c r="R1265">
        <v>0</v>
      </c>
    </row>
    <row r="1266" spans="1:18" x14ac:dyDescent="0.25">
      <c r="A1266" t="s">
        <v>1358</v>
      </c>
      <c r="B1266" t="s">
        <v>54</v>
      </c>
      <c r="C1266" t="s">
        <v>1352</v>
      </c>
      <c r="D1266" t="s">
        <v>54</v>
      </c>
      <c r="E1266" t="s">
        <v>78</v>
      </c>
      <c r="F1266" t="s">
        <v>252</v>
      </c>
      <c r="G1266">
        <v>6.1180000000000003</v>
      </c>
      <c r="H1266">
        <v>-75.445999999999998</v>
      </c>
      <c r="I1266" t="s">
        <v>80</v>
      </c>
      <c r="M1266">
        <v>133.6</v>
      </c>
      <c r="N1266">
        <v>63.4</v>
      </c>
      <c r="O1266">
        <v>16</v>
      </c>
      <c r="P1266">
        <v>14</v>
      </c>
      <c r="Q1266">
        <v>22.4</v>
      </c>
      <c r="R1266">
        <v>0</v>
      </c>
    </row>
    <row r="1267" spans="1:18" x14ac:dyDescent="0.25">
      <c r="A1267" t="s">
        <v>1359</v>
      </c>
      <c r="B1267" t="s">
        <v>54</v>
      </c>
      <c r="C1267" t="s">
        <v>1352</v>
      </c>
      <c r="D1267" t="s">
        <v>54</v>
      </c>
      <c r="E1267" t="s">
        <v>78</v>
      </c>
      <c r="F1267" t="s">
        <v>252</v>
      </c>
      <c r="G1267">
        <v>6.1180000000000003</v>
      </c>
      <c r="H1267">
        <v>-75.445999999999998</v>
      </c>
      <c r="I1267" t="s">
        <v>80</v>
      </c>
      <c r="M1267">
        <v>126.1</v>
      </c>
      <c r="N1267">
        <v>41.5</v>
      </c>
      <c r="O1267">
        <v>20</v>
      </c>
      <c r="P1267">
        <v>22</v>
      </c>
      <c r="Q1267">
        <v>25.9</v>
      </c>
      <c r="R1267">
        <v>0</v>
      </c>
    </row>
    <row r="1268" spans="1:18" x14ac:dyDescent="0.25">
      <c r="A1268" t="s">
        <v>1360</v>
      </c>
      <c r="B1268" t="s">
        <v>54</v>
      </c>
      <c r="C1268" t="s">
        <v>1352</v>
      </c>
      <c r="D1268" t="s">
        <v>54</v>
      </c>
      <c r="E1268" t="s">
        <v>78</v>
      </c>
      <c r="F1268" t="s">
        <v>252</v>
      </c>
      <c r="G1268">
        <v>6.1180000000000003</v>
      </c>
      <c r="H1268">
        <v>-75.445999999999998</v>
      </c>
      <c r="I1268" t="s">
        <v>80</v>
      </c>
      <c r="M1268">
        <v>169.9</v>
      </c>
      <c r="N1268">
        <v>63.4</v>
      </c>
      <c r="O1268">
        <v>26</v>
      </c>
      <c r="P1268">
        <v>32</v>
      </c>
      <c r="Q1268">
        <v>25.9</v>
      </c>
      <c r="R1268">
        <v>0</v>
      </c>
    </row>
    <row r="1269" spans="1:18" x14ac:dyDescent="0.25">
      <c r="A1269" t="s">
        <v>1361</v>
      </c>
      <c r="B1269" t="s">
        <v>54</v>
      </c>
      <c r="C1269" t="s">
        <v>1352</v>
      </c>
      <c r="D1269" t="s">
        <v>54</v>
      </c>
      <c r="E1269" t="s">
        <v>78</v>
      </c>
      <c r="F1269" t="s">
        <v>252</v>
      </c>
      <c r="G1269">
        <v>6.1180000000000003</v>
      </c>
      <c r="H1269">
        <v>-75.445999999999998</v>
      </c>
      <c r="I1269" t="s">
        <v>80</v>
      </c>
      <c r="M1269">
        <v>83.6</v>
      </c>
      <c r="N1269">
        <v>41.5</v>
      </c>
      <c r="O1269">
        <v>10</v>
      </c>
      <c r="P1269">
        <v>2</v>
      </c>
      <c r="Q1269">
        <v>19</v>
      </c>
      <c r="R1269">
        <v>0</v>
      </c>
    </row>
    <row r="1270" spans="1:18" x14ac:dyDescent="0.25">
      <c r="A1270" t="s">
        <v>1362</v>
      </c>
      <c r="B1270" t="s">
        <v>54</v>
      </c>
      <c r="C1270" t="s">
        <v>1352</v>
      </c>
      <c r="D1270" t="s">
        <v>54</v>
      </c>
      <c r="E1270" t="s">
        <v>78</v>
      </c>
      <c r="F1270" t="s">
        <v>252</v>
      </c>
      <c r="G1270">
        <v>6.1180000000000003</v>
      </c>
      <c r="H1270">
        <v>-75.445999999999998</v>
      </c>
      <c r="I1270" t="s">
        <v>80</v>
      </c>
      <c r="M1270">
        <v>123.7</v>
      </c>
      <c r="N1270">
        <v>48.8</v>
      </c>
      <c r="O1270">
        <v>12</v>
      </c>
      <c r="P1270">
        <v>24</v>
      </c>
      <c r="Q1270">
        <v>22.4</v>
      </c>
      <c r="R1270">
        <v>0</v>
      </c>
    </row>
    <row r="1271" spans="1:18" x14ac:dyDescent="0.25">
      <c r="A1271" t="s">
        <v>1363</v>
      </c>
      <c r="B1271" t="s">
        <v>54</v>
      </c>
      <c r="C1271" t="s">
        <v>1352</v>
      </c>
      <c r="D1271" t="s">
        <v>54</v>
      </c>
      <c r="E1271" t="s">
        <v>78</v>
      </c>
      <c r="F1271" t="s">
        <v>252</v>
      </c>
      <c r="G1271">
        <v>6.1180000000000003</v>
      </c>
      <c r="H1271">
        <v>-75.445999999999998</v>
      </c>
      <c r="I1271" t="s">
        <v>80</v>
      </c>
      <c r="M1271">
        <v>134.4</v>
      </c>
      <c r="N1271">
        <v>56.1</v>
      </c>
      <c r="O1271">
        <v>16</v>
      </c>
      <c r="P1271">
        <v>22</v>
      </c>
      <c r="Q1271">
        <v>22.4</v>
      </c>
      <c r="R1271">
        <v>0</v>
      </c>
    </row>
    <row r="1272" spans="1:18" x14ac:dyDescent="0.25">
      <c r="A1272" t="s">
        <v>1364</v>
      </c>
      <c r="B1272" t="s">
        <v>54</v>
      </c>
      <c r="C1272" t="s">
        <v>1352</v>
      </c>
      <c r="D1272" t="s">
        <v>54</v>
      </c>
      <c r="E1272" t="s">
        <v>78</v>
      </c>
      <c r="F1272" t="s">
        <v>252</v>
      </c>
      <c r="G1272">
        <v>6.1180000000000003</v>
      </c>
      <c r="H1272">
        <v>-75.445999999999998</v>
      </c>
      <c r="I1272" t="s">
        <v>80</v>
      </c>
      <c r="M1272">
        <v>145.30000000000001</v>
      </c>
      <c r="N1272">
        <v>56.1</v>
      </c>
      <c r="O1272">
        <v>14</v>
      </c>
      <c r="P1272">
        <v>30</v>
      </c>
      <c r="Q1272">
        <v>25.9</v>
      </c>
      <c r="R1272">
        <v>0</v>
      </c>
    </row>
    <row r="1273" spans="1:18" x14ac:dyDescent="0.25">
      <c r="A1273" t="s">
        <v>1365</v>
      </c>
      <c r="B1273" t="s">
        <v>54</v>
      </c>
      <c r="C1273" t="s">
        <v>1352</v>
      </c>
      <c r="D1273" t="s">
        <v>54</v>
      </c>
      <c r="E1273" t="s">
        <v>78</v>
      </c>
      <c r="F1273" t="s">
        <v>252</v>
      </c>
      <c r="G1273">
        <v>6.1180000000000003</v>
      </c>
      <c r="H1273">
        <v>-75.445999999999998</v>
      </c>
      <c r="I1273" t="s">
        <v>80</v>
      </c>
      <c r="M1273">
        <v>138.5</v>
      </c>
      <c r="N1273">
        <v>53.7</v>
      </c>
      <c r="O1273">
        <v>18</v>
      </c>
      <c r="P1273">
        <v>26</v>
      </c>
      <c r="Q1273">
        <v>22.4</v>
      </c>
      <c r="R1273">
        <v>0</v>
      </c>
    </row>
    <row r="1274" spans="1:18" x14ac:dyDescent="0.25">
      <c r="A1274" t="s">
        <v>1366</v>
      </c>
      <c r="B1274" t="s">
        <v>54</v>
      </c>
      <c r="C1274" t="s">
        <v>1352</v>
      </c>
      <c r="D1274" t="s">
        <v>54</v>
      </c>
      <c r="E1274" t="s">
        <v>78</v>
      </c>
      <c r="F1274" t="s">
        <v>252</v>
      </c>
      <c r="G1274">
        <v>6.1180000000000003</v>
      </c>
      <c r="H1274">
        <v>-75.445999999999998</v>
      </c>
      <c r="I1274" t="s">
        <v>80</v>
      </c>
      <c r="M1274">
        <v>149.5</v>
      </c>
      <c r="N1274">
        <v>58.5</v>
      </c>
      <c r="O1274">
        <v>14</v>
      </c>
      <c r="P1274">
        <v>26</v>
      </c>
      <c r="Q1274">
        <v>31</v>
      </c>
      <c r="R1274">
        <v>0</v>
      </c>
    </row>
    <row r="1275" spans="1:18" x14ac:dyDescent="0.25">
      <c r="A1275" t="s">
        <v>1367</v>
      </c>
      <c r="B1275" t="s">
        <v>54</v>
      </c>
      <c r="C1275" t="s">
        <v>1352</v>
      </c>
      <c r="D1275" t="s">
        <v>54</v>
      </c>
      <c r="E1275" t="s">
        <v>78</v>
      </c>
      <c r="F1275" t="s">
        <v>252</v>
      </c>
      <c r="G1275">
        <v>6.1180000000000003</v>
      </c>
      <c r="H1275">
        <v>-75.445999999999998</v>
      </c>
      <c r="I1275" t="s">
        <v>80</v>
      </c>
      <c r="M1275">
        <v>154.30000000000001</v>
      </c>
      <c r="N1275">
        <v>56.1</v>
      </c>
      <c r="O1275">
        <v>14</v>
      </c>
      <c r="P1275">
        <v>36</v>
      </c>
      <c r="Q1275">
        <v>27.6</v>
      </c>
      <c r="R1275">
        <v>0</v>
      </c>
    </row>
    <row r="1276" spans="1:18" x14ac:dyDescent="0.25">
      <c r="A1276" t="s">
        <v>1368</v>
      </c>
      <c r="B1276" t="s">
        <v>54</v>
      </c>
      <c r="C1276" t="s">
        <v>1352</v>
      </c>
      <c r="D1276" t="s">
        <v>54</v>
      </c>
      <c r="E1276" t="s">
        <v>78</v>
      </c>
      <c r="F1276" t="s">
        <v>252</v>
      </c>
      <c r="G1276">
        <v>6.1180000000000003</v>
      </c>
      <c r="H1276">
        <v>-75.445999999999998</v>
      </c>
      <c r="I1276" t="s">
        <v>80</v>
      </c>
      <c r="M1276">
        <v>152.19999999999999</v>
      </c>
      <c r="N1276">
        <v>53.7</v>
      </c>
      <c r="O1276">
        <v>26</v>
      </c>
      <c r="P1276">
        <v>16</v>
      </c>
      <c r="Q1276">
        <v>36.200000000000003</v>
      </c>
      <c r="R1276">
        <v>0</v>
      </c>
    </row>
    <row r="1277" spans="1:18" x14ac:dyDescent="0.25">
      <c r="A1277" t="s">
        <v>1369</v>
      </c>
      <c r="B1277" t="s">
        <v>54</v>
      </c>
      <c r="C1277" t="s">
        <v>1352</v>
      </c>
      <c r="D1277" t="s">
        <v>54</v>
      </c>
      <c r="E1277" t="s">
        <v>78</v>
      </c>
      <c r="F1277" t="s">
        <v>252</v>
      </c>
      <c r="G1277">
        <v>6.1180000000000003</v>
      </c>
      <c r="H1277">
        <v>-75.445999999999998</v>
      </c>
      <c r="I1277" t="s">
        <v>80</v>
      </c>
      <c r="M1277">
        <v>105.8</v>
      </c>
      <c r="N1277">
        <v>53.7</v>
      </c>
      <c r="O1277">
        <v>14</v>
      </c>
      <c r="P1277">
        <v>12</v>
      </c>
      <c r="Q1277">
        <v>12.1</v>
      </c>
      <c r="R1277">
        <v>0</v>
      </c>
    </row>
    <row r="1278" spans="1:18" x14ac:dyDescent="0.25">
      <c r="A1278" t="s">
        <v>1370</v>
      </c>
      <c r="B1278" t="s">
        <v>54</v>
      </c>
      <c r="C1278" t="s">
        <v>1352</v>
      </c>
      <c r="D1278" t="s">
        <v>54</v>
      </c>
      <c r="E1278" t="s">
        <v>78</v>
      </c>
      <c r="F1278" t="s">
        <v>252</v>
      </c>
      <c r="G1278">
        <v>6.1180000000000003</v>
      </c>
      <c r="H1278">
        <v>-75.445999999999998</v>
      </c>
      <c r="I1278" t="s">
        <v>80</v>
      </c>
      <c r="M1278">
        <v>136.4</v>
      </c>
      <c r="N1278">
        <v>36.6</v>
      </c>
      <c r="O1278">
        <v>22</v>
      </c>
      <c r="P1278">
        <v>32</v>
      </c>
      <c r="Q1278">
        <v>27.6</v>
      </c>
      <c r="R1278">
        <v>0</v>
      </c>
    </row>
    <row r="1279" spans="1:18" x14ac:dyDescent="0.25">
      <c r="A1279" t="s">
        <v>1371</v>
      </c>
      <c r="B1279" t="s">
        <v>54</v>
      </c>
      <c r="C1279" t="s">
        <v>1352</v>
      </c>
      <c r="D1279" t="s">
        <v>54</v>
      </c>
      <c r="E1279" t="s">
        <v>78</v>
      </c>
      <c r="F1279" t="s">
        <v>252</v>
      </c>
      <c r="G1279">
        <v>6.1180000000000003</v>
      </c>
      <c r="H1279">
        <v>-75.445999999999998</v>
      </c>
      <c r="I1279" t="s">
        <v>80</v>
      </c>
      <c r="M1279">
        <v>117.4</v>
      </c>
      <c r="N1279">
        <v>39</v>
      </c>
      <c r="O1279">
        <v>22</v>
      </c>
      <c r="P1279">
        <v>20</v>
      </c>
      <c r="Q1279">
        <v>20.7</v>
      </c>
      <c r="R1279">
        <v>0</v>
      </c>
    </row>
    <row r="1280" spans="1:18" x14ac:dyDescent="0.25">
      <c r="A1280" t="s">
        <v>1372</v>
      </c>
      <c r="B1280" t="s">
        <v>54</v>
      </c>
      <c r="C1280" t="s">
        <v>1352</v>
      </c>
      <c r="D1280" t="s">
        <v>54</v>
      </c>
      <c r="E1280" t="s">
        <v>78</v>
      </c>
      <c r="F1280" t="s">
        <v>252</v>
      </c>
      <c r="G1280">
        <v>6.1180000000000003</v>
      </c>
      <c r="H1280">
        <v>-75.445999999999998</v>
      </c>
      <c r="I1280" t="s">
        <v>80</v>
      </c>
      <c r="M1280">
        <v>181</v>
      </c>
      <c r="N1280">
        <v>51.2</v>
      </c>
      <c r="O1280">
        <v>32</v>
      </c>
      <c r="P1280">
        <v>34</v>
      </c>
      <c r="Q1280">
        <v>39.700000000000003</v>
      </c>
      <c r="R1280">
        <v>0</v>
      </c>
    </row>
    <row r="1281" spans="1:18" x14ac:dyDescent="0.25">
      <c r="A1281" t="s">
        <v>1373</v>
      </c>
      <c r="B1281" t="s">
        <v>54</v>
      </c>
      <c r="C1281" t="s">
        <v>1352</v>
      </c>
      <c r="D1281" t="s">
        <v>54</v>
      </c>
      <c r="E1281" t="s">
        <v>78</v>
      </c>
      <c r="F1281" t="s">
        <v>252</v>
      </c>
      <c r="G1281">
        <v>6.1180000000000003</v>
      </c>
      <c r="H1281">
        <v>-75.445999999999998</v>
      </c>
      <c r="I1281" t="s">
        <v>80</v>
      </c>
      <c r="M1281">
        <v>188.8</v>
      </c>
      <c r="N1281">
        <v>68.3</v>
      </c>
      <c r="O1281">
        <v>30</v>
      </c>
      <c r="P1281">
        <v>36</v>
      </c>
      <c r="Q1281">
        <v>29.3</v>
      </c>
      <c r="R1281">
        <v>0</v>
      </c>
    </row>
    <row r="1282" spans="1:18" x14ac:dyDescent="0.25">
      <c r="A1282" t="s">
        <v>1374</v>
      </c>
      <c r="B1282" t="s">
        <v>54</v>
      </c>
      <c r="C1282" t="s">
        <v>1375</v>
      </c>
      <c r="D1282" t="s">
        <v>54</v>
      </c>
      <c r="E1282" t="s">
        <v>78</v>
      </c>
      <c r="F1282" t="s">
        <v>252</v>
      </c>
      <c r="G1282">
        <v>6.1079999999999997</v>
      </c>
      <c r="H1282">
        <v>-75.421999999999997</v>
      </c>
      <c r="I1282" t="s">
        <v>110</v>
      </c>
      <c r="M1282">
        <v>256.10000000000002</v>
      </c>
      <c r="N1282">
        <v>73.2</v>
      </c>
      <c r="O1282">
        <v>22</v>
      </c>
      <c r="P1282">
        <v>68</v>
      </c>
      <c r="Q1282">
        <v>44.8</v>
      </c>
      <c r="R1282">
        <v>41.8</v>
      </c>
    </row>
    <row r="1283" spans="1:18" x14ac:dyDescent="0.25">
      <c r="A1283" t="s">
        <v>1376</v>
      </c>
      <c r="B1283" t="s">
        <v>54</v>
      </c>
      <c r="C1283" t="s">
        <v>1375</v>
      </c>
      <c r="D1283" t="s">
        <v>54</v>
      </c>
      <c r="E1283" t="s">
        <v>78</v>
      </c>
      <c r="F1283" t="s">
        <v>252</v>
      </c>
      <c r="G1283">
        <v>6.1079999999999997</v>
      </c>
      <c r="H1283">
        <v>-75.421999999999997</v>
      </c>
      <c r="I1283" t="s">
        <v>110</v>
      </c>
      <c r="M1283">
        <v>314.7</v>
      </c>
      <c r="N1283">
        <v>85.4</v>
      </c>
      <c r="O1283">
        <v>30</v>
      </c>
      <c r="P1283">
        <v>74</v>
      </c>
      <c r="Q1283">
        <v>60.3</v>
      </c>
      <c r="R1283">
        <v>69.099999999999994</v>
      </c>
    </row>
    <row r="1284" spans="1:18" x14ac:dyDescent="0.25">
      <c r="A1284" t="s">
        <v>1377</v>
      </c>
      <c r="B1284" t="s">
        <v>54</v>
      </c>
      <c r="C1284" t="s">
        <v>1375</v>
      </c>
      <c r="D1284" t="s">
        <v>54</v>
      </c>
      <c r="E1284" t="s">
        <v>78</v>
      </c>
      <c r="F1284" t="s">
        <v>252</v>
      </c>
      <c r="G1284">
        <v>6.1079999999999997</v>
      </c>
      <c r="H1284">
        <v>-75.421999999999997</v>
      </c>
      <c r="I1284" t="s">
        <v>110</v>
      </c>
      <c r="M1284">
        <v>187.2</v>
      </c>
      <c r="N1284">
        <v>46.3</v>
      </c>
      <c r="O1284">
        <v>38</v>
      </c>
      <c r="P1284">
        <v>24</v>
      </c>
      <c r="Q1284">
        <v>34.5</v>
      </c>
      <c r="R1284">
        <v>58.2</v>
      </c>
    </row>
    <row r="1285" spans="1:18" x14ac:dyDescent="0.25">
      <c r="A1285" t="s">
        <v>1378</v>
      </c>
      <c r="B1285" t="s">
        <v>54</v>
      </c>
      <c r="C1285" t="s">
        <v>1375</v>
      </c>
      <c r="D1285" t="s">
        <v>54</v>
      </c>
      <c r="E1285" t="s">
        <v>78</v>
      </c>
      <c r="F1285" t="s">
        <v>252</v>
      </c>
      <c r="G1285">
        <v>6.1079999999999997</v>
      </c>
      <c r="H1285">
        <v>-75.421999999999997</v>
      </c>
      <c r="I1285" t="s">
        <v>110</v>
      </c>
      <c r="M1285">
        <v>241.4</v>
      </c>
      <c r="N1285">
        <v>61</v>
      </c>
      <c r="O1285">
        <v>42</v>
      </c>
      <c r="P1285">
        <v>50</v>
      </c>
      <c r="Q1285">
        <v>36.200000000000003</v>
      </c>
      <c r="R1285">
        <v>60</v>
      </c>
    </row>
    <row r="1286" spans="1:18" x14ac:dyDescent="0.25">
      <c r="A1286" t="s">
        <v>1379</v>
      </c>
      <c r="B1286" t="s">
        <v>54</v>
      </c>
      <c r="C1286" t="s">
        <v>1375</v>
      </c>
      <c r="D1286" t="s">
        <v>54</v>
      </c>
      <c r="E1286" t="s">
        <v>78</v>
      </c>
      <c r="F1286" t="s">
        <v>252</v>
      </c>
      <c r="G1286">
        <v>6.1079999999999997</v>
      </c>
      <c r="H1286">
        <v>-75.421999999999997</v>
      </c>
      <c r="I1286" t="s">
        <v>110</v>
      </c>
      <c r="M1286">
        <v>321.8</v>
      </c>
      <c r="N1286">
        <v>73.2</v>
      </c>
      <c r="O1286">
        <v>46</v>
      </c>
      <c r="P1286">
        <v>70</v>
      </c>
      <c r="Q1286">
        <v>65.5</v>
      </c>
      <c r="R1286">
        <v>72.7</v>
      </c>
    </row>
    <row r="1287" spans="1:18" x14ac:dyDescent="0.25">
      <c r="A1287" t="s">
        <v>1380</v>
      </c>
      <c r="B1287" t="s">
        <v>54</v>
      </c>
      <c r="C1287" t="s">
        <v>1375</v>
      </c>
      <c r="D1287" t="s">
        <v>54</v>
      </c>
      <c r="E1287" t="s">
        <v>78</v>
      </c>
      <c r="F1287" t="s">
        <v>252</v>
      </c>
      <c r="G1287">
        <v>6.1079999999999997</v>
      </c>
      <c r="H1287">
        <v>-75.421999999999997</v>
      </c>
      <c r="I1287" t="s">
        <v>110</v>
      </c>
      <c r="M1287">
        <v>204.2</v>
      </c>
      <c r="N1287">
        <v>46.3</v>
      </c>
      <c r="O1287">
        <v>26</v>
      </c>
      <c r="P1287">
        <v>40</v>
      </c>
      <c r="Q1287">
        <v>48.3</v>
      </c>
      <c r="R1287">
        <v>49.1</v>
      </c>
    </row>
    <row r="1288" spans="1:18" x14ac:dyDescent="0.25">
      <c r="A1288" t="s">
        <v>1381</v>
      </c>
      <c r="B1288" t="s">
        <v>54</v>
      </c>
      <c r="C1288" t="s">
        <v>1375</v>
      </c>
      <c r="D1288" t="s">
        <v>54</v>
      </c>
      <c r="E1288" t="s">
        <v>78</v>
      </c>
      <c r="F1288" t="s">
        <v>252</v>
      </c>
      <c r="G1288">
        <v>6.1079999999999997</v>
      </c>
      <c r="H1288">
        <v>-75.421999999999997</v>
      </c>
      <c r="I1288" t="s">
        <v>110</v>
      </c>
      <c r="M1288">
        <v>159.6</v>
      </c>
      <c r="N1288">
        <v>22</v>
      </c>
      <c r="O1288">
        <v>22</v>
      </c>
      <c r="P1288">
        <v>50</v>
      </c>
      <c r="Q1288">
        <v>31</v>
      </c>
      <c r="R1288">
        <v>40</v>
      </c>
    </row>
    <row r="1289" spans="1:18" x14ac:dyDescent="0.25">
      <c r="A1289" t="s">
        <v>1382</v>
      </c>
      <c r="B1289" t="s">
        <v>54</v>
      </c>
      <c r="C1289" t="s">
        <v>1375</v>
      </c>
      <c r="D1289" t="s">
        <v>54</v>
      </c>
      <c r="E1289" t="s">
        <v>78</v>
      </c>
      <c r="F1289" t="s">
        <v>252</v>
      </c>
      <c r="G1289">
        <v>6.1079999999999997</v>
      </c>
      <c r="H1289">
        <v>-75.421999999999997</v>
      </c>
      <c r="I1289" t="s">
        <v>110</v>
      </c>
      <c r="M1289">
        <v>198.1</v>
      </c>
      <c r="N1289">
        <v>43.9</v>
      </c>
      <c r="O1289">
        <v>38</v>
      </c>
      <c r="P1289">
        <v>38</v>
      </c>
      <c r="Q1289">
        <v>39.700000000000003</v>
      </c>
      <c r="R1289">
        <v>36.4</v>
      </c>
    </row>
    <row r="1290" spans="1:18" x14ac:dyDescent="0.25">
      <c r="A1290" t="s">
        <v>1383</v>
      </c>
      <c r="B1290" t="s">
        <v>54</v>
      </c>
      <c r="C1290" t="s">
        <v>1375</v>
      </c>
      <c r="D1290" t="s">
        <v>54</v>
      </c>
      <c r="E1290" t="s">
        <v>78</v>
      </c>
      <c r="F1290" t="s">
        <v>252</v>
      </c>
      <c r="G1290">
        <v>6.1079999999999997</v>
      </c>
      <c r="H1290">
        <v>-75.421999999999997</v>
      </c>
      <c r="I1290" t="s">
        <v>110</v>
      </c>
      <c r="M1290">
        <v>215.2</v>
      </c>
      <c r="N1290">
        <v>53.7</v>
      </c>
      <c r="O1290">
        <v>28</v>
      </c>
      <c r="P1290">
        <v>50</v>
      </c>
      <c r="Q1290">
        <v>39.700000000000003</v>
      </c>
      <c r="R1290">
        <v>45.5</v>
      </c>
    </row>
    <row r="1291" spans="1:18" x14ac:dyDescent="0.25">
      <c r="A1291" t="s">
        <v>1384</v>
      </c>
      <c r="B1291" t="s">
        <v>54</v>
      </c>
      <c r="C1291" t="s">
        <v>1375</v>
      </c>
      <c r="D1291" t="s">
        <v>54</v>
      </c>
      <c r="E1291" t="s">
        <v>78</v>
      </c>
      <c r="F1291" t="s">
        <v>252</v>
      </c>
      <c r="G1291">
        <v>6.1079999999999997</v>
      </c>
      <c r="H1291">
        <v>-75.421999999999997</v>
      </c>
      <c r="I1291" t="s">
        <v>110</v>
      </c>
      <c r="M1291">
        <v>235.9</v>
      </c>
      <c r="N1291">
        <v>51.2</v>
      </c>
      <c r="O1291">
        <v>38</v>
      </c>
      <c r="P1291">
        <v>46</v>
      </c>
      <c r="Q1291">
        <v>53.4</v>
      </c>
      <c r="R1291">
        <v>47.3</v>
      </c>
    </row>
    <row r="1292" spans="1:18" x14ac:dyDescent="0.25">
      <c r="A1292" t="s">
        <v>1385</v>
      </c>
      <c r="B1292" t="s">
        <v>54</v>
      </c>
      <c r="C1292" t="s">
        <v>1375</v>
      </c>
      <c r="D1292" t="s">
        <v>54</v>
      </c>
      <c r="E1292" t="s">
        <v>78</v>
      </c>
      <c r="F1292" t="s">
        <v>252</v>
      </c>
      <c r="G1292">
        <v>6.1079999999999997</v>
      </c>
      <c r="H1292">
        <v>-75.421999999999997</v>
      </c>
      <c r="I1292" t="s">
        <v>110</v>
      </c>
      <c r="M1292">
        <v>216</v>
      </c>
      <c r="N1292">
        <v>56.1</v>
      </c>
      <c r="O1292">
        <v>32</v>
      </c>
      <c r="P1292">
        <v>46</v>
      </c>
      <c r="Q1292">
        <v>37.9</v>
      </c>
      <c r="R1292">
        <v>45.5</v>
      </c>
    </row>
    <row r="1293" spans="1:18" x14ac:dyDescent="0.25">
      <c r="A1293" t="s">
        <v>1386</v>
      </c>
      <c r="B1293" t="s">
        <v>54</v>
      </c>
      <c r="C1293" t="s">
        <v>1375</v>
      </c>
      <c r="D1293" t="s">
        <v>54</v>
      </c>
      <c r="E1293" t="s">
        <v>78</v>
      </c>
      <c r="F1293" t="s">
        <v>252</v>
      </c>
      <c r="G1293">
        <v>6.1079999999999997</v>
      </c>
      <c r="H1293">
        <v>-75.421999999999997</v>
      </c>
      <c r="I1293" t="s">
        <v>110</v>
      </c>
      <c r="M1293">
        <v>132.69999999999999</v>
      </c>
      <c r="N1293">
        <v>26.8</v>
      </c>
      <c r="O1293">
        <v>30</v>
      </c>
      <c r="P1293">
        <v>26</v>
      </c>
      <c r="Q1293">
        <v>20.7</v>
      </c>
      <c r="R1293">
        <v>34.5</v>
      </c>
    </row>
    <row r="1294" spans="1:18" x14ac:dyDescent="0.25">
      <c r="A1294" t="s">
        <v>1387</v>
      </c>
      <c r="B1294" t="s">
        <v>54</v>
      </c>
      <c r="C1294" t="s">
        <v>1375</v>
      </c>
      <c r="D1294" t="s">
        <v>54</v>
      </c>
      <c r="E1294" t="s">
        <v>78</v>
      </c>
      <c r="F1294" t="s">
        <v>252</v>
      </c>
      <c r="G1294">
        <v>6.1079999999999997</v>
      </c>
      <c r="H1294">
        <v>-75.421999999999997</v>
      </c>
      <c r="I1294" t="s">
        <v>110</v>
      </c>
      <c r="M1294">
        <v>225.9</v>
      </c>
      <c r="N1294">
        <v>61</v>
      </c>
      <c r="O1294">
        <v>24</v>
      </c>
      <c r="P1294">
        <v>54</v>
      </c>
      <c r="Q1294">
        <v>36.200000000000003</v>
      </c>
      <c r="R1294">
        <v>61.8</v>
      </c>
    </row>
    <row r="1295" spans="1:18" x14ac:dyDescent="0.25">
      <c r="A1295" t="s">
        <v>1388</v>
      </c>
      <c r="B1295" t="s">
        <v>54</v>
      </c>
      <c r="C1295" t="s">
        <v>1375</v>
      </c>
      <c r="D1295" t="s">
        <v>54</v>
      </c>
      <c r="E1295" t="s">
        <v>78</v>
      </c>
      <c r="F1295" t="s">
        <v>252</v>
      </c>
      <c r="G1295">
        <v>6.1079999999999997</v>
      </c>
      <c r="H1295">
        <v>-75.421999999999997</v>
      </c>
      <c r="I1295" t="s">
        <v>110</v>
      </c>
      <c r="M1295">
        <v>221.2</v>
      </c>
      <c r="N1295">
        <v>43.9</v>
      </c>
      <c r="O1295">
        <v>40</v>
      </c>
      <c r="P1295">
        <v>60</v>
      </c>
      <c r="Q1295">
        <v>34.5</v>
      </c>
      <c r="R1295">
        <v>40</v>
      </c>
    </row>
    <row r="1296" spans="1:18" x14ac:dyDescent="0.25">
      <c r="A1296" t="s">
        <v>1389</v>
      </c>
      <c r="B1296" t="s">
        <v>54</v>
      </c>
      <c r="C1296" t="s">
        <v>1375</v>
      </c>
      <c r="D1296" t="s">
        <v>54</v>
      </c>
      <c r="E1296" t="s">
        <v>78</v>
      </c>
      <c r="F1296" t="s">
        <v>252</v>
      </c>
      <c r="G1296">
        <v>6.1079999999999997</v>
      </c>
      <c r="H1296">
        <v>-75.421999999999997</v>
      </c>
      <c r="I1296" t="s">
        <v>110</v>
      </c>
      <c r="M1296">
        <v>244.1</v>
      </c>
      <c r="N1296">
        <v>61</v>
      </c>
      <c r="O1296">
        <v>52</v>
      </c>
      <c r="P1296">
        <v>50</v>
      </c>
      <c r="Q1296">
        <v>31</v>
      </c>
      <c r="R1296">
        <v>52.7</v>
      </c>
    </row>
    <row r="1297" spans="1:18" x14ac:dyDescent="0.25">
      <c r="A1297" t="s">
        <v>1390</v>
      </c>
      <c r="B1297" t="s">
        <v>54</v>
      </c>
      <c r="C1297" t="s">
        <v>1375</v>
      </c>
      <c r="D1297" t="s">
        <v>54</v>
      </c>
      <c r="E1297" t="s">
        <v>78</v>
      </c>
      <c r="F1297" t="s">
        <v>252</v>
      </c>
      <c r="G1297">
        <v>6.1079999999999997</v>
      </c>
      <c r="H1297">
        <v>-75.421999999999997</v>
      </c>
      <c r="I1297" t="s">
        <v>110</v>
      </c>
      <c r="M1297">
        <v>176</v>
      </c>
      <c r="N1297">
        <v>36.6</v>
      </c>
      <c r="O1297">
        <v>32</v>
      </c>
      <c r="P1297">
        <v>34</v>
      </c>
      <c r="Q1297">
        <v>29.3</v>
      </c>
      <c r="R1297">
        <v>61.8</v>
      </c>
    </row>
    <row r="1298" spans="1:18" x14ac:dyDescent="0.25">
      <c r="A1298" t="s">
        <v>1391</v>
      </c>
      <c r="B1298" t="s">
        <v>54</v>
      </c>
      <c r="C1298" t="s">
        <v>1375</v>
      </c>
      <c r="D1298" t="s">
        <v>54</v>
      </c>
      <c r="E1298" t="s">
        <v>78</v>
      </c>
      <c r="F1298" t="s">
        <v>252</v>
      </c>
      <c r="G1298">
        <v>6.1079999999999997</v>
      </c>
      <c r="H1298">
        <v>-75.421999999999997</v>
      </c>
      <c r="I1298" t="s">
        <v>110</v>
      </c>
      <c r="M1298">
        <v>219.7</v>
      </c>
      <c r="N1298">
        <v>65.900000000000006</v>
      </c>
      <c r="O1298">
        <v>34</v>
      </c>
      <c r="P1298">
        <v>38</v>
      </c>
      <c r="Q1298">
        <v>36.200000000000003</v>
      </c>
      <c r="R1298">
        <v>49.1</v>
      </c>
    </row>
    <row r="1299" spans="1:18" x14ac:dyDescent="0.25">
      <c r="A1299" t="s">
        <v>1392</v>
      </c>
      <c r="B1299" t="s">
        <v>54</v>
      </c>
      <c r="C1299" t="s">
        <v>1375</v>
      </c>
      <c r="D1299" t="s">
        <v>54</v>
      </c>
      <c r="E1299" t="s">
        <v>78</v>
      </c>
      <c r="F1299" t="s">
        <v>252</v>
      </c>
      <c r="G1299">
        <v>6.1079999999999997</v>
      </c>
      <c r="H1299">
        <v>-75.421999999999997</v>
      </c>
      <c r="I1299" t="s">
        <v>110</v>
      </c>
      <c r="M1299">
        <v>205.3</v>
      </c>
      <c r="N1299">
        <v>43.9</v>
      </c>
      <c r="O1299">
        <v>40</v>
      </c>
      <c r="P1299">
        <v>34</v>
      </c>
      <c r="Q1299">
        <v>32.799999999999997</v>
      </c>
      <c r="R1299">
        <v>81.8</v>
      </c>
    </row>
    <row r="1300" spans="1:18" x14ac:dyDescent="0.25">
      <c r="A1300" t="s">
        <v>1393</v>
      </c>
      <c r="B1300" t="s">
        <v>54</v>
      </c>
      <c r="C1300" t="s">
        <v>1375</v>
      </c>
      <c r="D1300" t="s">
        <v>54</v>
      </c>
      <c r="E1300" t="s">
        <v>78</v>
      </c>
      <c r="F1300" t="s">
        <v>252</v>
      </c>
      <c r="G1300">
        <v>6.1079999999999997</v>
      </c>
      <c r="H1300">
        <v>-75.421999999999997</v>
      </c>
      <c r="I1300" t="s">
        <v>110</v>
      </c>
      <c r="M1300">
        <v>228.2</v>
      </c>
      <c r="N1300">
        <v>61</v>
      </c>
      <c r="O1300">
        <v>26</v>
      </c>
      <c r="P1300">
        <v>52</v>
      </c>
      <c r="Q1300">
        <v>44.8</v>
      </c>
      <c r="R1300">
        <v>41.8</v>
      </c>
    </row>
    <row r="1301" spans="1:18" x14ac:dyDescent="0.25">
      <c r="A1301" t="s">
        <v>1394</v>
      </c>
      <c r="B1301" t="s">
        <v>54</v>
      </c>
      <c r="C1301" t="s">
        <v>1375</v>
      </c>
      <c r="D1301" t="s">
        <v>54</v>
      </c>
      <c r="E1301" t="s">
        <v>78</v>
      </c>
      <c r="F1301" t="s">
        <v>252</v>
      </c>
      <c r="G1301">
        <v>6.1079999999999997</v>
      </c>
      <c r="H1301">
        <v>-75.421999999999997</v>
      </c>
      <c r="I1301" t="s">
        <v>110</v>
      </c>
      <c r="M1301">
        <v>178</v>
      </c>
      <c r="N1301">
        <v>53.7</v>
      </c>
      <c r="O1301">
        <v>28</v>
      </c>
      <c r="P1301">
        <v>34</v>
      </c>
      <c r="Q1301">
        <v>25.9</v>
      </c>
      <c r="R1301">
        <v>38.200000000000003</v>
      </c>
    </row>
    <row r="1302" spans="1:18" x14ac:dyDescent="0.25">
      <c r="A1302" t="s">
        <v>1395</v>
      </c>
      <c r="B1302" t="s">
        <v>54</v>
      </c>
      <c r="C1302" t="s">
        <v>1375</v>
      </c>
      <c r="D1302" t="s">
        <v>54</v>
      </c>
      <c r="E1302" t="s">
        <v>78</v>
      </c>
      <c r="F1302" t="s">
        <v>252</v>
      </c>
      <c r="G1302">
        <v>6.1079999999999997</v>
      </c>
      <c r="H1302">
        <v>-75.421999999999997</v>
      </c>
      <c r="I1302" t="s">
        <v>110</v>
      </c>
      <c r="M1302">
        <v>322.7</v>
      </c>
      <c r="N1302">
        <v>80.5</v>
      </c>
      <c r="O1302">
        <v>38</v>
      </c>
      <c r="P1302">
        <v>76</v>
      </c>
      <c r="Q1302">
        <v>60.3</v>
      </c>
      <c r="R1302">
        <v>74.5</v>
      </c>
    </row>
    <row r="1303" spans="1:18" x14ac:dyDescent="0.25">
      <c r="A1303" t="s">
        <v>1396</v>
      </c>
      <c r="B1303" t="s">
        <v>54</v>
      </c>
      <c r="C1303" t="s">
        <v>1375</v>
      </c>
      <c r="D1303" t="s">
        <v>54</v>
      </c>
      <c r="E1303" t="s">
        <v>78</v>
      </c>
      <c r="F1303" t="s">
        <v>252</v>
      </c>
      <c r="G1303">
        <v>6.1079999999999997</v>
      </c>
      <c r="H1303">
        <v>-75.421999999999997</v>
      </c>
      <c r="I1303" t="s">
        <v>80</v>
      </c>
      <c r="M1303">
        <v>170.6</v>
      </c>
      <c r="N1303">
        <v>39</v>
      </c>
      <c r="O1303">
        <v>26</v>
      </c>
      <c r="P1303">
        <v>38</v>
      </c>
      <c r="Q1303">
        <v>34.5</v>
      </c>
      <c r="R1303">
        <v>30.9</v>
      </c>
    </row>
    <row r="1304" spans="1:18" x14ac:dyDescent="0.25">
      <c r="A1304" t="s">
        <v>1397</v>
      </c>
      <c r="B1304" t="s">
        <v>54</v>
      </c>
      <c r="C1304" t="s">
        <v>1375</v>
      </c>
      <c r="D1304" t="s">
        <v>54</v>
      </c>
      <c r="E1304" t="s">
        <v>78</v>
      </c>
      <c r="F1304" t="s">
        <v>252</v>
      </c>
      <c r="G1304">
        <v>6.1079999999999997</v>
      </c>
      <c r="H1304">
        <v>-75.421999999999997</v>
      </c>
      <c r="I1304" t="s">
        <v>110</v>
      </c>
      <c r="M1304">
        <v>185.7</v>
      </c>
      <c r="N1304">
        <v>39</v>
      </c>
      <c r="O1304">
        <v>28</v>
      </c>
      <c r="P1304">
        <v>34</v>
      </c>
      <c r="Q1304">
        <v>46.6</v>
      </c>
      <c r="R1304">
        <v>40</v>
      </c>
    </row>
    <row r="1305" spans="1:18" x14ac:dyDescent="0.25">
      <c r="A1305" t="s">
        <v>1398</v>
      </c>
      <c r="B1305" t="s">
        <v>54</v>
      </c>
      <c r="C1305" t="s">
        <v>1375</v>
      </c>
      <c r="D1305" t="s">
        <v>54</v>
      </c>
      <c r="E1305" t="s">
        <v>78</v>
      </c>
      <c r="F1305" t="s">
        <v>252</v>
      </c>
      <c r="G1305">
        <v>6.1079999999999997</v>
      </c>
      <c r="H1305">
        <v>-75.421999999999997</v>
      </c>
      <c r="I1305" t="s">
        <v>80</v>
      </c>
      <c r="M1305">
        <v>262.2</v>
      </c>
      <c r="N1305">
        <v>63.4</v>
      </c>
      <c r="O1305">
        <v>38</v>
      </c>
      <c r="P1305">
        <v>56</v>
      </c>
      <c r="Q1305">
        <v>41.4</v>
      </c>
      <c r="R1305">
        <v>85.5</v>
      </c>
    </row>
    <row r="1306" spans="1:18" x14ac:dyDescent="0.25">
      <c r="A1306" t="s">
        <v>1399</v>
      </c>
      <c r="B1306" t="s">
        <v>54</v>
      </c>
      <c r="C1306" t="s">
        <v>1375</v>
      </c>
      <c r="D1306" t="s">
        <v>54</v>
      </c>
      <c r="E1306" t="s">
        <v>78</v>
      </c>
      <c r="F1306" t="s">
        <v>252</v>
      </c>
      <c r="G1306">
        <v>6.1079999999999997</v>
      </c>
      <c r="H1306">
        <v>-75.421999999999997</v>
      </c>
      <c r="I1306" t="s">
        <v>80</v>
      </c>
      <c r="M1306">
        <v>186.6</v>
      </c>
      <c r="N1306">
        <v>48.8</v>
      </c>
      <c r="O1306">
        <v>38</v>
      </c>
      <c r="P1306">
        <v>16</v>
      </c>
      <c r="Q1306">
        <v>41.4</v>
      </c>
      <c r="R1306">
        <v>52.7</v>
      </c>
    </row>
    <row r="1307" spans="1:18" x14ac:dyDescent="0.25">
      <c r="A1307" t="s">
        <v>1400</v>
      </c>
      <c r="B1307" t="s">
        <v>54</v>
      </c>
      <c r="C1307" t="s">
        <v>1375</v>
      </c>
      <c r="D1307" t="s">
        <v>54</v>
      </c>
      <c r="E1307" t="s">
        <v>78</v>
      </c>
      <c r="F1307" t="s">
        <v>252</v>
      </c>
      <c r="G1307">
        <v>6.1079999999999997</v>
      </c>
      <c r="H1307">
        <v>-75.421999999999997</v>
      </c>
      <c r="I1307" t="s">
        <v>80</v>
      </c>
      <c r="M1307">
        <v>201</v>
      </c>
      <c r="N1307">
        <v>63.4</v>
      </c>
      <c r="O1307">
        <v>30</v>
      </c>
      <c r="P1307">
        <v>52</v>
      </c>
      <c r="Q1307">
        <v>17.2</v>
      </c>
      <c r="R1307">
        <v>34.5</v>
      </c>
    </row>
    <row r="1308" spans="1:18" x14ac:dyDescent="0.25">
      <c r="A1308" t="s">
        <v>1401</v>
      </c>
      <c r="B1308" t="s">
        <v>54</v>
      </c>
      <c r="C1308" t="s">
        <v>1375</v>
      </c>
      <c r="D1308" t="s">
        <v>54</v>
      </c>
      <c r="E1308" t="s">
        <v>78</v>
      </c>
      <c r="F1308" t="s">
        <v>252</v>
      </c>
      <c r="G1308">
        <v>6.1079999999999997</v>
      </c>
      <c r="H1308">
        <v>-75.421999999999997</v>
      </c>
      <c r="I1308" t="s">
        <v>80</v>
      </c>
      <c r="M1308">
        <v>169.2</v>
      </c>
      <c r="N1308">
        <v>51.2</v>
      </c>
      <c r="O1308">
        <v>28</v>
      </c>
      <c r="P1308">
        <v>22</v>
      </c>
      <c r="Q1308">
        <v>34.5</v>
      </c>
      <c r="R1308">
        <v>32.700000000000003</v>
      </c>
    </row>
    <row r="1309" spans="1:18" x14ac:dyDescent="0.25">
      <c r="A1309" t="s">
        <v>1402</v>
      </c>
      <c r="B1309" t="s">
        <v>54</v>
      </c>
      <c r="C1309" t="s">
        <v>1375</v>
      </c>
      <c r="D1309" t="s">
        <v>54</v>
      </c>
      <c r="E1309" t="s">
        <v>78</v>
      </c>
      <c r="F1309" t="s">
        <v>252</v>
      </c>
      <c r="G1309">
        <v>6.1079999999999997</v>
      </c>
      <c r="H1309">
        <v>-75.421999999999997</v>
      </c>
      <c r="I1309" t="s">
        <v>80</v>
      </c>
      <c r="M1309">
        <v>179.4</v>
      </c>
      <c r="N1309">
        <v>70.7</v>
      </c>
      <c r="O1309">
        <v>16</v>
      </c>
      <c r="P1309">
        <v>36</v>
      </c>
      <c r="Q1309">
        <v>32.799999999999997</v>
      </c>
      <c r="R1309">
        <v>0</v>
      </c>
    </row>
    <row r="1310" spans="1:18" x14ac:dyDescent="0.25">
      <c r="A1310" t="s">
        <v>1403</v>
      </c>
      <c r="B1310" t="s">
        <v>54</v>
      </c>
      <c r="C1310" t="s">
        <v>1375</v>
      </c>
      <c r="D1310" t="s">
        <v>54</v>
      </c>
      <c r="E1310" t="s">
        <v>78</v>
      </c>
      <c r="F1310" t="s">
        <v>252</v>
      </c>
      <c r="G1310">
        <v>6.1079999999999997</v>
      </c>
      <c r="H1310">
        <v>-75.421999999999997</v>
      </c>
      <c r="I1310" t="s">
        <v>80</v>
      </c>
      <c r="M1310">
        <v>230.6</v>
      </c>
      <c r="N1310">
        <v>51.2</v>
      </c>
      <c r="O1310">
        <v>38</v>
      </c>
      <c r="P1310">
        <v>36</v>
      </c>
      <c r="Q1310">
        <v>53.4</v>
      </c>
      <c r="R1310">
        <v>63.6</v>
      </c>
    </row>
    <row r="1311" spans="1:18" x14ac:dyDescent="0.25">
      <c r="A1311" t="s">
        <v>1404</v>
      </c>
      <c r="B1311" t="s">
        <v>54</v>
      </c>
      <c r="C1311" t="s">
        <v>1375</v>
      </c>
      <c r="D1311" t="s">
        <v>54</v>
      </c>
      <c r="E1311" t="s">
        <v>78</v>
      </c>
      <c r="F1311" t="s">
        <v>252</v>
      </c>
      <c r="G1311">
        <v>6.1079999999999997</v>
      </c>
      <c r="H1311">
        <v>-75.421999999999997</v>
      </c>
      <c r="I1311" t="s">
        <v>80</v>
      </c>
      <c r="M1311">
        <v>219.1</v>
      </c>
      <c r="N1311">
        <v>46.3</v>
      </c>
      <c r="O1311">
        <v>40</v>
      </c>
      <c r="P1311">
        <v>36</v>
      </c>
      <c r="Q1311">
        <v>50</v>
      </c>
      <c r="R1311">
        <v>52.7</v>
      </c>
    </row>
    <row r="1312" spans="1:18" x14ac:dyDescent="0.25">
      <c r="A1312" t="s">
        <v>1405</v>
      </c>
      <c r="B1312" t="s">
        <v>54</v>
      </c>
      <c r="C1312" t="s">
        <v>1375</v>
      </c>
      <c r="D1312" t="s">
        <v>54</v>
      </c>
      <c r="E1312" t="s">
        <v>78</v>
      </c>
      <c r="F1312" t="s">
        <v>252</v>
      </c>
      <c r="G1312">
        <v>6.1079999999999997</v>
      </c>
      <c r="H1312">
        <v>-75.421999999999997</v>
      </c>
      <c r="I1312" t="s">
        <v>80</v>
      </c>
      <c r="M1312">
        <v>136.19999999999999</v>
      </c>
      <c r="N1312">
        <v>41.5</v>
      </c>
      <c r="O1312">
        <v>16</v>
      </c>
      <c r="P1312">
        <v>26</v>
      </c>
      <c r="Q1312">
        <v>22.4</v>
      </c>
      <c r="R1312">
        <v>36.4</v>
      </c>
    </row>
    <row r="1313" spans="1:18" x14ac:dyDescent="0.25">
      <c r="A1313" t="s">
        <v>1406</v>
      </c>
      <c r="B1313" t="s">
        <v>54</v>
      </c>
      <c r="C1313" t="s">
        <v>1375</v>
      </c>
      <c r="D1313" t="s">
        <v>54</v>
      </c>
      <c r="E1313" t="s">
        <v>78</v>
      </c>
      <c r="F1313" t="s">
        <v>252</v>
      </c>
      <c r="G1313">
        <v>6.1079999999999997</v>
      </c>
      <c r="H1313">
        <v>-75.421999999999997</v>
      </c>
      <c r="I1313" t="s">
        <v>80</v>
      </c>
      <c r="M1313">
        <v>186.1</v>
      </c>
      <c r="N1313">
        <v>41.5</v>
      </c>
      <c r="O1313">
        <v>36</v>
      </c>
      <c r="P1313">
        <v>30</v>
      </c>
      <c r="Q1313">
        <v>36.200000000000003</v>
      </c>
      <c r="R1313">
        <v>52.7</v>
      </c>
    </row>
    <row r="1314" spans="1:18" x14ac:dyDescent="0.25">
      <c r="A1314" t="s">
        <v>1407</v>
      </c>
      <c r="B1314" t="s">
        <v>54</v>
      </c>
      <c r="C1314" t="s">
        <v>1375</v>
      </c>
      <c r="D1314" t="s">
        <v>54</v>
      </c>
      <c r="E1314" t="s">
        <v>78</v>
      </c>
      <c r="F1314" t="s">
        <v>252</v>
      </c>
      <c r="G1314">
        <v>6.1079999999999997</v>
      </c>
      <c r="H1314">
        <v>-75.421999999999997</v>
      </c>
      <c r="I1314" t="s">
        <v>80</v>
      </c>
      <c r="M1314">
        <v>177.8</v>
      </c>
      <c r="N1314">
        <v>58.5</v>
      </c>
      <c r="O1314">
        <v>30</v>
      </c>
      <c r="P1314">
        <v>24</v>
      </c>
      <c r="Q1314">
        <v>27.6</v>
      </c>
      <c r="R1314">
        <v>41.8</v>
      </c>
    </row>
    <row r="1315" spans="1:18" x14ac:dyDescent="0.25">
      <c r="A1315" t="s">
        <v>1408</v>
      </c>
      <c r="B1315" t="s">
        <v>54</v>
      </c>
      <c r="C1315" t="s">
        <v>1375</v>
      </c>
      <c r="D1315" t="s">
        <v>54</v>
      </c>
      <c r="E1315" t="s">
        <v>78</v>
      </c>
      <c r="F1315" t="s">
        <v>252</v>
      </c>
      <c r="G1315">
        <v>6.1079999999999997</v>
      </c>
      <c r="H1315">
        <v>-75.421999999999997</v>
      </c>
      <c r="I1315" t="s">
        <v>110</v>
      </c>
      <c r="M1315">
        <v>208.8</v>
      </c>
      <c r="N1315">
        <v>51.2</v>
      </c>
      <c r="O1315">
        <v>28</v>
      </c>
      <c r="P1315">
        <v>44</v>
      </c>
      <c r="Q1315">
        <v>41.4</v>
      </c>
      <c r="R1315">
        <v>49.1</v>
      </c>
    </row>
    <row r="1316" spans="1:18" x14ac:dyDescent="0.25">
      <c r="A1316" t="s">
        <v>1409</v>
      </c>
      <c r="B1316" t="s">
        <v>54</v>
      </c>
      <c r="C1316" t="s">
        <v>1375</v>
      </c>
      <c r="D1316" t="s">
        <v>54</v>
      </c>
      <c r="E1316" t="s">
        <v>78</v>
      </c>
      <c r="F1316" t="s">
        <v>252</v>
      </c>
      <c r="G1316">
        <v>6.1079999999999997</v>
      </c>
      <c r="H1316">
        <v>-75.421999999999997</v>
      </c>
      <c r="I1316" t="s">
        <v>80</v>
      </c>
      <c r="M1316">
        <v>244.9</v>
      </c>
      <c r="N1316">
        <v>73.2</v>
      </c>
      <c r="O1316">
        <v>30</v>
      </c>
      <c r="P1316">
        <v>54</v>
      </c>
      <c r="Q1316">
        <v>34.5</v>
      </c>
      <c r="R1316">
        <v>61.8</v>
      </c>
    </row>
    <row r="1317" spans="1:18" x14ac:dyDescent="0.25">
      <c r="A1317" t="s">
        <v>1410</v>
      </c>
      <c r="B1317" t="s">
        <v>54</v>
      </c>
      <c r="C1317" t="s">
        <v>1375</v>
      </c>
      <c r="D1317" t="s">
        <v>54</v>
      </c>
      <c r="E1317" t="s">
        <v>78</v>
      </c>
      <c r="F1317" t="s">
        <v>252</v>
      </c>
      <c r="G1317">
        <v>6.1079999999999997</v>
      </c>
      <c r="H1317">
        <v>-75.421999999999997</v>
      </c>
      <c r="I1317" t="s">
        <v>80</v>
      </c>
      <c r="M1317">
        <v>233.2</v>
      </c>
      <c r="N1317">
        <v>43.9</v>
      </c>
      <c r="O1317">
        <v>36</v>
      </c>
      <c r="P1317">
        <v>64</v>
      </c>
      <c r="Q1317">
        <v>44.8</v>
      </c>
      <c r="R1317">
        <v>40</v>
      </c>
    </row>
    <row r="1318" spans="1:18" x14ac:dyDescent="0.25">
      <c r="A1318" t="s">
        <v>1411</v>
      </c>
      <c r="B1318" t="s">
        <v>54</v>
      </c>
      <c r="C1318" t="s">
        <v>1375</v>
      </c>
      <c r="D1318" t="s">
        <v>54</v>
      </c>
      <c r="E1318" t="s">
        <v>78</v>
      </c>
      <c r="F1318" t="s">
        <v>252</v>
      </c>
      <c r="G1318">
        <v>6.1079999999999997</v>
      </c>
      <c r="H1318">
        <v>-75.421999999999997</v>
      </c>
      <c r="I1318" t="s">
        <v>80</v>
      </c>
      <c r="M1318">
        <v>297.8</v>
      </c>
      <c r="N1318">
        <v>70.7</v>
      </c>
      <c r="O1318">
        <v>44</v>
      </c>
      <c r="P1318">
        <v>62</v>
      </c>
      <c r="Q1318">
        <v>53.4</v>
      </c>
      <c r="R1318">
        <v>83.6</v>
      </c>
    </row>
    <row r="1319" spans="1:18" x14ac:dyDescent="0.25">
      <c r="A1319" t="s">
        <v>1412</v>
      </c>
      <c r="B1319" t="s">
        <v>54</v>
      </c>
      <c r="C1319" t="s">
        <v>1375</v>
      </c>
      <c r="D1319" t="s">
        <v>54</v>
      </c>
      <c r="E1319" t="s">
        <v>78</v>
      </c>
      <c r="F1319" t="s">
        <v>252</v>
      </c>
      <c r="G1319">
        <v>6.1079999999999997</v>
      </c>
      <c r="H1319">
        <v>-75.421999999999997</v>
      </c>
      <c r="I1319" t="s">
        <v>80</v>
      </c>
      <c r="M1319">
        <v>269.8</v>
      </c>
      <c r="N1319">
        <v>58.5</v>
      </c>
      <c r="O1319">
        <v>42</v>
      </c>
      <c r="P1319">
        <v>60</v>
      </c>
      <c r="Q1319">
        <v>56.9</v>
      </c>
      <c r="R1319">
        <v>49.1</v>
      </c>
    </row>
    <row r="1320" spans="1:18" x14ac:dyDescent="0.25">
      <c r="A1320" t="s">
        <v>1413</v>
      </c>
      <c r="B1320" t="s">
        <v>54</v>
      </c>
      <c r="C1320" t="s">
        <v>1375</v>
      </c>
      <c r="D1320" t="s">
        <v>54</v>
      </c>
      <c r="E1320" t="s">
        <v>78</v>
      </c>
      <c r="F1320" t="s">
        <v>252</v>
      </c>
      <c r="G1320">
        <v>6.1079999999999997</v>
      </c>
      <c r="H1320">
        <v>-75.421999999999997</v>
      </c>
      <c r="I1320" t="s">
        <v>80</v>
      </c>
      <c r="M1320">
        <v>191.9</v>
      </c>
      <c r="N1320">
        <v>31.7</v>
      </c>
      <c r="O1320">
        <v>22</v>
      </c>
      <c r="P1320">
        <v>56</v>
      </c>
      <c r="Q1320">
        <v>29.3</v>
      </c>
      <c r="R1320">
        <v>81.8</v>
      </c>
    </row>
    <row r="1321" spans="1:18" x14ac:dyDescent="0.25">
      <c r="A1321" t="s">
        <v>1414</v>
      </c>
      <c r="B1321" t="s">
        <v>54</v>
      </c>
      <c r="C1321" t="s">
        <v>1375</v>
      </c>
      <c r="D1321" t="s">
        <v>54</v>
      </c>
      <c r="E1321" t="s">
        <v>78</v>
      </c>
      <c r="F1321" t="s">
        <v>252</v>
      </c>
      <c r="G1321">
        <v>6.1079999999999997</v>
      </c>
      <c r="H1321">
        <v>-75.421999999999997</v>
      </c>
      <c r="I1321" t="s">
        <v>80</v>
      </c>
      <c r="M1321">
        <v>187.1</v>
      </c>
      <c r="N1321">
        <v>53.7</v>
      </c>
      <c r="O1321">
        <v>18</v>
      </c>
      <c r="P1321">
        <v>38</v>
      </c>
      <c r="Q1321">
        <v>37.9</v>
      </c>
      <c r="R1321">
        <v>43.6</v>
      </c>
    </row>
    <row r="1322" spans="1:18" x14ac:dyDescent="0.25">
      <c r="A1322" t="s">
        <v>1415</v>
      </c>
      <c r="B1322" t="s">
        <v>54</v>
      </c>
      <c r="C1322" t="s">
        <v>1375</v>
      </c>
      <c r="D1322" t="s">
        <v>54</v>
      </c>
      <c r="E1322" t="s">
        <v>78</v>
      </c>
      <c r="F1322" t="s">
        <v>252</v>
      </c>
      <c r="G1322">
        <v>6.1079999999999997</v>
      </c>
      <c r="H1322">
        <v>-75.421999999999997</v>
      </c>
      <c r="I1322" t="s">
        <v>80</v>
      </c>
      <c r="M1322">
        <v>163.30000000000001</v>
      </c>
      <c r="N1322">
        <v>34.1</v>
      </c>
      <c r="O1322">
        <v>22</v>
      </c>
      <c r="P1322">
        <v>30</v>
      </c>
      <c r="Q1322">
        <v>39.700000000000003</v>
      </c>
      <c r="R1322">
        <v>47.3</v>
      </c>
    </row>
    <row r="1323" spans="1:18" x14ac:dyDescent="0.25">
      <c r="A1323" t="s">
        <v>1416</v>
      </c>
      <c r="B1323" t="s">
        <v>54</v>
      </c>
      <c r="C1323" t="s">
        <v>1375</v>
      </c>
      <c r="D1323" t="s">
        <v>54</v>
      </c>
      <c r="E1323" t="s">
        <v>78</v>
      </c>
      <c r="F1323" t="s">
        <v>252</v>
      </c>
      <c r="G1323">
        <v>6.1079999999999997</v>
      </c>
      <c r="H1323">
        <v>-75.421999999999997</v>
      </c>
      <c r="I1323" t="s">
        <v>80</v>
      </c>
      <c r="M1323">
        <v>225</v>
      </c>
      <c r="N1323">
        <v>51.2</v>
      </c>
      <c r="O1323">
        <v>42</v>
      </c>
      <c r="P1323">
        <v>44</v>
      </c>
      <c r="Q1323">
        <v>41.4</v>
      </c>
      <c r="R1323">
        <v>49.1</v>
      </c>
    </row>
    <row r="1324" spans="1:18" x14ac:dyDescent="0.25">
      <c r="A1324" t="s">
        <v>1417</v>
      </c>
      <c r="B1324" t="s">
        <v>54</v>
      </c>
      <c r="C1324" t="s">
        <v>1375</v>
      </c>
      <c r="D1324" t="s">
        <v>54</v>
      </c>
      <c r="E1324" t="s">
        <v>78</v>
      </c>
      <c r="F1324" t="s">
        <v>252</v>
      </c>
      <c r="G1324">
        <v>6.1079999999999997</v>
      </c>
      <c r="H1324">
        <v>-75.421999999999997</v>
      </c>
      <c r="I1324" t="s">
        <v>80</v>
      </c>
      <c r="M1324">
        <v>320.2</v>
      </c>
      <c r="N1324">
        <v>65.900000000000006</v>
      </c>
      <c r="O1324">
        <v>50</v>
      </c>
      <c r="P1324">
        <v>70</v>
      </c>
      <c r="Q1324">
        <v>63.8</v>
      </c>
      <c r="R1324">
        <v>83.6</v>
      </c>
    </row>
    <row r="1325" spans="1:18" x14ac:dyDescent="0.25">
      <c r="A1325" t="s">
        <v>1418</v>
      </c>
      <c r="B1325" t="s">
        <v>54</v>
      </c>
      <c r="C1325" t="s">
        <v>1375</v>
      </c>
      <c r="D1325" t="s">
        <v>54</v>
      </c>
      <c r="E1325" t="s">
        <v>78</v>
      </c>
      <c r="F1325" t="s">
        <v>252</v>
      </c>
      <c r="G1325">
        <v>6.1079999999999997</v>
      </c>
      <c r="H1325">
        <v>-75.421999999999997</v>
      </c>
      <c r="I1325" t="s">
        <v>80</v>
      </c>
      <c r="M1325">
        <v>206.7</v>
      </c>
      <c r="N1325">
        <v>39</v>
      </c>
      <c r="O1325">
        <v>32</v>
      </c>
      <c r="P1325">
        <v>48</v>
      </c>
      <c r="Q1325">
        <v>43.1</v>
      </c>
      <c r="R1325">
        <v>50.9</v>
      </c>
    </row>
    <row r="1326" spans="1:18" x14ac:dyDescent="0.25">
      <c r="A1326" t="s">
        <v>1419</v>
      </c>
      <c r="B1326" t="s">
        <v>54</v>
      </c>
      <c r="C1326" t="s">
        <v>1375</v>
      </c>
      <c r="D1326" t="s">
        <v>54</v>
      </c>
      <c r="E1326" t="s">
        <v>78</v>
      </c>
      <c r="F1326" t="s">
        <v>252</v>
      </c>
      <c r="G1326">
        <v>6.1079999999999997</v>
      </c>
      <c r="H1326">
        <v>-75.421999999999997</v>
      </c>
      <c r="I1326" t="s">
        <v>110</v>
      </c>
      <c r="M1326">
        <v>164.9</v>
      </c>
      <c r="N1326">
        <v>36.6</v>
      </c>
      <c r="O1326">
        <v>30</v>
      </c>
      <c r="P1326">
        <v>32</v>
      </c>
      <c r="Q1326">
        <v>31</v>
      </c>
      <c r="R1326">
        <v>40</v>
      </c>
    </row>
    <row r="1327" spans="1:18" x14ac:dyDescent="0.25">
      <c r="A1327" t="s">
        <v>1420</v>
      </c>
      <c r="B1327" t="s">
        <v>54</v>
      </c>
      <c r="C1327" t="s">
        <v>1375</v>
      </c>
      <c r="D1327" t="s">
        <v>54</v>
      </c>
      <c r="E1327" t="s">
        <v>78</v>
      </c>
      <c r="F1327" t="s">
        <v>252</v>
      </c>
      <c r="G1327">
        <v>6.1079999999999997</v>
      </c>
      <c r="H1327">
        <v>-75.421999999999997</v>
      </c>
      <c r="I1327" t="s">
        <v>80</v>
      </c>
      <c r="M1327">
        <v>288.89999999999998</v>
      </c>
      <c r="N1327">
        <v>63.4</v>
      </c>
      <c r="O1327">
        <v>36</v>
      </c>
      <c r="P1327">
        <v>72</v>
      </c>
      <c r="Q1327">
        <v>51.7</v>
      </c>
      <c r="R1327">
        <v>81.8</v>
      </c>
    </row>
    <row r="1328" spans="1:18" x14ac:dyDescent="0.25">
      <c r="A1328" t="s">
        <v>1421</v>
      </c>
      <c r="B1328" t="s">
        <v>54</v>
      </c>
      <c r="C1328" t="s">
        <v>1375</v>
      </c>
      <c r="D1328" t="s">
        <v>54</v>
      </c>
      <c r="E1328" t="s">
        <v>78</v>
      </c>
      <c r="F1328" t="s">
        <v>252</v>
      </c>
      <c r="G1328">
        <v>6.1079999999999997</v>
      </c>
      <c r="H1328">
        <v>-75.421999999999997</v>
      </c>
      <c r="I1328" t="s">
        <v>80</v>
      </c>
      <c r="M1328">
        <v>171.5</v>
      </c>
      <c r="N1328">
        <v>41.5</v>
      </c>
      <c r="O1328">
        <v>26</v>
      </c>
      <c r="P1328">
        <v>50</v>
      </c>
      <c r="Q1328">
        <v>17.2</v>
      </c>
      <c r="R1328">
        <v>41.8</v>
      </c>
    </row>
    <row r="1329" spans="1:18" x14ac:dyDescent="0.25">
      <c r="A1329" t="s">
        <v>1422</v>
      </c>
      <c r="B1329" t="s">
        <v>54</v>
      </c>
      <c r="C1329" t="s">
        <v>1375</v>
      </c>
      <c r="D1329" t="s">
        <v>54</v>
      </c>
      <c r="E1329" t="s">
        <v>78</v>
      </c>
      <c r="F1329" t="s">
        <v>252</v>
      </c>
      <c r="G1329">
        <v>6.1079999999999997</v>
      </c>
      <c r="H1329">
        <v>-75.421999999999997</v>
      </c>
      <c r="I1329" t="s">
        <v>80</v>
      </c>
      <c r="M1329">
        <v>249.6</v>
      </c>
      <c r="N1329">
        <v>65.900000000000006</v>
      </c>
      <c r="O1329">
        <v>34</v>
      </c>
      <c r="P1329">
        <v>64</v>
      </c>
      <c r="Q1329">
        <v>37.9</v>
      </c>
      <c r="R1329">
        <v>43.6</v>
      </c>
    </row>
    <row r="1330" spans="1:18" x14ac:dyDescent="0.25">
      <c r="A1330" t="s">
        <v>1423</v>
      </c>
      <c r="B1330" t="s">
        <v>54</v>
      </c>
      <c r="C1330" t="s">
        <v>1375</v>
      </c>
      <c r="D1330" t="s">
        <v>54</v>
      </c>
      <c r="E1330" t="s">
        <v>78</v>
      </c>
      <c r="F1330" t="s">
        <v>252</v>
      </c>
      <c r="G1330">
        <v>6.1079999999999997</v>
      </c>
      <c r="H1330">
        <v>-75.421999999999997</v>
      </c>
      <c r="I1330" t="s">
        <v>80</v>
      </c>
      <c r="M1330">
        <v>171</v>
      </c>
      <c r="N1330">
        <v>43.9</v>
      </c>
      <c r="O1330">
        <v>12</v>
      </c>
      <c r="P1330">
        <v>38</v>
      </c>
      <c r="Q1330">
        <v>37.9</v>
      </c>
      <c r="R1330">
        <v>49.1</v>
      </c>
    </row>
    <row r="1331" spans="1:18" x14ac:dyDescent="0.25">
      <c r="A1331" t="s">
        <v>1424</v>
      </c>
      <c r="B1331" t="s">
        <v>54</v>
      </c>
      <c r="C1331" t="s">
        <v>1375</v>
      </c>
      <c r="D1331" t="s">
        <v>54</v>
      </c>
      <c r="E1331" t="s">
        <v>78</v>
      </c>
      <c r="F1331" t="s">
        <v>252</v>
      </c>
      <c r="G1331">
        <v>6.1079999999999997</v>
      </c>
      <c r="H1331">
        <v>-75.421999999999997</v>
      </c>
      <c r="I1331" t="s">
        <v>80</v>
      </c>
      <c r="M1331">
        <v>170.3</v>
      </c>
      <c r="N1331">
        <v>26.8</v>
      </c>
      <c r="O1331">
        <v>32</v>
      </c>
      <c r="P1331">
        <v>38</v>
      </c>
      <c r="Q1331">
        <v>36.200000000000003</v>
      </c>
      <c r="R1331">
        <v>43.6</v>
      </c>
    </row>
    <row r="1332" spans="1:18" x14ac:dyDescent="0.25">
      <c r="A1332" t="s">
        <v>1425</v>
      </c>
      <c r="B1332" t="s">
        <v>54</v>
      </c>
      <c r="C1332" t="s">
        <v>1375</v>
      </c>
      <c r="D1332" t="s">
        <v>54</v>
      </c>
      <c r="E1332" t="s">
        <v>78</v>
      </c>
      <c r="F1332" t="s">
        <v>252</v>
      </c>
      <c r="G1332">
        <v>6.1079999999999997</v>
      </c>
      <c r="H1332">
        <v>-75.421999999999997</v>
      </c>
      <c r="I1332" t="s">
        <v>80</v>
      </c>
      <c r="M1332">
        <v>155.19999999999999</v>
      </c>
      <c r="N1332">
        <v>24.4</v>
      </c>
      <c r="O1332">
        <v>28</v>
      </c>
      <c r="P1332">
        <v>34</v>
      </c>
      <c r="Q1332">
        <v>29.3</v>
      </c>
      <c r="R1332">
        <v>56.4</v>
      </c>
    </row>
    <row r="1333" spans="1:18" x14ac:dyDescent="0.25">
      <c r="A1333" t="s">
        <v>1426</v>
      </c>
      <c r="B1333" t="s">
        <v>54</v>
      </c>
      <c r="C1333" t="s">
        <v>1375</v>
      </c>
      <c r="D1333" t="s">
        <v>54</v>
      </c>
      <c r="E1333" t="s">
        <v>78</v>
      </c>
      <c r="F1333" t="s">
        <v>252</v>
      </c>
      <c r="G1333">
        <v>6.1079999999999997</v>
      </c>
      <c r="H1333">
        <v>-75.421999999999997</v>
      </c>
      <c r="I1333" t="s">
        <v>110</v>
      </c>
      <c r="M1333">
        <v>207.5</v>
      </c>
      <c r="N1333">
        <v>43.9</v>
      </c>
      <c r="O1333">
        <v>38</v>
      </c>
      <c r="P1333">
        <v>46</v>
      </c>
      <c r="Q1333">
        <v>36.200000000000003</v>
      </c>
      <c r="R1333">
        <v>47.3</v>
      </c>
    </row>
    <row r="1334" spans="1:18" x14ac:dyDescent="0.25">
      <c r="A1334" t="s">
        <v>1427</v>
      </c>
      <c r="B1334" t="s">
        <v>54</v>
      </c>
      <c r="C1334" t="s">
        <v>1375</v>
      </c>
      <c r="D1334" t="s">
        <v>54</v>
      </c>
      <c r="E1334" t="s">
        <v>78</v>
      </c>
      <c r="F1334" t="s">
        <v>252</v>
      </c>
      <c r="G1334">
        <v>6.1079999999999997</v>
      </c>
      <c r="H1334">
        <v>-75.421999999999997</v>
      </c>
      <c r="I1334" t="s">
        <v>110</v>
      </c>
      <c r="M1334">
        <v>294.2</v>
      </c>
      <c r="N1334">
        <v>68.3</v>
      </c>
      <c r="O1334">
        <v>34</v>
      </c>
      <c r="P1334">
        <v>72</v>
      </c>
      <c r="Q1334">
        <v>53.4</v>
      </c>
      <c r="R1334">
        <v>81.8</v>
      </c>
    </row>
    <row r="1335" spans="1:18" x14ac:dyDescent="0.25">
      <c r="A1335" t="s">
        <v>1428</v>
      </c>
      <c r="B1335" t="s">
        <v>54</v>
      </c>
      <c r="C1335" t="s">
        <v>1375</v>
      </c>
      <c r="D1335" t="s">
        <v>54</v>
      </c>
      <c r="E1335" t="s">
        <v>78</v>
      </c>
      <c r="F1335" t="s">
        <v>252</v>
      </c>
      <c r="G1335">
        <v>6.1079999999999997</v>
      </c>
      <c r="H1335">
        <v>-75.421999999999997</v>
      </c>
      <c r="I1335" t="s">
        <v>110</v>
      </c>
      <c r="M1335">
        <v>324.5</v>
      </c>
      <c r="N1335">
        <v>73.2</v>
      </c>
      <c r="O1335">
        <v>48</v>
      </c>
      <c r="P1335">
        <v>70</v>
      </c>
      <c r="Q1335">
        <v>60.3</v>
      </c>
      <c r="R1335">
        <v>89.1</v>
      </c>
    </row>
    <row r="1336" spans="1:18" x14ac:dyDescent="0.25">
      <c r="A1336" t="s">
        <v>1429</v>
      </c>
      <c r="B1336" t="s">
        <v>54</v>
      </c>
      <c r="C1336" t="s">
        <v>1375</v>
      </c>
      <c r="D1336" t="s">
        <v>54</v>
      </c>
      <c r="E1336" t="s">
        <v>78</v>
      </c>
      <c r="F1336" t="s">
        <v>252</v>
      </c>
      <c r="G1336">
        <v>6.1079999999999997</v>
      </c>
      <c r="H1336">
        <v>-75.421999999999997</v>
      </c>
      <c r="I1336" t="s">
        <v>110</v>
      </c>
      <c r="M1336">
        <v>382</v>
      </c>
      <c r="N1336">
        <v>82.9</v>
      </c>
      <c r="O1336">
        <v>56</v>
      </c>
      <c r="P1336">
        <v>86</v>
      </c>
      <c r="Q1336">
        <v>75.900000000000006</v>
      </c>
      <c r="R1336">
        <v>90.9</v>
      </c>
    </row>
    <row r="1337" spans="1:18" x14ac:dyDescent="0.25">
      <c r="A1337" t="s">
        <v>1430</v>
      </c>
      <c r="B1337" t="s">
        <v>54</v>
      </c>
      <c r="C1337" t="s">
        <v>1431</v>
      </c>
      <c r="D1337" t="s">
        <v>54</v>
      </c>
      <c r="E1337" t="s">
        <v>78</v>
      </c>
      <c r="F1337" t="s">
        <v>252</v>
      </c>
      <c r="G1337">
        <v>6.173</v>
      </c>
      <c r="H1337">
        <v>-75.454999999999998</v>
      </c>
      <c r="I1337" t="s">
        <v>80</v>
      </c>
      <c r="M1337">
        <v>237.9</v>
      </c>
      <c r="N1337">
        <v>56.1</v>
      </c>
      <c r="O1337">
        <v>30</v>
      </c>
      <c r="P1337">
        <v>60</v>
      </c>
      <c r="Q1337">
        <v>43.1</v>
      </c>
      <c r="R1337">
        <v>50.9</v>
      </c>
    </row>
    <row r="1338" spans="1:18" x14ac:dyDescent="0.25">
      <c r="A1338" t="s">
        <v>1432</v>
      </c>
      <c r="B1338" t="s">
        <v>54</v>
      </c>
      <c r="C1338" t="s">
        <v>1431</v>
      </c>
      <c r="D1338" t="s">
        <v>54</v>
      </c>
      <c r="E1338" t="s">
        <v>78</v>
      </c>
      <c r="F1338" t="s">
        <v>252</v>
      </c>
      <c r="G1338">
        <v>6.173</v>
      </c>
      <c r="H1338">
        <v>-75.454999999999998</v>
      </c>
      <c r="I1338" t="s">
        <v>80</v>
      </c>
      <c r="M1338">
        <v>286.7</v>
      </c>
      <c r="N1338">
        <v>61</v>
      </c>
      <c r="O1338">
        <v>34</v>
      </c>
      <c r="P1338">
        <v>76</v>
      </c>
      <c r="Q1338">
        <v>56.9</v>
      </c>
      <c r="R1338">
        <v>61.8</v>
      </c>
    </row>
    <row r="1339" spans="1:18" x14ac:dyDescent="0.25">
      <c r="A1339" t="s">
        <v>1433</v>
      </c>
      <c r="B1339" t="s">
        <v>54</v>
      </c>
      <c r="C1339" t="s">
        <v>1431</v>
      </c>
      <c r="D1339" t="s">
        <v>54</v>
      </c>
      <c r="E1339" t="s">
        <v>78</v>
      </c>
      <c r="F1339" t="s">
        <v>252</v>
      </c>
      <c r="G1339">
        <v>6.173</v>
      </c>
      <c r="H1339">
        <v>-75.454999999999998</v>
      </c>
      <c r="I1339" t="s">
        <v>80</v>
      </c>
      <c r="M1339">
        <v>202.8</v>
      </c>
      <c r="N1339">
        <v>46.3</v>
      </c>
      <c r="O1339">
        <v>34</v>
      </c>
      <c r="P1339">
        <v>32</v>
      </c>
      <c r="Q1339">
        <v>48.3</v>
      </c>
      <c r="R1339">
        <v>45.5</v>
      </c>
    </row>
    <row r="1340" spans="1:18" x14ac:dyDescent="0.25">
      <c r="A1340" t="s">
        <v>1434</v>
      </c>
      <c r="B1340" t="s">
        <v>54</v>
      </c>
      <c r="C1340" t="s">
        <v>1431</v>
      </c>
      <c r="D1340" t="s">
        <v>54</v>
      </c>
      <c r="E1340" t="s">
        <v>78</v>
      </c>
      <c r="F1340" t="s">
        <v>252</v>
      </c>
      <c r="G1340">
        <v>6.173</v>
      </c>
      <c r="H1340">
        <v>-75.454999999999998</v>
      </c>
      <c r="I1340" t="s">
        <v>80</v>
      </c>
      <c r="M1340">
        <v>274.89999999999998</v>
      </c>
      <c r="N1340">
        <v>63.4</v>
      </c>
      <c r="O1340">
        <v>42</v>
      </c>
      <c r="P1340">
        <v>62</v>
      </c>
      <c r="Q1340">
        <v>56.9</v>
      </c>
      <c r="R1340">
        <v>41.8</v>
      </c>
    </row>
    <row r="1341" spans="1:18" x14ac:dyDescent="0.25">
      <c r="A1341" t="s">
        <v>1435</v>
      </c>
      <c r="B1341" t="s">
        <v>54</v>
      </c>
      <c r="C1341" t="s">
        <v>1431</v>
      </c>
      <c r="D1341" t="s">
        <v>54</v>
      </c>
      <c r="E1341" t="s">
        <v>78</v>
      </c>
      <c r="F1341" t="s">
        <v>252</v>
      </c>
      <c r="G1341">
        <v>6.173</v>
      </c>
      <c r="H1341">
        <v>-75.454999999999998</v>
      </c>
      <c r="I1341" t="s">
        <v>80</v>
      </c>
      <c r="M1341">
        <v>237.2</v>
      </c>
      <c r="N1341">
        <v>61</v>
      </c>
      <c r="O1341">
        <v>34</v>
      </c>
      <c r="P1341">
        <v>54</v>
      </c>
      <c r="Q1341">
        <v>39.700000000000003</v>
      </c>
      <c r="R1341">
        <v>50.9</v>
      </c>
    </row>
    <row r="1342" spans="1:18" x14ac:dyDescent="0.25">
      <c r="A1342" t="s">
        <v>1436</v>
      </c>
      <c r="B1342" t="s">
        <v>54</v>
      </c>
      <c r="C1342" t="s">
        <v>1431</v>
      </c>
      <c r="D1342" t="s">
        <v>54</v>
      </c>
      <c r="E1342" t="s">
        <v>78</v>
      </c>
      <c r="F1342" t="s">
        <v>252</v>
      </c>
      <c r="G1342">
        <v>6.173</v>
      </c>
      <c r="H1342">
        <v>-75.454999999999998</v>
      </c>
      <c r="I1342" t="s">
        <v>80</v>
      </c>
      <c r="M1342">
        <v>158</v>
      </c>
      <c r="N1342">
        <v>43.9</v>
      </c>
      <c r="O1342">
        <v>24</v>
      </c>
      <c r="P1342">
        <v>34</v>
      </c>
      <c r="Q1342">
        <v>24.1</v>
      </c>
      <c r="R1342">
        <v>32.700000000000003</v>
      </c>
    </row>
    <row r="1343" spans="1:18" x14ac:dyDescent="0.25">
      <c r="A1343" t="s">
        <v>1437</v>
      </c>
      <c r="B1343" t="s">
        <v>54</v>
      </c>
      <c r="C1343" t="s">
        <v>1431</v>
      </c>
      <c r="D1343" t="s">
        <v>54</v>
      </c>
      <c r="E1343" t="s">
        <v>78</v>
      </c>
      <c r="F1343" t="s">
        <v>252</v>
      </c>
      <c r="G1343">
        <v>6.173</v>
      </c>
      <c r="H1343">
        <v>-75.454999999999998</v>
      </c>
      <c r="I1343" t="s">
        <v>80</v>
      </c>
      <c r="M1343">
        <v>206.2</v>
      </c>
      <c r="N1343">
        <v>48.8</v>
      </c>
      <c r="O1343">
        <v>28</v>
      </c>
      <c r="P1343">
        <v>48</v>
      </c>
      <c r="Q1343">
        <v>44.8</v>
      </c>
      <c r="R1343">
        <v>27.3</v>
      </c>
    </row>
    <row r="1344" spans="1:18" x14ac:dyDescent="0.25">
      <c r="A1344" t="s">
        <v>1438</v>
      </c>
      <c r="B1344" t="s">
        <v>54</v>
      </c>
      <c r="C1344" t="s">
        <v>1431</v>
      </c>
      <c r="D1344" t="s">
        <v>54</v>
      </c>
      <c r="E1344" t="s">
        <v>78</v>
      </c>
      <c r="F1344" t="s">
        <v>252</v>
      </c>
      <c r="G1344">
        <v>6.173</v>
      </c>
      <c r="H1344">
        <v>-75.454999999999998</v>
      </c>
      <c r="I1344" t="s">
        <v>80</v>
      </c>
      <c r="M1344">
        <v>129.30000000000001</v>
      </c>
      <c r="N1344">
        <v>53.7</v>
      </c>
      <c r="O1344">
        <v>16</v>
      </c>
      <c r="P1344">
        <v>20</v>
      </c>
      <c r="Q1344">
        <v>22.4</v>
      </c>
      <c r="R1344">
        <v>0</v>
      </c>
    </row>
    <row r="1345" spans="1:18" x14ac:dyDescent="0.25">
      <c r="A1345" t="s">
        <v>1439</v>
      </c>
      <c r="B1345" t="s">
        <v>54</v>
      </c>
      <c r="C1345" t="s">
        <v>1431</v>
      </c>
      <c r="D1345" t="s">
        <v>54</v>
      </c>
      <c r="E1345" t="s">
        <v>78</v>
      </c>
      <c r="F1345" t="s">
        <v>252</v>
      </c>
      <c r="G1345">
        <v>6.173</v>
      </c>
      <c r="H1345">
        <v>-75.454999999999998</v>
      </c>
      <c r="I1345" t="s">
        <v>80</v>
      </c>
      <c r="M1345">
        <v>229.5</v>
      </c>
      <c r="N1345">
        <v>56.1</v>
      </c>
      <c r="O1345">
        <v>28</v>
      </c>
      <c r="P1345">
        <v>52</v>
      </c>
      <c r="Q1345">
        <v>48.3</v>
      </c>
      <c r="R1345">
        <v>43.6</v>
      </c>
    </row>
    <row r="1346" spans="1:18" x14ac:dyDescent="0.25">
      <c r="A1346" t="s">
        <v>1440</v>
      </c>
      <c r="B1346" t="s">
        <v>54</v>
      </c>
      <c r="C1346" t="s">
        <v>1431</v>
      </c>
      <c r="D1346" t="s">
        <v>54</v>
      </c>
      <c r="E1346" t="s">
        <v>78</v>
      </c>
      <c r="F1346" t="s">
        <v>252</v>
      </c>
      <c r="G1346">
        <v>6.173</v>
      </c>
      <c r="H1346">
        <v>-75.454999999999998</v>
      </c>
      <c r="I1346" t="s">
        <v>80</v>
      </c>
      <c r="M1346">
        <v>242</v>
      </c>
      <c r="N1346">
        <v>65.900000000000006</v>
      </c>
      <c r="O1346">
        <v>48</v>
      </c>
      <c r="P1346">
        <v>44</v>
      </c>
      <c r="Q1346">
        <v>37.9</v>
      </c>
      <c r="R1346">
        <v>41.8</v>
      </c>
    </row>
    <row r="1347" spans="1:18" x14ac:dyDescent="0.25">
      <c r="A1347" t="s">
        <v>1441</v>
      </c>
      <c r="B1347" t="s">
        <v>54</v>
      </c>
      <c r="C1347" t="s">
        <v>1431</v>
      </c>
      <c r="D1347" t="s">
        <v>54</v>
      </c>
      <c r="E1347" t="s">
        <v>78</v>
      </c>
      <c r="F1347" t="s">
        <v>252</v>
      </c>
      <c r="G1347">
        <v>6.173</v>
      </c>
      <c r="H1347">
        <v>-75.454999999999998</v>
      </c>
      <c r="I1347" t="s">
        <v>80</v>
      </c>
      <c r="M1347">
        <v>193.4</v>
      </c>
      <c r="N1347">
        <v>58.5</v>
      </c>
      <c r="O1347">
        <v>28</v>
      </c>
      <c r="P1347">
        <v>38</v>
      </c>
      <c r="Q1347">
        <v>32.799999999999997</v>
      </c>
      <c r="R1347">
        <v>30.9</v>
      </c>
    </row>
    <row r="1348" spans="1:18" x14ac:dyDescent="0.25">
      <c r="A1348" t="s">
        <v>1442</v>
      </c>
      <c r="B1348" t="s">
        <v>54</v>
      </c>
      <c r="C1348" t="s">
        <v>1431</v>
      </c>
      <c r="D1348" t="s">
        <v>54</v>
      </c>
      <c r="E1348" t="s">
        <v>78</v>
      </c>
      <c r="F1348" t="s">
        <v>252</v>
      </c>
      <c r="G1348">
        <v>6.173</v>
      </c>
      <c r="H1348">
        <v>-75.454999999999998</v>
      </c>
      <c r="I1348" t="s">
        <v>80</v>
      </c>
      <c r="M1348">
        <v>250.1</v>
      </c>
      <c r="N1348">
        <v>56.1</v>
      </c>
      <c r="O1348">
        <v>32</v>
      </c>
      <c r="P1348">
        <v>52</v>
      </c>
      <c r="Q1348">
        <v>50</v>
      </c>
      <c r="R1348">
        <v>80</v>
      </c>
    </row>
    <row r="1349" spans="1:18" x14ac:dyDescent="0.25">
      <c r="A1349" t="s">
        <v>1443</v>
      </c>
      <c r="B1349" t="s">
        <v>54</v>
      </c>
      <c r="C1349" t="s">
        <v>1431</v>
      </c>
      <c r="D1349" t="s">
        <v>54</v>
      </c>
      <c r="E1349" t="s">
        <v>78</v>
      </c>
      <c r="F1349" t="s">
        <v>252</v>
      </c>
      <c r="G1349">
        <v>6.173</v>
      </c>
      <c r="H1349">
        <v>-75.454999999999998</v>
      </c>
      <c r="I1349" t="s">
        <v>80</v>
      </c>
      <c r="M1349">
        <v>216.6</v>
      </c>
      <c r="N1349">
        <v>58.5</v>
      </c>
      <c r="O1349">
        <v>28</v>
      </c>
      <c r="P1349">
        <v>46</v>
      </c>
      <c r="Q1349">
        <v>43.1</v>
      </c>
      <c r="R1349">
        <v>36.4</v>
      </c>
    </row>
    <row r="1350" spans="1:18" x14ac:dyDescent="0.25">
      <c r="A1350" t="s">
        <v>1444</v>
      </c>
      <c r="B1350" t="s">
        <v>54</v>
      </c>
      <c r="C1350" t="s">
        <v>1445</v>
      </c>
      <c r="D1350" t="s">
        <v>54</v>
      </c>
      <c r="E1350" t="s">
        <v>78</v>
      </c>
      <c r="F1350" t="s">
        <v>252</v>
      </c>
      <c r="G1350">
        <v>6.2460000000000004</v>
      </c>
      <c r="H1350">
        <v>-75.561000000000007</v>
      </c>
      <c r="I1350" t="s">
        <v>110</v>
      </c>
      <c r="M1350">
        <v>170.9</v>
      </c>
      <c r="N1350">
        <v>46.3</v>
      </c>
      <c r="O1350">
        <v>34</v>
      </c>
      <c r="P1350">
        <v>30</v>
      </c>
      <c r="Q1350">
        <v>29.3</v>
      </c>
      <c r="R1350">
        <v>25.5</v>
      </c>
    </row>
    <row r="1351" spans="1:18" x14ac:dyDescent="0.25">
      <c r="A1351" t="s">
        <v>1446</v>
      </c>
      <c r="B1351" t="s">
        <v>54</v>
      </c>
      <c r="C1351" t="s">
        <v>1445</v>
      </c>
      <c r="D1351" t="s">
        <v>54</v>
      </c>
      <c r="E1351" t="s">
        <v>78</v>
      </c>
      <c r="F1351" t="s">
        <v>252</v>
      </c>
      <c r="G1351">
        <v>6.2460000000000004</v>
      </c>
      <c r="H1351">
        <v>-75.561000000000007</v>
      </c>
      <c r="I1351" t="s">
        <v>110</v>
      </c>
      <c r="M1351">
        <v>161.1</v>
      </c>
      <c r="N1351">
        <v>48.8</v>
      </c>
      <c r="O1351">
        <v>24</v>
      </c>
      <c r="P1351">
        <v>26</v>
      </c>
      <c r="Q1351">
        <v>29.3</v>
      </c>
      <c r="R1351">
        <v>34.5</v>
      </c>
    </row>
    <row r="1352" spans="1:18" x14ac:dyDescent="0.25">
      <c r="A1352" t="s">
        <v>1447</v>
      </c>
      <c r="B1352" t="s">
        <v>54</v>
      </c>
      <c r="C1352" t="s">
        <v>1445</v>
      </c>
      <c r="D1352" t="s">
        <v>54</v>
      </c>
      <c r="E1352" t="s">
        <v>78</v>
      </c>
      <c r="F1352" t="s">
        <v>252</v>
      </c>
      <c r="G1352">
        <v>6.2460000000000004</v>
      </c>
      <c r="H1352">
        <v>-75.561000000000007</v>
      </c>
      <c r="I1352" t="s">
        <v>110</v>
      </c>
      <c r="M1352">
        <v>239</v>
      </c>
      <c r="N1352">
        <v>63.4</v>
      </c>
      <c r="O1352">
        <v>26</v>
      </c>
      <c r="P1352">
        <v>48</v>
      </c>
      <c r="Q1352">
        <v>44.8</v>
      </c>
      <c r="R1352">
        <v>74.5</v>
      </c>
    </row>
    <row r="1353" spans="1:18" x14ac:dyDescent="0.25">
      <c r="A1353" t="s">
        <v>1448</v>
      </c>
      <c r="B1353" t="s">
        <v>54</v>
      </c>
      <c r="C1353" t="s">
        <v>1445</v>
      </c>
      <c r="D1353" t="s">
        <v>54</v>
      </c>
      <c r="E1353" t="s">
        <v>78</v>
      </c>
      <c r="F1353" t="s">
        <v>252</v>
      </c>
      <c r="G1353">
        <v>6.2460000000000004</v>
      </c>
      <c r="H1353">
        <v>-75.561000000000007</v>
      </c>
      <c r="I1353" t="s">
        <v>110</v>
      </c>
      <c r="M1353">
        <v>242.3</v>
      </c>
      <c r="N1353">
        <v>58.5</v>
      </c>
      <c r="O1353">
        <v>42</v>
      </c>
      <c r="P1353">
        <v>48</v>
      </c>
      <c r="Q1353">
        <v>39.700000000000003</v>
      </c>
      <c r="R1353">
        <v>65.5</v>
      </c>
    </row>
    <row r="1354" spans="1:18" x14ac:dyDescent="0.25">
      <c r="A1354" t="s">
        <v>1449</v>
      </c>
      <c r="B1354" t="s">
        <v>54</v>
      </c>
      <c r="C1354" t="s">
        <v>1445</v>
      </c>
      <c r="D1354" t="s">
        <v>54</v>
      </c>
      <c r="E1354" t="s">
        <v>78</v>
      </c>
      <c r="F1354" t="s">
        <v>252</v>
      </c>
      <c r="G1354">
        <v>6.2460000000000004</v>
      </c>
      <c r="H1354">
        <v>-75.561000000000007</v>
      </c>
      <c r="I1354" t="s">
        <v>110</v>
      </c>
      <c r="M1354">
        <v>214.6</v>
      </c>
      <c r="N1354">
        <v>34.1</v>
      </c>
      <c r="O1354">
        <v>34</v>
      </c>
      <c r="P1354">
        <v>48</v>
      </c>
      <c r="Q1354">
        <v>53.4</v>
      </c>
      <c r="R1354">
        <v>49.1</v>
      </c>
    </row>
    <row r="1355" spans="1:18" x14ac:dyDescent="0.25">
      <c r="A1355" t="s">
        <v>1450</v>
      </c>
      <c r="B1355" t="s">
        <v>54</v>
      </c>
      <c r="C1355" t="s">
        <v>1445</v>
      </c>
      <c r="D1355" t="s">
        <v>54</v>
      </c>
      <c r="E1355" t="s">
        <v>78</v>
      </c>
      <c r="F1355" t="s">
        <v>252</v>
      </c>
      <c r="G1355">
        <v>6.2460000000000004</v>
      </c>
      <c r="H1355">
        <v>-75.561000000000007</v>
      </c>
      <c r="I1355" t="s">
        <v>110</v>
      </c>
      <c r="M1355">
        <v>263.7</v>
      </c>
      <c r="N1355">
        <v>68.3</v>
      </c>
      <c r="O1355">
        <v>20</v>
      </c>
      <c r="P1355">
        <v>44</v>
      </c>
      <c r="Q1355">
        <v>69</v>
      </c>
      <c r="R1355">
        <v>81.8</v>
      </c>
    </row>
    <row r="1356" spans="1:18" x14ac:dyDescent="0.25">
      <c r="A1356" t="s">
        <v>1451</v>
      </c>
      <c r="B1356" t="s">
        <v>54</v>
      </c>
      <c r="C1356" t="s">
        <v>1445</v>
      </c>
      <c r="D1356" t="s">
        <v>54</v>
      </c>
      <c r="E1356" t="s">
        <v>78</v>
      </c>
      <c r="F1356" t="s">
        <v>252</v>
      </c>
      <c r="G1356">
        <v>6.2460000000000004</v>
      </c>
      <c r="H1356">
        <v>-75.561000000000007</v>
      </c>
      <c r="I1356" t="s">
        <v>110</v>
      </c>
      <c r="M1356">
        <v>221.3</v>
      </c>
      <c r="N1356">
        <v>43.9</v>
      </c>
      <c r="O1356">
        <v>32</v>
      </c>
      <c r="P1356">
        <v>32</v>
      </c>
      <c r="Q1356">
        <v>62.1</v>
      </c>
      <c r="R1356">
        <v>65.5</v>
      </c>
    </row>
    <row r="1357" spans="1:18" x14ac:dyDescent="0.25">
      <c r="A1357" t="s">
        <v>1452</v>
      </c>
      <c r="B1357" t="s">
        <v>54</v>
      </c>
      <c r="C1357" t="s">
        <v>1445</v>
      </c>
      <c r="D1357" t="s">
        <v>54</v>
      </c>
      <c r="E1357" t="s">
        <v>78</v>
      </c>
      <c r="F1357" t="s">
        <v>252</v>
      </c>
      <c r="G1357">
        <v>6.2460000000000004</v>
      </c>
      <c r="H1357">
        <v>-75.561000000000007</v>
      </c>
      <c r="I1357" t="s">
        <v>110</v>
      </c>
      <c r="M1357">
        <v>147.9</v>
      </c>
      <c r="N1357">
        <v>41.5</v>
      </c>
      <c r="O1357">
        <v>30</v>
      </c>
      <c r="P1357">
        <v>20</v>
      </c>
      <c r="Q1357">
        <v>27.6</v>
      </c>
      <c r="R1357">
        <v>27.3</v>
      </c>
    </row>
    <row r="1358" spans="1:18" x14ac:dyDescent="0.25">
      <c r="A1358" t="s">
        <v>1453</v>
      </c>
      <c r="B1358" t="s">
        <v>54</v>
      </c>
      <c r="C1358" t="s">
        <v>1445</v>
      </c>
      <c r="D1358" t="s">
        <v>54</v>
      </c>
      <c r="E1358" t="s">
        <v>78</v>
      </c>
      <c r="F1358" t="s">
        <v>252</v>
      </c>
      <c r="G1358">
        <v>6.2460000000000004</v>
      </c>
      <c r="H1358">
        <v>-75.561000000000007</v>
      </c>
      <c r="I1358" t="s">
        <v>110</v>
      </c>
      <c r="M1358">
        <v>217.6</v>
      </c>
      <c r="N1358">
        <v>75.599999999999994</v>
      </c>
      <c r="O1358">
        <v>32</v>
      </c>
      <c r="P1358">
        <v>30</v>
      </c>
      <c r="Q1358">
        <v>32.799999999999997</v>
      </c>
      <c r="R1358">
        <v>54.5</v>
      </c>
    </row>
    <row r="1359" spans="1:18" x14ac:dyDescent="0.25">
      <c r="A1359" t="s">
        <v>1454</v>
      </c>
      <c r="B1359" t="s">
        <v>54</v>
      </c>
      <c r="C1359" t="s">
        <v>1445</v>
      </c>
      <c r="D1359" t="s">
        <v>54</v>
      </c>
      <c r="E1359" t="s">
        <v>78</v>
      </c>
      <c r="F1359" t="s">
        <v>252</v>
      </c>
      <c r="G1359">
        <v>6.2460000000000004</v>
      </c>
      <c r="H1359">
        <v>-75.561000000000007</v>
      </c>
      <c r="I1359" t="s">
        <v>110</v>
      </c>
      <c r="M1359">
        <v>260.5</v>
      </c>
      <c r="N1359">
        <v>63.4</v>
      </c>
      <c r="O1359">
        <v>44</v>
      </c>
      <c r="P1359">
        <v>54</v>
      </c>
      <c r="Q1359">
        <v>43.1</v>
      </c>
      <c r="R1359">
        <v>63.6</v>
      </c>
    </row>
    <row r="1360" spans="1:18" x14ac:dyDescent="0.25">
      <c r="A1360" t="s">
        <v>1455</v>
      </c>
      <c r="B1360" t="s">
        <v>54</v>
      </c>
      <c r="C1360" t="s">
        <v>1445</v>
      </c>
      <c r="D1360" t="s">
        <v>54</v>
      </c>
      <c r="E1360" t="s">
        <v>78</v>
      </c>
      <c r="F1360" t="s">
        <v>252</v>
      </c>
      <c r="G1360">
        <v>6.2460000000000004</v>
      </c>
      <c r="H1360">
        <v>-75.561000000000007</v>
      </c>
      <c r="I1360" t="s">
        <v>110</v>
      </c>
      <c r="M1360">
        <v>198.7</v>
      </c>
      <c r="N1360">
        <v>53.7</v>
      </c>
      <c r="O1360">
        <v>34</v>
      </c>
      <c r="P1360">
        <v>46</v>
      </c>
      <c r="Q1360">
        <v>25.9</v>
      </c>
      <c r="R1360">
        <v>38.200000000000003</v>
      </c>
    </row>
    <row r="1361" spans="1:18" x14ac:dyDescent="0.25">
      <c r="A1361" t="s">
        <v>1456</v>
      </c>
      <c r="B1361" t="s">
        <v>54</v>
      </c>
      <c r="C1361" t="s">
        <v>1445</v>
      </c>
      <c r="D1361" t="s">
        <v>54</v>
      </c>
      <c r="E1361" t="s">
        <v>78</v>
      </c>
      <c r="F1361" t="s">
        <v>252</v>
      </c>
      <c r="G1361">
        <v>6.2460000000000004</v>
      </c>
      <c r="H1361">
        <v>-75.561000000000007</v>
      </c>
      <c r="I1361" t="s">
        <v>110</v>
      </c>
      <c r="M1361">
        <v>189.6</v>
      </c>
      <c r="N1361">
        <v>48.8</v>
      </c>
      <c r="O1361">
        <v>46</v>
      </c>
      <c r="P1361">
        <v>32</v>
      </c>
      <c r="Q1361">
        <v>22.4</v>
      </c>
      <c r="R1361">
        <v>45.5</v>
      </c>
    </row>
    <row r="1362" spans="1:18" x14ac:dyDescent="0.25">
      <c r="A1362" t="s">
        <v>1457</v>
      </c>
      <c r="B1362" t="s">
        <v>54</v>
      </c>
      <c r="C1362" t="s">
        <v>1445</v>
      </c>
      <c r="D1362" t="s">
        <v>54</v>
      </c>
      <c r="E1362" t="s">
        <v>78</v>
      </c>
      <c r="F1362" t="s">
        <v>252</v>
      </c>
      <c r="G1362">
        <v>6.2460000000000004</v>
      </c>
      <c r="H1362">
        <v>-75.561000000000007</v>
      </c>
      <c r="I1362" t="s">
        <v>80</v>
      </c>
      <c r="M1362">
        <v>203.4</v>
      </c>
      <c r="N1362">
        <v>61</v>
      </c>
      <c r="O1362">
        <v>30</v>
      </c>
      <c r="P1362">
        <v>40</v>
      </c>
      <c r="Q1362">
        <v>36.200000000000003</v>
      </c>
      <c r="R1362">
        <v>27.3</v>
      </c>
    </row>
    <row r="1363" spans="1:18" x14ac:dyDescent="0.25">
      <c r="A1363" t="s">
        <v>1458</v>
      </c>
      <c r="B1363" t="s">
        <v>54</v>
      </c>
      <c r="C1363" t="s">
        <v>1445</v>
      </c>
      <c r="D1363" t="s">
        <v>54</v>
      </c>
      <c r="E1363" t="s">
        <v>78</v>
      </c>
      <c r="F1363" t="s">
        <v>252</v>
      </c>
      <c r="G1363">
        <v>6.2460000000000004</v>
      </c>
      <c r="H1363">
        <v>-75.561000000000007</v>
      </c>
      <c r="I1363" t="s">
        <v>80</v>
      </c>
      <c r="M1363">
        <v>233.7</v>
      </c>
      <c r="N1363">
        <v>68.3</v>
      </c>
      <c r="O1363">
        <v>34</v>
      </c>
      <c r="P1363">
        <v>50</v>
      </c>
      <c r="Q1363">
        <v>34.5</v>
      </c>
      <c r="R1363">
        <v>47.3</v>
      </c>
    </row>
    <row r="1364" spans="1:18" x14ac:dyDescent="0.25">
      <c r="A1364" t="s">
        <v>1459</v>
      </c>
      <c r="B1364" t="s">
        <v>54</v>
      </c>
      <c r="C1364" t="s">
        <v>1445</v>
      </c>
      <c r="D1364" t="s">
        <v>54</v>
      </c>
      <c r="E1364" t="s">
        <v>78</v>
      </c>
      <c r="F1364" t="s">
        <v>252</v>
      </c>
      <c r="G1364">
        <v>6.2460000000000004</v>
      </c>
      <c r="H1364">
        <v>-75.561000000000007</v>
      </c>
      <c r="I1364" t="s">
        <v>80</v>
      </c>
      <c r="M1364">
        <v>256.89999999999998</v>
      </c>
      <c r="N1364">
        <v>48.8</v>
      </c>
      <c r="O1364">
        <v>26</v>
      </c>
      <c r="P1364">
        <v>82</v>
      </c>
      <c r="Q1364">
        <v>48.3</v>
      </c>
      <c r="R1364">
        <v>52.7</v>
      </c>
    </row>
    <row r="1365" spans="1:18" x14ac:dyDescent="0.25">
      <c r="A1365" t="s">
        <v>1460</v>
      </c>
      <c r="B1365" t="s">
        <v>54</v>
      </c>
      <c r="C1365" t="s">
        <v>1445</v>
      </c>
      <c r="D1365" t="s">
        <v>54</v>
      </c>
      <c r="E1365" t="s">
        <v>78</v>
      </c>
      <c r="F1365" t="s">
        <v>252</v>
      </c>
      <c r="G1365">
        <v>6.2460000000000004</v>
      </c>
      <c r="H1365">
        <v>-75.561000000000007</v>
      </c>
      <c r="I1365" t="s">
        <v>80</v>
      </c>
      <c r="M1365">
        <v>310.7</v>
      </c>
      <c r="N1365">
        <v>75.599999999999994</v>
      </c>
      <c r="O1365">
        <v>44</v>
      </c>
      <c r="P1365">
        <v>64</v>
      </c>
      <c r="Q1365">
        <v>62.1</v>
      </c>
      <c r="R1365">
        <v>70.900000000000006</v>
      </c>
    </row>
    <row r="1366" spans="1:18" x14ac:dyDescent="0.25">
      <c r="A1366" t="s">
        <v>1461</v>
      </c>
      <c r="B1366" t="s">
        <v>54</v>
      </c>
      <c r="C1366" t="s">
        <v>1445</v>
      </c>
      <c r="D1366" t="s">
        <v>54</v>
      </c>
      <c r="E1366" t="s">
        <v>78</v>
      </c>
      <c r="F1366" t="s">
        <v>252</v>
      </c>
      <c r="G1366">
        <v>6.2460000000000004</v>
      </c>
      <c r="H1366">
        <v>-75.561000000000007</v>
      </c>
      <c r="I1366" t="s">
        <v>80</v>
      </c>
      <c r="M1366">
        <v>152.1</v>
      </c>
      <c r="N1366">
        <v>19.5</v>
      </c>
      <c r="O1366">
        <v>36</v>
      </c>
      <c r="P1366">
        <v>20</v>
      </c>
      <c r="Q1366">
        <v>34.5</v>
      </c>
      <c r="R1366">
        <v>65.5</v>
      </c>
    </row>
    <row r="1367" spans="1:18" x14ac:dyDescent="0.25">
      <c r="A1367" t="s">
        <v>1462</v>
      </c>
      <c r="B1367" t="s">
        <v>54</v>
      </c>
      <c r="C1367" t="s">
        <v>1445</v>
      </c>
      <c r="D1367" t="s">
        <v>54</v>
      </c>
      <c r="E1367" t="s">
        <v>78</v>
      </c>
      <c r="F1367" t="s">
        <v>252</v>
      </c>
      <c r="G1367">
        <v>6.2460000000000004</v>
      </c>
      <c r="H1367">
        <v>-75.561000000000007</v>
      </c>
      <c r="I1367" t="s">
        <v>80</v>
      </c>
      <c r="M1367">
        <v>272.60000000000002</v>
      </c>
      <c r="N1367">
        <v>63.4</v>
      </c>
      <c r="O1367">
        <v>34</v>
      </c>
      <c r="P1367">
        <v>62</v>
      </c>
      <c r="Q1367">
        <v>58.6</v>
      </c>
      <c r="R1367">
        <v>54.5</v>
      </c>
    </row>
    <row r="1368" spans="1:18" x14ac:dyDescent="0.25">
      <c r="A1368" t="s">
        <v>1463</v>
      </c>
      <c r="B1368" t="s">
        <v>54</v>
      </c>
      <c r="C1368" t="s">
        <v>1445</v>
      </c>
      <c r="D1368" t="s">
        <v>54</v>
      </c>
      <c r="E1368" t="s">
        <v>78</v>
      </c>
      <c r="F1368" t="s">
        <v>252</v>
      </c>
      <c r="G1368">
        <v>6.2460000000000004</v>
      </c>
      <c r="H1368">
        <v>-75.561000000000007</v>
      </c>
      <c r="I1368" t="s">
        <v>80</v>
      </c>
      <c r="M1368">
        <v>200.6</v>
      </c>
      <c r="N1368">
        <v>31.7</v>
      </c>
      <c r="O1368">
        <v>48</v>
      </c>
      <c r="P1368">
        <v>38</v>
      </c>
      <c r="Q1368">
        <v>37.9</v>
      </c>
      <c r="R1368">
        <v>54.5</v>
      </c>
    </row>
    <row r="1369" spans="1:18" x14ac:dyDescent="0.25">
      <c r="A1369" t="s">
        <v>1464</v>
      </c>
      <c r="B1369" t="s">
        <v>54</v>
      </c>
      <c r="C1369" t="s">
        <v>1445</v>
      </c>
      <c r="D1369" t="s">
        <v>54</v>
      </c>
      <c r="E1369" t="s">
        <v>78</v>
      </c>
      <c r="F1369" t="s">
        <v>252</v>
      </c>
      <c r="G1369">
        <v>6.2460000000000004</v>
      </c>
      <c r="H1369">
        <v>-75.561000000000007</v>
      </c>
      <c r="I1369" t="s">
        <v>80</v>
      </c>
      <c r="M1369">
        <v>237.6</v>
      </c>
      <c r="N1369">
        <v>70.7</v>
      </c>
      <c r="O1369">
        <v>30</v>
      </c>
      <c r="P1369">
        <v>60</v>
      </c>
      <c r="Q1369">
        <v>27.6</v>
      </c>
      <c r="R1369">
        <v>52.7</v>
      </c>
    </row>
    <row r="1370" spans="1:18" x14ac:dyDescent="0.25">
      <c r="A1370" t="s">
        <v>1465</v>
      </c>
      <c r="B1370" t="s">
        <v>54</v>
      </c>
      <c r="C1370" t="s">
        <v>1445</v>
      </c>
      <c r="D1370" t="s">
        <v>54</v>
      </c>
      <c r="E1370" t="s">
        <v>78</v>
      </c>
      <c r="F1370" t="s">
        <v>252</v>
      </c>
      <c r="G1370">
        <v>6.2460000000000004</v>
      </c>
      <c r="H1370">
        <v>-75.561000000000007</v>
      </c>
      <c r="I1370" t="s">
        <v>80</v>
      </c>
      <c r="M1370">
        <v>251.6</v>
      </c>
      <c r="N1370">
        <v>63.4</v>
      </c>
      <c r="O1370">
        <v>44</v>
      </c>
      <c r="P1370">
        <v>42</v>
      </c>
      <c r="Q1370">
        <v>53.4</v>
      </c>
      <c r="R1370">
        <v>45.5</v>
      </c>
    </row>
    <row r="1371" spans="1:18" x14ac:dyDescent="0.25">
      <c r="A1371" t="s">
        <v>1466</v>
      </c>
      <c r="B1371" t="s">
        <v>54</v>
      </c>
      <c r="C1371" t="s">
        <v>1445</v>
      </c>
      <c r="D1371" t="s">
        <v>54</v>
      </c>
      <c r="E1371" t="s">
        <v>78</v>
      </c>
      <c r="F1371" t="s">
        <v>252</v>
      </c>
      <c r="G1371">
        <v>6.2460000000000004</v>
      </c>
      <c r="H1371">
        <v>-75.561000000000007</v>
      </c>
      <c r="I1371" t="s">
        <v>80</v>
      </c>
      <c r="M1371">
        <v>168.9</v>
      </c>
      <c r="N1371">
        <v>46.3</v>
      </c>
      <c r="O1371">
        <v>28</v>
      </c>
      <c r="P1371">
        <v>26</v>
      </c>
      <c r="Q1371">
        <v>34.5</v>
      </c>
      <c r="R1371">
        <v>34.5</v>
      </c>
    </row>
    <row r="1372" spans="1:18" x14ac:dyDescent="0.25">
      <c r="A1372" t="s">
        <v>1467</v>
      </c>
      <c r="B1372" t="s">
        <v>54</v>
      </c>
      <c r="C1372" t="s">
        <v>1445</v>
      </c>
      <c r="D1372" t="s">
        <v>54</v>
      </c>
      <c r="E1372" t="s">
        <v>78</v>
      </c>
      <c r="F1372" t="s">
        <v>252</v>
      </c>
      <c r="G1372">
        <v>6.2460000000000004</v>
      </c>
      <c r="H1372">
        <v>-75.561000000000007</v>
      </c>
      <c r="I1372" t="s">
        <v>80</v>
      </c>
      <c r="M1372">
        <v>224.7</v>
      </c>
      <c r="N1372">
        <v>56.1</v>
      </c>
      <c r="O1372">
        <v>42</v>
      </c>
      <c r="P1372">
        <v>30</v>
      </c>
      <c r="Q1372">
        <v>44.8</v>
      </c>
      <c r="R1372">
        <v>65.5</v>
      </c>
    </row>
    <row r="1373" spans="1:18" x14ac:dyDescent="0.25">
      <c r="A1373" t="s">
        <v>1468</v>
      </c>
      <c r="B1373" t="s">
        <v>54</v>
      </c>
      <c r="C1373" t="s">
        <v>1445</v>
      </c>
      <c r="D1373" t="s">
        <v>54</v>
      </c>
      <c r="E1373" t="s">
        <v>78</v>
      </c>
      <c r="F1373" t="s">
        <v>252</v>
      </c>
      <c r="G1373">
        <v>6.2460000000000004</v>
      </c>
      <c r="H1373">
        <v>-75.561000000000007</v>
      </c>
      <c r="I1373" t="s">
        <v>80</v>
      </c>
      <c r="M1373">
        <v>304</v>
      </c>
      <c r="N1373">
        <v>68.3</v>
      </c>
      <c r="O1373">
        <v>52</v>
      </c>
      <c r="P1373">
        <v>72</v>
      </c>
      <c r="Q1373">
        <v>50</v>
      </c>
      <c r="R1373">
        <v>63.6</v>
      </c>
    </row>
    <row r="1374" spans="1:18" x14ac:dyDescent="0.25">
      <c r="A1374" t="s">
        <v>1469</v>
      </c>
      <c r="B1374" t="s">
        <v>54</v>
      </c>
      <c r="C1374" t="s">
        <v>1445</v>
      </c>
      <c r="D1374" t="s">
        <v>54</v>
      </c>
      <c r="E1374" t="s">
        <v>78</v>
      </c>
      <c r="F1374" t="s">
        <v>252</v>
      </c>
      <c r="G1374">
        <v>6.2460000000000004</v>
      </c>
      <c r="H1374">
        <v>-75.561000000000007</v>
      </c>
      <c r="I1374" t="s">
        <v>80</v>
      </c>
      <c r="M1374">
        <v>260.5</v>
      </c>
      <c r="N1374">
        <v>78</v>
      </c>
      <c r="O1374">
        <v>36</v>
      </c>
      <c r="P1374">
        <v>40</v>
      </c>
      <c r="Q1374">
        <v>51.7</v>
      </c>
      <c r="R1374">
        <v>60</v>
      </c>
    </row>
    <row r="1375" spans="1:18" x14ac:dyDescent="0.25">
      <c r="A1375" t="s">
        <v>1470</v>
      </c>
      <c r="B1375" t="s">
        <v>54</v>
      </c>
      <c r="C1375" t="s">
        <v>1445</v>
      </c>
      <c r="D1375" t="s">
        <v>54</v>
      </c>
      <c r="E1375" t="s">
        <v>78</v>
      </c>
      <c r="F1375" t="s">
        <v>252</v>
      </c>
      <c r="G1375">
        <v>6.2460000000000004</v>
      </c>
      <c r="H1375">
        <v>-75.561000000000007</v>
      </c>
      <c r="I1375" t="s">
        <v>80</v>
      </c>
      <c r="M1375">
        <v>220.2</v>
      </c>
      <c r="N1375">
        <v>51.2</v>
      </c>
      <c r="O1375">
        <v>34</v>
      </c>
      <c r="P1375">
        <v>48</v>
      </c>
      <c r="Q1375">
        <v>43.1</v>
      </c>
      <c r="R1375">
        <v>43.6</v>
      </c>
    </row>
    <row r="1376" spans="1:18" x14ac:dyDescent="0.25">
      <c r="A1376" t="s">
        <v>1471</v>
      </c>
      <c r="B1376" t="s">
        <v>54</v>
      </c>
      <c r="C1376" t="s">
        <v>1445</v>
      </c>
      <c r="D1376" t="s">
        <v>54</v>
      </c>
      <c r="E1376" t="s">
        <v>78</v>
      </c>
      <c r="F1376" t="s">
        <v>252</v>
      </c>
      <c r="G1376">
        <v>6.2460000000000004</v>
      </c>
      <c r="H1376">
        <v>-75.561000000000007</v>
      </c>
      <c r="I1376" t="s">
        <v>80</v>
      </c>
      <c r="M1376">
        <v>183.8</v>
      </c>
      <c r="N1376">
        <v>46.3</v>
      </c>
      <c r="O1376">
        <v>32</v>
      </c>
      <c r="P1376">
        <v>36</v>
      </c>
      <c r="Q1376">
        <v>31</v>
      </c>
      <c r="R1376">
        <v>41.8</v>
      </c>
    </row>
    <row r="1377" spans="1:18" x14ac:dyDescent="0.25">
      <c r="A1377" t="s">
        <v>1472</v>
      </c>
      <c r="B1377" t="s">
        <v>54</v>
      </c>
      <c r="C1377" t="s">
        <v>1445</v>
      </c>
      <c r="D1377" t="s">
        <v>54</v>
      </c>
      <c r="E1377" t="s">
        <v>78</v>
      </c>
      <c r="F1377" t="s">
        <v>252</v>
      </c>
      <c r="G1377">
        <v>6.2460000000000004</v>
      </c>
      <c r="H1377">
        <v>-75.561000000000007</v>
      </c>
      <c r="I1377" t="s">
        <v>80</v>
      </c>
      <c r="M1377">
        <v>230.8</v>
      </c>
      <c r="N1377">
        <v>56.1</v>
      </c>
      <c r="O1377">
        <v>48</v>
      </c>
      <c r="P1377">
        <v>26</v>
      </c>
      <c r="Q1377">
        <v>39.700000000000003</v>
      </c>
      <c r="R1377">
        <v>90.9</v>
      </c>
    </row>
    <row r="1378" spans="1:18" x14ac:dyDescent="0.25">
      <c r="A1378" t="s">
        <v>1473</v>
      </c>
      <c r="B1378" t="s">
        <v>54</v>
      </c>
      <c r="C1378" t="s">
        <v>1445</v>
      </c>
      <c r="D1378" t="s">
        <v>54</v>
      </c>
      <c r="E1378" t="s">
        <v>78</v>
      </c>
      <c r="F1378" t="s">
        <v>252</v>
      </c>
      <c r="G1378">
        <v>6.2460000000000004</v>
      </c>
      <c r="H1378">
        <v>-75.561000000000007</v>
      </c>
      <c r="I1378" t="s">
        <v>80</v>
      </c>
      <c r="M1378">
        <v>199.4</v>
      </c>
      <c r="N1378">
        <v>51.2</v>
      </c>
      <c r="O1378">
        <v>36</v>
      </c>
      <c r="P1378">
        <v>46</v>
      </c>
      <c r="Q1378">
        <v>29.3</v>
      </c>
      <c r="R1378">
        <v>30.9</v>
      </c>
    </row>
    <row r="1379" spans="1:18" x14ac:dyDescent="0.25">
      <c r="A1379" t="s">
        <v>1474</v>
      </c>
      <c r="B1379" t="s">
        <v>54</v>
      </c>
      <c r="C1379" t="s">
        <v>1445</v>
      </c>
      <c r="D1379" t="s">
        <v>54</v>
      </c>
      <c r="E1379" t="s">
        <v>78</v>
      </c>
      <c r="F1379" t="s">
        <v>252</v>
      </c>
      <c r="G1379">
        <v>6.2460000000000004</v>
      </c>
      <c r="H1379">
        <v>-75.561000000000007</v>
      </c>
      <c r="I1379" t="s">
        <v>80</v>
      </c>
      <c r="M1379">
        <v>301.2</v>
      </c>
      <c r="N1379">
        <v>68.3</v>
      </c>
      <c r="O1379">
        <v>38</v>
      </c>
      <c r="P1379">
        <v>70</v>
      </c>
      <c r="Q1379">
        <v>56.9</v>
      </c>
      <c r="R1379">
        <v>83.6</v>
      </c>
    </row>
    <row r="1380" spans="1:18" x14ac:dyDescent="0.25">
      <c r="A1380" t="s">
        <v>1475</v>
      </c>
      <c r="B1380" t="s">
        <v>54</v>
      </c>
      <c r="C1380" t="s">
        <v>1445</v>
      </c>
      <c r="D1380" t="s">
        <v>54</v>
      </c>
      <c r="E1380" t="s">
        <v>78</v>
      </c>
      <c r="F1380" t="s">
        <v>252</v>
      </c>
      <c r="G1380">
        <v>6.2460000000000004</v>
      </c>
      <c r="H1380">
        <v>-75.561000000000007</v>
      </c>
      <c r="I1380" t="s">
        <v>80</v>
      </c>
      <c r="M1380">
        <v>209.3</v>
      </c>
      <c r="N1380">
        <v>48.8</v>
      </c>
      <c r="O1380">
        <v>34</v>
      </c>
      <c r="P1380">
        <v>44</v>
      </c>
      <c r="Q1380">
        <v>43.1</v>
      </c>
      <c r="R1380">
        <v>34.5</v>
      </c>
    </row>
    <row r="1381" spans="1:18" x14ac:dyDescent="0.25">
      <c r="A1381" t="s">
        <v>1476</v>
      </c>
      <c r="B1381" t="s">
        <v>54</v>
      </c>
      <c r="C1381" t="s">
        <v>1445</v>
      </c>
      <c r="D1381" t="s">
        <v>54</v>
      </c>
      <c r="E1381" t="s">
        <v>78</v>
      </c>
      <c r="F1381" t="s">
        <v>252</v>
      </c>
      <c r="G1381">
        <v>6.2460000000000004</v>
      </c>
      <c r="H1381">
        <v>-75.561000000000007</v>
      </c>
      <c r="I1381" t="s">
        <v>110</v>
      </c>
      <c r="M1381">
        <v>212.2</v>
      </c>
      <c r="N1381">
        <v>61</v>
      </c>
      <c r="O1381">
        <v>32</v>
      </c>
      <c r="P1381">
        <v>44</v>
      </c>
      <c r="Q1381">
        <v>39.700000000000003</v>
      </c>
      <c r="R1381">
        <v>21.8</v>
      </c>
    </row>
    <row r="1382" spans="1:18" x14ac:dyDescent="0.25">
      <c r="A1382" t="s">
        <v>1477</v>
      </c>
      <c r="B1382" t="s">
        <v>54</v>
      </c>
      <c r="C1382" t="s">
        <v>1445</v>
      </c>
      <c r="D1382" t="s">
        <v>54</v>
      </c>
      <c r="E1382" t="s">
        <v>78</v>
      </c>
      <c r="F1382" t="s">
        <v>252</v>
      </c>
      <c r="G1382">
        <v>6.2460000000000004</v>
      </c>
      <c r="H1382">
        <v>-75.561000000000007</v>
      </c>
      <c r="I1382" t="s">
        <v>110</v>
      </c>
      <c r="M1382">
        <v>190.4</v>
      </c>
      <c r="N1382">
        <v>56.1</v>
      </c>
      <c r="O1382">
        <v>34</v>
      </c>
      <c r="P1382">
        <v>34</v>
      </c>
      <c r="Q1382">
        <v>27.6</v>
      </c>
      <c r="R1382">
        <v>40</v>
      </c>
    </row>
    <row r="1383" spans="1:18" x14ac:dyDescent="0.25">
      <c r="A1383" t="s">
        <v>1478</v>
      </c>
      <c r="B1383" t="s">
        <v>54</v>
      </c>
      <c r="C1383" t="s">
        <v>1445</v>
      </c>
      <c r="D1383" t="s">
        <v>54</v>
      </c>
      <c r="E1383" t="s">
        <v>78</v>
      </c>
      <c r="F1383" t="s">
        <v>252</v>
      </c>
      <c r="G1383">
        <v>6.2460000000000004</v>
      </c>
      <c r="H1383">
        <v>-75.561000000000007</v>
      </c>
      <c r="I1383" t="s">
        <v>110</v>
      </c>
      <c r="M1383">
        <v>212.2</v>
      </c>
      <c r="N1383">
        <v>61</v>
      </c>
      <c r="O1383">
        <v>42</v>
      </c>
      <c r="P1383">
        <v>28</v>
      </c>
      <c r="Q1383">
        <v>41.4</v>
      </c>
      <c r="R1383">
        <v>34.5</v>
      </c>
    </row>
    <row r="1384" spans="1:18" x14ac:dyDescent="0.25">
      <c r="A1384" t="s">
        <v>1479</v>
      </c>
      <c r="B1384" t="s">
        <v>54</v>
      </c>
      <c r="C1384" t="s">
        <v>1445</v>
      </c>
      <c r="D1384" t="s">
        <v>54</v>
      </c>
      <c r="E1384" t="s">
        <v>78</v>
      </c>
      <c r="F1384" t="s">
        <v>252</v>
      </c>
      <c r="G1384">
        <v>6.2460000000000004</v>
      </c>
      <c r="H1384">
        <v>-75.561000000000007</v>
      </c>
      <c r="I1384" t="s">
        <v>110</v>
      </c>
      <c r="M1384">
        <v>216.5</v>
      </c>
      <c r="N1384">
        <v>75.599999999999994</v>
      </c>
      <c r="O1384">
        <v>40</v>
      </c>
      <c r="P1384">
        <v>24</v>
      </c>
      <c r="Q1384">
        <v>31</v>
      </c>
      <c r="R1384">
        <v>50.9</v>
      </c>
    </row>
    <row r="1385" spans="1:18" x14ac:dyDescent="0.25">
      <c r="A1385" t="s">
        <v>1480</v>
      </c>
      <c r="B1385" t="s">
        <v>54</v>
      </c>
      <c r="C1385" t="s">
        <v>1445</v>
      </c>
      <c r="D1385" t="s">
        <v>54</v>
      </c>
      <c r="E1385" t="s">
        <v>78</v>
      </c>
      <c r="F1385" t="s">
        <v>252</v>
      </c>
      <c r="G1385">
        <v>6.2460000000000004</v>
      </c>
      <c r="H1385">
        <v>-75.561000000000007</v>
      </c>
      <c r="I1385" t="s">
        <v>110</v>
      </c>
      <c r="M1385">
        <v>196.3</v>
      </c>
      <c r="N1385">
        <v>36.6</v>
      </c>
      <c r="O1385">
        <v>36</v>
      </c>
      <c r="P1385">
        <v>30</v>
      </c>
      <c r="Q1385">
        <v>50</v>
      </c>
      <c r="R1385">
        <v>52.7</v>
      </c>
    </row>
    <row r="1386" spans="1:18" x14ac:dyDescent="0.25">
      <c r="A1386" t="s">
        <v>1481</v>
      </c>
      <c r="B1386" t="s">
        <v>54</v>
      </c>
      <c r="C1386" t="s">
        <v>1445</v>
      </c>
      <c r="D1386" t="s">
        <v>54</v>
      </c>
      <c r="E1386" t="s">
        <v>78</v>
      </c>
      <c r="F1386" t="s">
        <v>252</v>
      </c>
      <c r="G1386">
        <v>6.2460000000000004</v>
      </c>
      <c r="H1386">
        <v>-75.561000000000007</v>
      </c>
      <c r="I1386" t="s">
        <v>110</v>
      </c>
      <c r="M1386">
        <v>178.2</v>
      </c>
      <c r="N1386">
        <v>34.1</v>
      </c>
      <c r="O1386">
        <v>44</v>
      </c>
      <c r="P1386">
        <v>30</v>
      </c>
      <c r="Q1386">
        <v>29.3</v>
      </c>
      <c r="R1386">
        <v>50.9</v>
      </c>
    </row>
    <row r="1387" spans="1:18" x14ac:dyDescent="0.25">
      <c r="A1387" t="s">
        <v>1482</v>
      </c>
      <c r="B1387" t="s">
        <v>54</v>
      </c>
      <c r="C1387" t="s">
        <v>1445</v>
      </c>
      <c r="D1387" t="s">
        <v>54</v>
      </c>
      <c r="E1387" t="s">
        <v>78</v>
      </c>
      <c r="F1387" t="s">
        <v>252</v>
      </c>
      <c r="G1387">
        <v>6.2460000000000004</v>
      </c>
      <c r="H1387">
        <v>-75.561000000000007</v>
      </c>
      <c r="I1387" t="s">
        <v>110</v>
      </c>
      <c r="M1387">
        <v>224.9</v>
      </c>
      <c r="N1387">
        <v>58.5</v>
      </c>
      <c r="O1387">
        <v>36</v>
      </c>
      <c r="P1387">
        <v>38</v>
      </c>
      <c r="Q1387">
        <v>44.8</v>
      </c>
      <c r="R1387">
        <v>52.7</v>
      </c>
    </row>
    <row r="1388" spans="1:18" x14ac:dyDescent="0.25">
      <c r="A1388" t="s">
        <v>1483</v>
      </c>
      <c r="B1388" t="s">
        <v>54</v>
      </c>
      <c r="C1388" t="s">
        <v>1484</v>
      </c>
      <c r="D1388" t="s">
        <v>54</v>
      </c>
      <c r="E1388" t="s">
        <v>78</v>
      </c>
      <c r="F1388" t="s">
        <v>252</v>
      </c>
      <c r="G1388">
        <v>6.2069999999999999</v>
      </c>
      <c r="H1388">
        <v>-75.44</v>
      </c>
      <c r="I1388" t="s">
        <v>80</v>
      </c>
      <c r="M1388">
        <v>226.6</v>
      </c>
      <c r="N1388">
        <v>53.7</v>
      </c>
      <c r="O1388">
        <v>36</v>
      </c>
      <c r="P1388">
        <v>48</v>
      </c>
      <c r="Q1388">
        <v>44.8</v>
      </c>
      <c r="R1388">
        <v>41.8</v>
      </c>
    </row>
    <row r="1389" spans="1:18" x14ac:dyDescent="0.25">
      <c r="A1389" t="s">
        <v>1485</v>
      </c>
      <c r="B1389" t="s">
        <v>54</v>
      </c>
      <c r="C1389" t="s">
        <v>1484</v>
      </c>
      <c r="D1389" t="s">
        <v>54</v>
      </c>
      <c r="E1389" t="s">
        <v>78</v>
      </c>
      <c r="F1389" t="s">
        <v>252</v>
      </c>
      <c r="G1389">
        <v>6.2069999999999999</v>
      </c>
      <c r="H1389">
        <v>-75.44</v>
      </c>
      <c r="I1389" t="s">
        <v>80</v>
      </c>
      <c r="M1389">
        <v>230.2</v>
      </c>
      <c r="N1389">
        <v>73.2</v>
      </c>
      <c r="O1389">
        <v>30</v>
      </c>
      <c r="P1389">
        <v>48</v>
      </c>
      <c r="Q1389">
        <v>36.200000000000003</v>
      </c>
      <c r="R1389">
        <v>36.4</v>
      </c>
    </row>
    <row r="1390" spans="1:18" x14ac:dyDescent="0.25">
      <c r="A1390" t="s">
        <v>1486</v>
      </c>
      <c r="B1390" t="s">
        <v>54</v>
      </c>
      <c r="C1390" t="s">
        <v>1484</v>
      </c>
      <c r="D1390" t="s">
        <v>54</v>
      </c>
      <c r="E1390" t="s">
        <v>78</v>
      </c>
      <c r="F1390" t="s">
        <v>252</v>
      </c>
      <c r="G1390">
        <v>6.2069999999999999</v>
      </c>
      <c r="H1390">
        <v>-75.44</v>
      </c>
      <c r="I1390" t="s">
        <v>80</v>
      </c>
      <c r="M1390">
        <v>199.5</v>
      </c>
      <c r="N1390">
        <v>63.4</v>
      </c>
      <c r="O1390">
        <v>30</v>
      </c>
      <c r="P1390">
        <v>48</v>
      </c>
      <c r="Q1390">
        <v>22.4</v>
      </c>
      <c r="R1390">
        <v>27.3</v>
      </c>
    </row>
    <row r="1391" spans="1:18" x14ac:dyDescent="0.25">
      <c r="A1391" t="s">
        <v>1487</v>
      </c>
      <c r="B1391" t="s">
        <v>54</v>
      </c>
      <c r="C1391" t="s">
        <v>1484</v>
      </c>
      <c r="D1391" t="s">
        <v>54</v>
      </c>
      <c r="E1391" t="s">
        <v>78</v>
      </c>
      <c r="F1391" t="s">
        <v>252</v>
      </c>
      <c r="G1391">
        <v>6.2069999999999999</v>
      </c>
      <c r="H1391">
        <v>-75.44</v>
      </c>
      <c r="I1391" t="s">
        <v>80</v>
      </c>
      <c r="M1391">
        <v>169</v>
      </c>
      <c r="N1391">
        <v>65.900000000000006</v>
      </c>
      <c r="O1391">
        <v>28</v>
      </c>
      <c r="P1391">
        <v>26</v>
      </c>
      <c r="Q1391">
        <v>12.1</v>
      </c>
      <c r="R1391">
        <v>43.6</v>
      </c>
    </row>
    <row r="1392" spans="1:18" x14ac:dyDescent="0.25">
      <c r="A1392" t="s">
        <v>1488</v>
      </c>
      <c r="B1392" t="s">
        <v>54</v>
      </c>
      <c r="C1392" t="s">
        <v>1484</v>
      </c>
      <c r="D1392" t="s">
        <v>54</v>
      </c>
      <c r="E1392" t="s">
        <v>78</v>
      </c>
      <c r="F1392" t="s">
        <v>252</v>
      </c>
      <c r="G1392">
        <v>6.2069999999999999</v>
      </c>
      <c r="H1392">
        <v>-75.44</v>
      </c>
      <c r="I1392" t="s">
        <v>80</v>
      </c>
      <c r="M1392">
        <v>185.5</v>
      </c>
      <c r="N1392">
        <v>48.8</v>
      </c>
      <c r="O1392">
        <v>20</v>
      </c>
      <c r="P1392">
        <v>34</v>
      </c>
      <c r="Q1392">
        <v>48.3</v>
      </c>
      <c r="R1392">
        <v>29.1</v>
      </c>
    </row>
    <row r="1393" spans="1:18" x14ac:dyDescent="0.25">
      <c r="A1393" t="s">
        <v>1489</v>
      </c>
      <c r="B1393" t="s">
        <v>54</v>
      </c>
      <c r="C1393" t="s">
        <v>1484</v>
      </c>
      <c r="D1393" t="s">
        <v>54</v>
      </c>
      <c r="E1393" t="s">
        <v>78</v>
      </c>
      <c r="F1393" t="s">
        <v>252</v>
      </c>
      <c r="G1393">
        <v>6.2069999999999999</v>
      </c>
      <c r="H1393">
        <v>-75.44</v>
      </c>
      <c r="I1393" t="s">
        <v>80</v>
      </c>
      <c r="M1393">
        <v>298.89999999999998</v>
      </c>
      <c r="N1393">
        <v>68.3</v>
      </c>
      <c r="O1393">
        <v>32</v>
      </c>
      <c r="P1393">
        <v>80</v>
      </c>
      <c r="Q1393">
        <v>56.9</v>
      </c>
      <c r="R1393">
        <v>65.5</v>
      </c>
    </row>
    <row r="1394" spans="1:18" x14ac:dyDescent="0.25">
      <c r="A1394" t="s">
        <v>1490</v>
      </c>
      <c r="B1394" t="s">
        <v>54</v>
      </c>
      <c r="C1394" t="s">
        <v>1484</v>
      </c>
      <c r="D1394" t="s">
        <v>54</v>
      </c>
      <c r="E1394" t="s">
        <v>78</v>
      </c>
      <c r="F1394" t="s">
        <v>252</v>
      </c>
      <c r="G1394">
        <v>6.2069999999999999</v>
      </c>
      <c r="H1394">
        <v>-75.44</v>
      </c>
      <c r="I1394" t="s">
        <v>80</v>
      </c>
      <c r="M1394">
        <v>137.5</v>
      </c>
      <c r="N1394">
        <v>29.3</v>
      </c>
      <c r="O1394">
        <v>30</v>
      </c>
      <c r="P1394">
        <v>22</v>
      </c>
      <c r="Q1394">
        <v>27.6</v>
      </c>
      <c r="R1394">
        <v>30.9</v>
      </c>
    </row>
    <row r="1395" spans="1:18" x14ac:dyDescent="0.25">
      <c r="A1395" t="s">
        <v>1491</v>
      </c>
      <c r="B1395" t="s">
        <v>54</v>
      </c>
      <c r="C1395" t="s">
        <v>1484</v>
      </c>
      <c r="D1395" t="s">
        <v>54</v>
      </c>
      <c r="E1395" t="s">
        <v>78</v>
      </c>
      <c r="F1395" t="s">
        <v>252</v>
      </c>
      <c r="G1395">
        <v>6.2069999999999999</v>
      </c>
      <c r="H1395">
        <v>-75.44</v>
      </c>
      <c r="I1395" t="s">
        <v>80</v>
      </c>
      <c r="M1395">
        <v>213.9</v>
      </c>
      <c r="N1395">
        <v>56.1</v>
      </c>
      <c r="O1395">
        <v>28</v>
      </c>
      <c r="P1395">
        <v>38</v>
      </c>
      <c r="Q1395">
        <v>51.7</v>
      </c>
      <c r="R1395">
        <v>34.5</v>
      </c>
    </row>
    <row r="1396" spans="1:18" x14ac:dyDescent="0.25">
      <c r="A1396" t="s">
        <v>1492</v>
      </c>
      <c r="B1396" t="s">
        <v>54</v>
      </c>
      <c r="C1396" t="s">
        <v>1484</v>
      </c>
      <c r="D1396" t="s">
        <v>54</v>
      </c>
      <c r="E1396" t="s">
        <v>78</v>
      </c>
      <c r="F1396" t="s">
        <v>252</v>
      </c>
      <c r="G1396">
        <v>6.2069999999999999</v>
      </c>
      <c r="H1396">
        <v>-75.44</v>
      </c>
      <c r="I1396" t="s">
        <v>80</v>
      </c>
      <c r="M1396">
        <v>152</v>
      </c>
      <c r="N1396">
        <v>34.1</v>
      </c>
      <c r="O1396">
        <v>24</v>
      </c>
      <c r="P1396">
        <v>30</v>
      </c>
      <c r="Q1396">
        <v>34.5</v>
      </c>
      <c r="R1396">
        <v>27.3</v>
      </c>
    </row>
    <row r="1397" spans="1:18" x14ac:dyDescent="0.25">
      <c r="A1397" t="s">
        <v>1493</v>
      </c>
      <c r="B1397" t="s">
        <v>54</v>
      </c>
      <c r="C1397" t="s">
        <v>1484</v>
      </c>
      <c r="D1397" t="s">
        <v>54</v>
      </c>
      <c r="E1397" t="s">
        <v>78</v>
      </c>
      <c r="F1397" t="s">
        <v>252</v>
      </c>
      <c r="G1397">
        <v>6.2069999999999999</v>
      </c>
      <c r="H1397">
        <v>-75.44</v>
      </c>
      <c r="I1397" t="s">
        <v>80</v>
      </c>
      <c r="M1397">
        <v>120.1</v>
      </c>
      <c r="N1397">
        <v>26.8</v>
      </c>
      <c r="O1397">
        <v>16</v>
      </c>
      <c r="P1397">
        <v>18</v>
      </c>
      <c r="Q1397">
        <v>29.3</v>
      </c>
      <c r="R1397">
        <v>41.8</v>
      </c>
    </row>
    <row r="1398" spans="1:18" x14ac:dyDescent="0.25">
      <c r="A1398" t="s">
        <v>1494</v>
      </c>
      <c r="B1398" t="s">
        <v>54</v>
      </c>
      <c r="C1398" t="s">
        <v>1484</v>
      </c>
      <c r="D1398" t="s">
        <v>54</v>
      </c>
      <c r="E1398" t="s">
        <v>78</v>
      </c>
      <c r="F1398" t="s">
        <v>252</v>
      </c>
      <c r="G1398">
        <v>6.2069999999999999</v>
      </c>
      <c r="H1398">
        <v>-75.44</v>
      </c>
      <c r="I1398" t="s">
        <v>80</v>
      </c>
      <c r="M1398">
        <v>148</v>
      </c>
      <c r="N1398">
        <v>51.2</v>
      </c>
      <c r="O1398">
        <v>28</v>
      </c>
      <c r="P1398">
        <v>22</v>
      </c>
      <c r="Q1398">
        <v>15.5</v>
      </c>
      <c r="R1398">
        <v>34.5</v>
      </c>
    </row>
    <row r="1399" spans="1:18" x14ac:dyDescent="0.25">
      <c r="A1399" t="s">
        <v>1495</v>
      </c>
      <c r="B1399" t="s">
        <v>54</v>
      </c>
      <c r="C1399" t="s">
        <v>1484</v>
      </c>
      <c r="D1399" t="s">
        <v>54</v>
      </c>
      <c r="E1399" t="s">
        <v>78</v>
      </c>
      <c r="F1399" t="s">
        <v>252</v>
      </c>
      <c r="G1399">
        <v>6.2069999999999999</v>
      </c>
      <c r="H1399">
        <v>-75.44</v>
      </c>
      <c r="I1399" t="s">
        <v>80</v>
      </c>
      <c r="M1399">
        <v>138.9</v>
      </c>
      <c r="N1399">
        <v>19.5</v>
      </c>
      <c r="O1399">
        <v>24</v>
      </c>
      <c r="P1399">
        <v>28</v>
      </c>
      <c r="Q1399">
        <v>37.9</v>
      </c>
      <c r="R1399">
        <v>32.700000000000003</v>
      </c>
    </row>
    <row r="1400" spans="1:18" x14ac:dyDescent="0.25">
      <c r="A1400" t="s">
        <v>1496</v>
      </c>
      <c r="B1400" t="s">
        <v>54</v>
      </c>
      <c r="C1400" t="s">
        <v>1484</v>
      </c>
      <c r="D1400" t="s">
        <v>54</v>
      </c>
      <c r="E1400" t="s">
        <v>78</v>
      </c>
      <c r="F1400" t="s">
        <v>252</v>
      </c>
      <c r="G1400">
        <v>6.2069999999999999</v>
      </c>
      <c r="H1400">
        <v>-75.44</v>
      </c>
      <c r="I1400" t="s">
        <v>80</v>
      </c>
      <c r="M1400">
        <v>197.8</v>
      </c>
      <c r="N1400">
        <v>56.1</v>
      </c>
      <c r="O1400">
        <v>26</v>
      </c>
      <c r="P1400">
        <v>38</v>
      </c>
      <c r="Q1400">
        <v>36.200000000000003</v>
      </c>
      <c r="R1400">
        <v>45.5</v>
      </c>
    </row>
    <row r="1401" spans="1:18" x14ac:dyDescent="0.25">
      <c r="A1401" t="s">
        <v>1497</v>
      </c>
      <c r="B1401" t="s">
        <v>54</v>
      </c>
      <c r="C1401" t="s">
        <v>1484</v>
      </c>
      <c r="D1401" t="s">
        <v>54</v>
      </c>
      <c r="E1401" t="s">
        <v>78</v>
      </c>
      <c r="F1401" t="s">
        <v>252</v>
      </c>
      <c r="G1401">
        <v>6.2069999999999999</v>
      </c>
      <c r="H1401">
        <v>-75.44</v>
      </c>
      <c r="I1401" t="s">
        <v>80</v>
      </c>
      <c r="M1401">
        <v>245.4</v>
      </c>
      <c r="N1401">
        <v>53.7</v>
      </c>
      <c r="O1401">
        <v>26</v>
      </c>
      <c r="P1401">
        <v>62</v>
      </c>
      <c r="Q1401">
        <v>53.4</v>
      </c>
      <c r="R1401">
        <v>52.7</v>
      </c>
    </row>
    <row r="1402" spans="1:18" x14ac:dyDescent="0.25">
      <c r="A1402" t="s">
        <v>1498</v>
      </c>
      <c r="B1402" t="s">
        <v>54</v>
      </c>
      <c r="C1402" t="s">
        <v>1484</v>
      </c>
      <c r="D1402" t="s">
        <v>54</v>
      </c>
      <c r="E1402" t="s">
        <v>78</v>
      </c>
      <c r="F1402" t="s">
        <v>252</v>
      </c>
      <c r="G1402">
        <v>6.2069999999999999</v>
      </c>
      <c r="H1402">
        <v>-75.44</v>
      </c>
      <c r="I1402" t="s">
        <v>80</v>
      </c>
      <c r="M1402">
        <v>220.8</v>
      </c>
      <c r="N1402">
        <v>63.4</v>
      </c>
      <c r="O1402">
        <v>36</v>
      </c>
      <c r="P1402">
        <v>46</v>
      </c>
      <c r="Q1402">
        <v>36.200000000000003</v>
      </c>
      <c r="R1402">
        <v>29.1</v>
      </c>
    </row>
    <row r="1403" spans="1:18" x14ac:dyDescent="0.25">
      <c r="A1403" t="s">
        <v>1499</v>
      </c>
      <c r="B1403" t="s">
        <v>54</v>
      </c>
      <c r="C1403" t="s">
        <v>1484</v>
      </c>
      <c r="D1403" t="s">
        <v>54</v>
      </c>
      <c r="E1403" t="s">
        <v>78</v>
      </c>
      <c r="F1403" t="s">
        <v>252</v>
      </c>
      <c r="G1403">
        <v>6.2069999999999999</v>
      </c>
      <c r="H1403">
        <v>-75.44</v>
      </c>
      <c r="I1403" t="s">
        <v>80</v>
      </c>
      <c r="M1403">
        <v>229.1</v>
      </c>
      <c r="N1403">
        <v>65.900000000000006</v>
      </c>
      <c r="O1403">
        <v>36</v>
      </c>
      <c r="P1403">
        <v>32</v>
      </c>
      <c r="Q1403">
        <v>36.200000000000003</v>
      </c>
      <c r="R1403">
        <v>85.5</v>
      </c>
    </row>
    <row r="1404" spans="1:18" x14ac:dyDescent="0.25">
      <c r="A1404" t="s">
        <v>1500</v>
      </c>
      <c r="B1404" t="s">
        <v>54</v>
      </c>
      <c r="C1404" t="s">
        <v>1484</v>
      </c>
      <c r="D1404" t="s">
        <v>54</v>
      </c>
      <c r="E1404" t="s">
        <v>78</v>
      </c>
      <c r="F1404" t="s">
        <v>252</v>
      </c>
      <c r="G1404">
        <v>6.2069999999999999</v>
      </c>
      <c r="H1404">
        <v>-75.44</v>
      </c>
      <c r="I1404" t="s">
        <v>80</v>
      </c>
      <c r="M1404">
        <v>193.7</v>
      </c>
      <c r="N1404">
        <v>61</v>
      </c>
      <c r="O1404">
        <v>30</v>
      </c>
      <c r="P1404">
        <v>30</v>
      </c>
      <c r="Q1404">
        <v>29.3</v>
      </c>
      <c r="R1404">
        <v>52.7</v>
      </c>
    </row>
    <row r="1405" spans="1:18" x14ac:dyDescent="0.25">
      <c r="A1405" t="s">
        <v>1501</v>
      </c>
      <c r="B1405" t="s">
        <v>54</v>
      </c>
      <c r="C1405" t="s">
        <v>1484</v>
      </c>
      <c r="D1405" t="s">
        <v>54</v>
      </c>
      <c r="E1405" t="s">
        <v>78</v>
      </c>
      <c r="F1405" t="s">
        <v>252</v>
      </c>
      <c r="G1405">
        <v>6.2069999999999999</v>
      </c>
      <c r="H1405">
        <v>-75.44</v>
      </c>
      <c r="I1405" t="s">
        <v>80</v>
      </c>
      <c r="M1405">
        <v>216.7</v>
      </c>
      <c r="N1405">
        <v>73.2</v>
      </c>
      <c r="O1405">
        <v>28</v>
      </c>
      <c r="P1405">
        <v>44</v>
      </c>
      <c r="Q1405">
        <v>29.3</v>
      </c>
      <c r="R1405">
        <v>40</v>
      </c>
    </row>
    <row r="1406" spans="1:18" x14ac:dyDescent="0.25">
      <c r="A1406" t="s">
        <v>1502</v>
      </c>
      <c r="B1406" t="s">
        <v>54</v>
      </c>
      <c r="C1406" t="s">
        <v>1484</v>
      </c>
      <c r="D1406" t="s">
        <v>54</v>
      </c>
      <c r="E1406" t="s">
        <v>78</v>
      </c>
      <c r="F1406" t="s">
        <v>252</v>
      </c>
      <c r="G1406">
        <v>6.2069999999999999</v>
      </c>
      <c r="H1406">
        <v>-75.44</v>
      </c>
      <c r="I1406" t="s">
        <v>80</v>
      </c>
      <c r="M1406">
        <v>156.19999999999999</v>
      </c>
      <c r="N1406">
        <v>36.6</v>
      </c>
      <c r="O1406">
        <v>26</v>
      </c>
      <c r="P1406">
        <v>28</v>
      </c>
      <c r="Q1406">
        <v>34.5</v>
      </c>
      <c r="R1406">
        <v>30.9</v>
      </c>
    </row>
    <row r="1407" spans="1:18" x14ac:dyDescent="0.25">
      <c r="A1407" t="s">
        <v>1503</v>
      </c>
      <c r="B1407" t="s">
        <v>54</v>
      </c>
      <c r="C1407" t="s">
        <v>1484</v>
      </c>
      <c r="D1407" t="s">
        <v>54</v>
      </c>
      <c r="E1407" t="s">
        <v>78</v>
      </c>
      <c r="F1407" t="s">
        <v>252</v>
      </c>
      <c r="G1407">
        <v>6.2069999999999999</v>
      </c>
      <c r="H1407">
        <v>-75.44</v>
      </c>
      <c r="I1407" t="s">
        <v>80</v>
      </c>
      <c r="M1407">
        <v>279.5</v>
      </c>
      <c r="N1407">
        <v>73.2</v>
      </c>
      <c r="O1407">
        <v>34</v>
      </c>
      <c r="P1407">
        <v>64</v>
      </c>
      <c r="Q1407">
        <v>53.4</v>
      </c>
      <c r="R1407">
        <v>52.7</v>
      </c>
    </row>
    <row r="1408" spans="1:18" x14ac:dyDescent="0.25">
      <c r="A1408" t="s">
        <v>1504</v>
      </c>
      <c r="B1408" t="s">
        <v>54</v>
      </c>
      <c r="C1408" t="s">
        <v>1484</v>
      </c>
      <c r="D1408" t="s">
        <v>54</v>
      </c>
      <c r="E1408" t="s">
        <v>78</v>
      </c>
      <c r="F1408" t="s">
        <v>252</v>
      </c>
      <c r="G1408">
        <v>6.2069999999999999</v>
      </c>
      <c r="H1408">
        <v>-75.44</v>
      </c>
      <c r="I1408" t="s">
        <v>80</v>
      </c>
      <c r="M1408">
        <v>176.2</v>
      </c>
      <c r="N1408">
        <v>41.5</v>
      </c>
      <c r="O1408">
        <v>34</v>
      </c>
      <c r="P1408">
        <v>26</v>
      </c>
      <c r="Q1408">
        <v>37.9</v>
      </c>
      <c r="R1408">
        <v>40</v>
      </c>
    </row>
    <row r="1409" spans="1:18" x14ac:dyDescent="0.25">
      <c r="A1409" t="s">
        <v>1505</v>
      </c>
      <c r="B1409" t="s">
        <v>54</v>
      </c>
      <c r="C1409" t="s">
        <v>1506</v>
      </c>
      <c r="D1409" t="s">
        <v>54</v>
      </c>
      <c r="E1409" t="s">
        <v>78</v>
      </c>
      <c r="F1409" t="s">
        <v>252</v>
      </c>
      <c r="G1409">
        <v>6.1790000000000003</v>
      </c>
      <c r="H1409">
        <v>-75.394000000000005</v>
      </c>
      <c r="I1409" t="s">
        <v>110</v>
      </c>
      <c r="M1409">
        <v>139.80000000000001</v>
      </c>
      <c r="N1409">
        <v>39</v>
      </c>
      <c r="O1409">
        <v>28</v>
      </c>
      <c r="P1409">
        <v>18</v>
      </c>
      <c r="Q1409">
        <v>25.9</v>
      </c>
      <c r="R1409">
        <v>30.9</v>
      </c>
    </row>
    <row r="1410" spans="1:18" x14ac:dyDescent="0.25">
      <c r="A1410" t="s">
        <v>1507</v>
      </c>
      <c r="B1410" t="s">
        <v>54</v>
      </c>
      <c r="C1410" t="s">
        <v>1506</v>
      </c>
      <c r="D1410" t="s">
        <v>54</v>
      </c>
      <c r="E1410" t="s">
        <v>78</v>
      </c>
      <c r="F1410" t="s">
        <v>252</v>
      </c>
      <c r="G1410">
        <v>6.1790000000000003</v>
      </c>
      <c r="H1410">
        <v>-75.394000000000005</v>
      </c>
      <c r="I1410" t="s">
        <v>110</v>
      </c>
      <c r="M1410">
        <v>256.2</v>
      </c>
      <c r="N1410">
        <v>68.3</v>
      </c>
      <c r="O1410">
        <v>36</v>
      </c>
      <c r="P1410">
        <v>42</v>
      </c>
      <c r="Q1410">
        <v>55.2</v>
      </c>
      <c r="R1410">
        <v>61.8</v>
      </c>
    </row>
    <row r="1411" spans="1:18" x14ac:dyDescent="0.25">
      <c r="A1411" t="s">
        <v>1508</v>
      </c>
      <c r="B1411" t="s">
        <v>54</v>
      </c>
      <c r="C1411" t="s">
        <v>1506</v>
      </c>
      <c r="D1411" t="s">
        <v>54</v>
      </c>
      <c r="E1411" t="s">
        <v>78</v>
      </c>
      <c r="F1411" t="s">
        <v>252</v>
      </c>
      <c r="G1411">
        <v>6.1790000000000003</v>
      </c>
      <c r="H1411">
        <v>-75.394000000000005</v>
      </c>
      <c r="I1411" t="s">
        <v>110</v>
      </c>
      <c r="M1411">
        <v>162.19999999999999</v>
      </c>
      <c r="N1411">
        <v>29.3</v>
      </c>
      <c r="O1411">
        <v>28</v>
      </c>
      <c r="P1411">
        <v>28</v>
      </c>
      <c r="Q1411">
        <v>41.4</v>
      </c>
      <c r="R1411">
        <v>41.8</v>
      </c>
    </row>
    <row r="1412" spans="1:18" x14ac:dyDescent="0.25">
      <c r="A1412" t="s">
        <v>1509</v>
      </c>
      <c r="B1412" t="s">
        <v>54</v>
      </c>
      <c r="C1412" t="s">
        <v>1506</v>
      </c>
      <c r="D1412" t="s">
        <v>54</v>
      </c>
      <c r="E1412" t="s">
        <v>78</v>
      </c>
      <c r="F1412" t="s">
        <v>252</v>
      </c>
      <c r="G1412">
        <v>6.1790000000000003</v>
      </c>
      <c r="H1412">
        <v>-75.394000000000005</v>
      </c>
      <c r="I1412" t="s">
        <v>110</v>
      </c>
      <c r="M1412">
        <v>194.6</v>
      </c>
      <c r="N1412">
        <v>56.1</v>
      </c>
      <c r="O1412">
        <v>28</v>
      </c>
      <c r="P1412">
        <v>34</v>
      </c>
      <c r="Q1412">
        <v>39.700000000000003</v>
      </c>
      <c r="R1412">
        <v>32.700000000000003</v>
      </c>
    </row>
    <row r="1413" spans="1:18" x14ac:dyDescent="0.25">
      <c r="A1413" t="s">
        <v>1510</v>
      </c>
      <c r="B1413" t="s">
        <v>54</v>
      </c>
      <c r="C1413" t="s">
        <v>1506</v>
      </c>
      <c r="D1413" t="s">
        <v>54</v>
      </c>
      <c r="E1413" t="s">
        <v>78</v>
      </c>
      <c r="F1413" t="s">
        <v>252</v>
      </c>
      <c r="G1413">
        <v>6.1790000000000003</v>
      </c>
      <c r="H1413">
        <v>-75.394000000000005</v>
      </c>
      <c r="I1413" t="s">
        <v>110</v>
      </c>
      <c r="M1413">
        <v>215.2</v>
      </c>
      <c r="N1413">
        <v>51.2</v>
      </c>
      <c r="O1413">
        <v>28</v>
      </c>
      <c r="P1413">
        <v>52</v>
      </c>
      <c r="Q1413">
        <v>41.4</v>
      </c>
      <c r="R1413">
        <v>41.8</v>
      </c>
    </row>
    <row r="1414" spans="1:18" x14ac:dyDescent="0.25">
      <c r="A1414" t="s">
        <v>1511</v>
      </c>
      <c r="B1414" t="s">
        <v>54</v>
      </c>
      <c r="C1414" t="s">
        <v>1506</v>
      </c>
      <c r="D1414" t="s">
        <v>54</v>
      </c>
      <c r="E1414" t="s">
        <v>78</v>
      </c>
      <c r="F1414" t="s">
        <v>252</v>
      </c>
      <c r="G1414">
        <v>6.1790000000000003</v>
      </c>
      <c r="H1414">
        <v>-75.394000000000005</v>
      </c>
      <c r="I1414" t="s">
        <v>110</v>
      </c>
      <c r="M1414">
        <v>172.3</v>
      </c>
      <c r="N1414">
        <v>73.2</v>
      </c>
      <c r="O1414">
        <v>20</v>
      </c>
      <c r="P1414">
        <v>32</v>
      </c>
      <c r="Q1414">
        <v>24.1</v>
      </c>
      <c r="R1414">
        <v>0</v>
      </c>
    </row>
    <row r="1415" spans="1:18" x14ac:dyDescent="0.25">
      <c r="A1415" t="s">
        <v>1512</v>
      </c>
      <c r="B1415" t="s">
        <v>54</v>
      </c>
      <c r="C1415" t="s">
        <v>1506</v>
      </c>
      <c r="D1415" t="s">
        <v>54</v>
      </c>
      <c r="E1415" t="s">
        <v>78</v>
      </c>
      <c r="F1415" t="s">
        <v>252</v>
      </c>
      <c r="G1415">
        <v>6.1790000000000003</v>
      </c>
      <c r="H1415">
        <v>-75.394000000000005</v>
      </c>
      <c r="I1415" t="s">
        <v>110</v>
      </c>
      <c r="M1415">
        <v>178.4</v>
      </c>
      <c r="N1415">
        <v>34.1</v>
      </c>
      <c r="O1415">
        <v>38</v>
      </c>
      <c r="P1415">
        <v>30</v>
      </c>
      <c r="Q1415">
        <v>37.9</v>
      </c>
      <c r="R1415">
        <v>43.6</v>
      </c>
    </row>
    <row r="1416" spans="1:18" x14ac:dyDescent="0.25">
      <c r="A1416" t="s">
        <v>1513</v>
      </c>
      <c r="B1416" t="s">
        <v>54</v>
      </c>
      <c r="C1416" t="s">
        <v>1506</v>
      </c>
      <c r="D1416" t="s">
        <v>54</v>
      </c>
      <c r="E1416" t="s">
        <v>78</v>
      </c>
      <c r="F1416" t="s">
        <v>252</v>
      </c>
      <c r="G1416">
        <v>6.1790000000000003</v>
      </c>
      <c r="H1416">
        <v>-75.394000000000005</v>
      </c>
      <c r="I1416" t="s">
        <v>110</v>
      </c>
      <c r="M1416">
        <v>143.6</v>
      </c>
      <c r="N1416">
        <v>19.5</v>
      </c>
      <c r="O1416">
        <v>42</v>
      </c>
      <c r="P1416">
        <v>22</v>
      </c>
      <c r="Q1416">
        <v>27.6</v>
      </c>
      <c r="R1416">
        <v>40</v>
      </c>
    </row>
    <row r="1417" spans="1:18" x14ac:dyDescent="0.25">
      <c r="A1417" t="s">
        <v>1514</v>
      </c>
      <c r="B1417" t="s">
        <v>54</v>
      </c>
      <c r="C1417" t="s">
        <v>1506</v>
      </c>
      <c r="D1417" t="s">
        <v>54</v>
      </c>
      <c r="E1417" t="s">
        <v>78</v>
      </c>
      <c r="F1417" t="s">
        <v>252</v>
      </c>
      <c r="G1417">
        <v>6.1790000000000003</v>
      </c>
      <c r="H1417">
        <v>-75.394000000000005</v>
      </c>
      <c r="I1417" t="s">
        <v>110</v>
      </c>
      <c r="M1417">
        <v>184.1</v>
      </c>
      <c r="N1417">
        <v>51.2</v>
      </c>
      <c r="O1417">
        <v>20</v>
      </c>
      <c r="P1417">
        <v>30</v>
      </c>
      <c r="Q1417">
        <v>41.4</v>
      </c>
      <c r="R1417">
        <v>50.9</v>
      </c>
    </row>
    <row r="1418" spans="1:18" x14ac:dyDescent="0.25">
      <c r="A1418" t="s">
        <v>1515</v>
      </c>
      <c r="B1418" t="s">
        <v>54</v>
      </c>
      <c r="C1418" t="s">
        <v>1506</v>
      </c>
      <c r="D1418" t="s">
        <v>54</v>
      </c>
      <c r="E1418" t="s">
        <v>78</v>
      </c>
      <c r="F1418" t="s">
        <v>252</v>
      </c>
      <c r="G1418">
        <v>6.1790000000000003</v>
      </c>
      <c r="H1418">
        <v>-75.394000000000005</v>
      </c>
      <c r="I1418" t="s">
        <v>110</v>
      </c>
      <c r="M1418">
        <v>196.5</v>
      </c>
      <c r="N1418">
        <v>56.1</v>
      </c>
      <c r="O1418">
        <v>18</v>
      </c>
      <c r="P1418">
        <v>34</v>
      </c>
      <c r="Q1418">
        <v>48.3</v>
      </c>
      <c r="R1418">
        <v>41.8</v>
      </c>
    </row>
    <row r="1419" spans="1:18" x14ac:dyDescent="0.25">
      <c r="A1419" t="s">
        <v>1516</v>
      </c>
      <c r="B1419" t="s">
        <v>54</v>
      </c>
      <c r="C1419" t="s">
        <v>1506</v>
      </c>
      <c r="D1419" t="s">
        <v>54</v>
      </c>
      <c r="E1419" t="s">
        <v>78</v>
      </c>
      <c r="F1419" t="s">
        <v>252</v>
      </c>
      <c r="G1419">
        <v>6.1790000000000003</v>
      </c>
      <c r="H1419">
        <v>-75.394000000000005</v>
      </c>
      <c r="I1419" t="s">
        <v>110</v>
      </c>
      <c r="M1419">
        <v>149.4</v>
      </c>
      <c r="N1419">
        <v>34.1</v>
      </c>
      <c r="O1419">
        <v>26</v>
      </c>
      <c r="P1419">
        <v>28</v>
      </c>
      <c r="Q1419">
        <v>31</v>
      </c>
      <c r="R1419">
        <v>30.9</v>
      </c>
    </row>
    <row r="1420" spans="1:18" x14ac:dyDescent="0.25">
      <c r="A1420" t="s">
        <v>1517</v>
      </c>
      <c r="B1420" t="s">
        <v>54</v>
      </c>
      <c r="C1420" t="s">
        <v>1506</v>
      </c>
      <c r="D1420" t="s">
        <v>54</v>
      </c>
      <c r="E1420" t="s">
        <v>78</v>
      </c>
      <c r="F1420" t="s">
        <v>252</v>
      </c>
      <c r="G1420">
        <v>6.1790000000000003</v>
      </c>
      <c r="H1420">
        <v>-75.394000000000005</v>
      </c>
      <c r="I1420" t="s">
        <v>110</v>
      </c>
      <c r="M1420">
        <v>174.4</v>
      </c>
      <c r="N1420">
        <v>39</v>
      </c>
      <c r="O1420">
        <v>24</v>
      </c>
      <c r="P1420">
        <v>34</v>
      </c>
      <c r="Q1420">
        <v>41.4</v>
      </c>
      <c r="R1420">
        <v>38.200000000000003</v>
      </c>
    </row>
    <row r="1421" spans="1:18" x14ac:dyDescent="0.25">
      <c r="A1421" t="s">
        <v>1518</v>
      </c>
      <c r="B1421" t="s">
        <v>54</v>
      </c>
      <c r="C1421" t="s">
        <v>1506</v>
      </c>
      <c r="D1421" t="s">
        <v>54</v>
      </c>
      <c r="E1421" t="s">
        <v>78</v>
      </c>
      <c r="F1421" t="s">
        <v>252</v>
      </c>
      <c r="G1421">
        <v>6.1790000000000003</v>
      </c>
      <c r="H1421">
        <v>-75.394000000000005</v>
      </c>
      <c r="I1421" t="s">
        <v>110</v>
      </c>
      <c r="M1421">
        <v>172.2</v>
      </c>
      <c r="N1421">
        <v>41.5</v>
      </c>
      <c r="O1421">
        <v>38</v>
      </c>
      <c r="P1421">
        <v>30</v>
      </c>
      <c r="Q1421">
        <v>25.9</v>
      </c>
      <c r="R1421">
        <v>41.8</v>
      </c>
    </row>
    <row r="1422" spans="1:18" x14ac:dyDescent="0.25">
      <c r="A1422" t="s">
        <v>1519</v>
      </c>
      <c r="B1422" t="s">
        <v>54</v>
      </c>
      <c r="C1422" t="s">
        <v>1506</v>
      </c>
      <c r="D1422" t="s">
        <v>54</v>
      </c>
      <c r="E1422" t="s">
        <v>78</v>
      </c>
      <c r="F1422" t="s">
        <v>252</v>
      </c>
      <c r="G1422">
        <v>6.1790000000000003</v>
      </c>
      <c r="H1422">
        <v>-75.394000000000005</v>
      </c>
      <c r="I1422" t="s">
        <v>110</v>
      </c>
      <c r="M1422">
        <v>128.30000000000001</v>
      </c>
      <c r="N1422">
        <v>41.5</v>
      </c>
      <c r="O1422">
        <v>22</v>
      </c>
      <c r="P1422">
        <v>34</v>
      </c>
      <c r="Q1422">
        <v>3.4</v>
      </c>
      <c r="R1422">
        <v>30.9</v>
      </c>
    </row>
    <row r="1423" spans="1:18" x14ac:dyDescent="0.25">
      <c r="A1423" t="s">
        <v>1520</v>
      </c>
      <c r="B1423" t="s">
        <v>54</v>
      </c>
      <c r="C1423" t="s">
        <v>1506</v>
      </c>
      <c r="D1423" t="s">
        <v>54</v>
      </c>
      <c r="E1423" t="s">
        <v>78</v>
      </c>
      <c r="F1423" t="s">
        <v>252</v>
      </c>
      <c r="G1423">
        <v>6.1790000000000003</v>
      </c>
      <c r="H1423">
        <v>-75.394000000000005</v>
      </c>
      <c r="I1423" t="s">
        <v>110</v>
      </c>
      <c r="M1423">
        <v>178.1</v>
      </c>
      <c r="N1423">
        <v>51.2</v>
      </c>
      <c r="O1423">
        <v>28</v>
      </c>
      <c r="P1423">
        <v>36</v>
      </c>
      <c r="Q1423">
        <v>27.6</v>
      </c>
      <c r="R1423">
        <v>34.5</v>
      </c>
    </row>
    <row r="1424" spans="1:18" x14ac:dyDescent="0.25">
      <c r="A1424" t="s">
        <v>1521</v>
      </c>
      <c r="B1424" t="s">
        <v>54</v>
      </c>
      <c r="C1424" t="s">
        <v>1506</v>
      </c>
      <c r="D1424" t="s">
        <v>54</v>
      </c>
      <c r="E1424" t="s">
        <v>78</v>
      </c>
      <c r="F1424" t="s">
        <v>252</v>
      </c>
      <c r="G1424">
        <v>6.1790000000000003</v>
      </c>
      <c r="H1424">
        <v>-75.394000000000005</v>
      </c>
      <c r="I1424" t="s">
        <v>110</v>
      </c>
      <c r="M1424">
        <v>143.5</v>
      </c>
      <c r="N1424">
        <v>36.6</v>
      </c>
      <c r="O1424">
        <v>24</v>
      </c>
      <c r="P1424">
        <v>18</v>
      </c>
      <c r="Q1424">
        <v>27.6</v>
      </c>
      <c r="R1424">
        <v>54.5</v>
      </c>
    </row>
    <row r="1425" spans="1:18" x14ac:dyDescent="0.25">
      <c r="A1425" t="s">
        <v>1522</v>
      </c>
      <c r="B1425" t="s">
        <v>54</v>
      </c>
      <c r="C1425" t="s">
        <v>1506</v>
      </c>
      <c r="D1425" t="s">
        <v>54</v>
      </c>
      <c r="E1425" t="s">
        <v>78</v>
      </c>
      <c r="F1425" t="s">
        <v>252</v>
      </c>
      <c r="G1425">
        <v>6.1790000000000003</v>
      </c>
      <c r="H1425">
        <v>-75.394000000000005</v>
      </c>
      <c r="I1425" t="s">
        <v>110</v>
      </c>
      <c r="M1425">
        <v>228</v>
      </c>
      <c r="N1425">
        <v>61</v>
      </c>
      <c r="O1425">
        <v>36</v>
      </c>
      <c r="P1425">
        <v>36</v>
      </c>
      <c r="Q1425">
        <v>48.3</v>
      </c>
      <c r="R1425">
        <v>49.1</v>
      </c>
    </row>
    <row r="1426" spans="1:18" x14ac:dyDescent="0.25">
      <c r="A1426" t="s">
        <v>1523</v>
      </c>
      <c r="B1426" t="s">
        <v>54</v>
      </c>
      <c r="C1426" t="s">
        <v>1506</v>
      </c>
      <c r="D1426" t="s">
        <v>54</v>
      </c>
      <c r="E1426" t="s">
        <v>78</v>
      </c>
      <c r="F1426" t="s">
        <v>252</v>
      </c>
      <c r="G1426">
        <v>6.1790000000000003</v>
      </c>
      <c r="H1426">
        <v>-75.394000000000005</v>
      </c>
      <c r="I1426" t="s">
        <v>110</v>
      </c>
      <c r="M1426">
        <v>219.6</v>
      </c>
      <c r="N1426">
        <v>56.1</v>
      </c>
      <c r="O1426">
        <v>32</v>
      </c>
      <c r="P1426">
        <v>46</v>
      </c>
      <c r="Q1426">
        <v>36.200000000000003</v>
      </c>
      <c r="R1426">
        <v>60</v>
      </c>
    </row>
    <row r="1427" spans="1:18" x14ac:dyDescent="0.25">
      <c r="A1427" t="s">
        <v>1524</v>
      </c>
      <c r="B1427" t="s">
        <v>54</v>
      </c>
      <c r="C1427" t="s">
        <v>1506</v>
      </c>
      <c r="D1427" t="s">
        <v>54</v>
      </c>
      <c r="E1427" t="s">
        <v>78</v>
      </c>
      <c r="F1427" t="s">
        <v>252</v>
      </c>
      <c r="G1427">
        <v>6.1790000000000003</v>
      </c>
      <c r="H1427">
        <v>-75.394000000000005</v>
      </c>
      <c r="I1427" t="s">
        <v>110</v>
      </c>
      <c r="M1427">
        <v>204.8</v>
      </c>
      <c r="N1427">
        <v>65.900000000000006</v>
      </c>
      <c r="O1427">
        <v>28</v>
      </c>
      <c r="P1427">
        <v>26</v>
      </c>
      <c r="Q1427">
        <v>43.1</v>
      </c>
      <c r="R1427">
        <v>43.6</v>
      </c>
    </row>
    <row r="1428" spans="1:18" x14ac:dyDescent="0.25">
      <c r="A1428" t="s">
        <v>1525</v>
      </c>
      <c r="B1428" t="s">
        <v>54</v>
      </c>
      <c r="C1428" t="s">
        <v>1506</v>
      </c>
      <c r="D1428" t="s">
        <v>54</v>
      </c>
      <c r="E1428" t="s">
        <v>78</v>
      </c>
      <c r="F1428" t="s">
        <v>252</v>
      </c>
      <c r="G1428">
        <v>6.1790000000000003</v>
      </c>
      <c r="H1428">
        <v>-75.394000000000005</v>
      </c>
      <c r="I1428" t="s">
        <v>80</v>
      </c>
      <c r="M1428">
        <v>192.9</v>
      </c>
      <c r="N1428">
        <v>43.9</v>
      </c>
      <c r="O1428">
        <v>30</v>
      </c>
      <c r="P1428">
        <v>32</v>
      </c>
      <c r="Q1428">
        <v>43.1</v>
      </c>
      <c r="R1428">
        <v>54.5</v>
      </c>
    </row>
    <row r="1429" spans="1:18" x14ac:dyDescent="0.25">
      <c r="A1429" t="s">
        <v>1526</v>
      </c>
      <c r="B1429" t="s">
        <v>54</v>
      </c>
      <c r="C1429" t="s">
        <v>1506</v>
      </c>
      <c r="D1429" t="s">
        <v>54</v>
      </c>
      <c r="E1429" t="s">
        <v>78</v>
      </c>
      <c r="F1429" t="s">
        <v>252</v>
      </c>
      <c r="G1429">
        <v>6.1790000000000003</v>
      </c>
      <c r="H1429">
        <v>-75.394000000000005</v>
      </c>
      <c r="I1429" t="s">
        <v>110</v>
      </c>
      <c r="M1429">
        <v>135.4</v>
      </c>
      <c r="N1429">
        <v>29.3</v>
      </c>
      <c r="O1429">
        <v>34</v>
      </c>
      <c r="P1429">
        <v>32</v>
      </c>
      <c r="Q1429">
        <v>17.2</v>
      </c>
      <c r="R1429">
        <v>14.5</v>
      </c>
    </row>
    <row r="1430" spans="1:18" x14ac:dyDescent="0.25">
      <c r="A1430" t="s">
        <v>1527</v>
      </c>
      <c r="B1430" t="s">
        <v>54</v>
      </c>
      <c r="C1430" t="s">
        <v>1506</v>
      </c>
      <c r="D1430" t="s">
        <v>54</v>
      </c>
      <c r="E1430" t="s">
        <v>78</v>
      </c>
      <c r="F1430" t="s">
        <v>252</v>
      </c>
      <c r="G1430">
        <v>6.1790000000000003</v>
      </c>
      <c r="H1430">
        <v>-75.394000000000005</v>
      </c>
      <c r="I1430" t="s">
        <v>80</v>
      </c>
      <c r="M1430">
        <v>163.69999999999999</v>
      </c>
      <c r="N1430">
        <v>51.2</v>
      </c>
      <c r="O1430">
        <v>26</v>
      </c>
      <c r="P1430">
        <v>22</v>
      </c>
      <c r="Q1430">
        <v>39.700000000000003</v>
      </c>
      <c r="R1430">
        <v>9.1</v>
      </c>
    </row>
    <row r="1431" spans="1:18" x14ac:dyDescent="0.25">
      <c r="A1431" t="s">
        <v>1528</v>
      </c>
      <c r="B1431" t="s">
        <v>54</v>
      </c>
      <c r="C1431" t="s">
        <v>1506</v>
      </c>
      <c r="D1431" t="s">
        <v>54</v>
      </c>
      <c r="E1431" t="s">
        <v>78</v>
      </c>
      <c r="F1431" t="s">
        <v>252</v>
      </c>
      <c r="G1431">
        <v>6.1790000000000003</v>
      </c>
      <c r="H1431">
        <v>-75.394000000000005</v>
      </c>
      <c r="I1431" t="s">
        <v>80</v>
      </c>
      <c r="M1431">
        <v>251.9</v>
      </c>
      <c r="N1431">
        <v>56.1</v>
      </c>
      <c r="O1431">
        <v>42</v>
      </c>
      <c r="P1431">
        <v>46</v>
      </c>
      <c r="Q1431">
        <v>62.1</v>
      </c>
      <c r="R1431">
        <v>36.4</v>
      </c>
    </row>
    <row r="1432" spans="1:18" x14ac:dyDescent="0.25">
      <c r="A1432" t="s">
        <v>1529</v>
      </c>
      <c r="B1432" t="s">
        <v>54</v>
      </c>
      <c r="C1432" t="s">
        <v>1506</v>
      </c>
      <c r="D1432" t="s">
        <v>54</v>
      </c>
      <c r="E1432" t="s">
        <v>78</v>
      </c>
      <c r="F1432" t="s">
        <v>252</v>
      </c>
      <c r="G1432">
        <v>6.1790000000000003</v>
      </c>
      <c r="H1432">
        <v>-75.394000000000005</v>
      </c>
      <c r="I1432" t="s">
        <v>80</v>
      </c>
      <c r="M1432">
        <v>257.89999999999998</v>
      </c>
      <c r="N1432">
        <v>61</v>
      </c>
      <c r="O1432">
        <v>36</v>
      </c>
      <c r="P1432">
        <v>36</v>
      </c>
      <c r="Q1432">
        <v>62.1</v>
      </c>
      <c r="R1432">
        <v>85.5</v>
      </c>
    </row>
    <row r="1433" spans="1:18" x14ac:dyDescent="0.25">
      <c r="A1433" t="s">
        <v>1530</v>
      </c>
      <c r="B1433" t="s">
        <v>54</v>
      </c>
      <c r="C1433" t="s">
        <v>1506</v>
      </c>
      <c r="D1433" t="s">
        <v>54</v>
      </c>
      <c r="E1433" t="s">
        <v>78</v>
      </c>
      <c r="F1433" t="s">
        <v>252</v>
      </c>
      <c r="G1433">
        <v>6.1790000000000003</v>
      </c>
      <c r="H1433">
        <v>-75.394000000000005</v>
      </c>
      <c r="I1433" t="s">
        <v>80</v>
      </c>
      <c r="M1433">
        <v>264.10000000000002</v>
      </c>
      <c r="N1433">
        <v>58.5</v>
      </c>
      <c r="O1433">
        <v>40</v>
      </c>
      <c r="P1433">
        <v>48</v>
      </c>
      <c r="Q1433">
        <v>56.9</v>
      </c>
      <c r="R1433">
        <v>76.400000000000006</v>
      </c>
    </row>
    <row r="1434" spans="1:18" x14ac:dyDescent="0.25">
      <c r="A1434" t="s">
        <v>1531</v>
      </c>
      <c r="B1434" t="s">
        <v>54</v>
      </c>
      <c r="C1434" t="s">
        <v>1506</v>
      </c>
      <c r="D1434" t="s">
        <v>54</v>
      </c>
      <c r="E1434" t="s">
        <v>78</v>
      </c>
      <c r="F1434" t="s">
        <v>252</v>
      </c>
      <c r="G1434">
        <v>6.1790000000000003</v>
      </c>
      <c r="H1434">
        <v>-75.394000000000005</v>
      </c>
      <c r="I1434" t="s">
        <v>80</v>
      </c>
      <c r="M1434">
        <v>149.19999999999999</v>
      </c>
      <c r="N1434">
        <v>36.6</v>
      </c>
      <c r="O1434">
        <v>30</v>
      </c>
      <c r="P1434">
        <v>24</v>
      </c>
      <c r="Q1434">
        <v>24.1</v>
      </c>
      <c r="R1434">
        <v>43.6</v>
      </c>
    </row>
    <row r="1435" spans="1:18" x14ac:dyDescent="0.25">
      <c r="A1435" t="s">
        <v>1532</v>
      </c>
      <c r="B1435" t="s">
        <v>54</v>
      </c>
      <c r="C1435" t="s">
        <v>1506</v>
      </c>
      <c r="D1435" t="s">
        <v>54</v>
      </c>
      <c r="E1435" t="s">
        <v>78</v>
      </c>
      <c r="F1435" t="s">
        <v>252</v>
      </c>
      <c r="G1435">
        <v>6.1790000000000003</v>
      </c>
      <c r="H1435">
        <v>-75.394000000000005</v>
      </c>
      <c r="I1435" t="s">
        <v>80</v>
      </c>
      <c r="M1435">
        <v>144.5</v>
      </c>
      <c r="N1435">
        <v>31.7</v>
      </c>
      <c r="O1435">
        <v>26</v>
      </c>
      <c r="P1435">
        <v>32</v>
      </c>
      <c r="Q1435">
        <v>25.9</v>
      </c>
      <c r="R1435">
        <v>29.1</v>
      </c>
    </row>
    <row r="1436" spans="1:18" x14ac:dyDescent="0.25">
      <c r="A1436" t="s">
        <v>1533</v>
      </c>
      <c r="B1436" t="s">
        <v>54</v>
      </c>
      <c r="C1436" t="s">
        <v>1506</v>
      </c>
      <c r="D1436" t="s">
        <v>54</v>
      </c>
      <c r="E1436" t="s">
        <v>78</v>
      </c>
      <c r="F1436" t="s">
        <v>252</v>
      </c>
      <c r="G1436">
        <v>6.1790000000000003</v>
      </c>
      <c r="H1436">
        <v>-75.394000000000005</v>
      </c>
      <c r="I1436" t="s">
        <v>80</v>
      </c>
      <c r="M1436">
        <v>177.4</v>
      </c>
      <c r="N1436">
        <v>46.3</v>
      </c>
      <c r="O1436">
        <v>24</v>
      </c>
      <c r="P1436">
        <v>38</v>
      </c>
      <c r="Q1436">
        <v>34.5</v>
      </c>
      <c r="R1436">
        <v>32.700000000000003</v>
      </c>
    </row>
    <row r="1437" spans="1:18" x14ac:dyDescent="0.25">
      <c r="A1437" t="s">
        <v>1534</v>
      </c>
      <c r="B1437" t="s">
        <v>54</v>
      </c>
      <c r="C1437" t="s">
        <v>1506</v>
      </c>
      <c r="D1437" t="s">
        <v>54</v>
      </c>
      <c r="E1437" t="s">
        <v>78</v>
      </c>
      <c r="F1437" t="s">
        <v>252</v>
      </c>
      <c r="G1437">
        <v>6.1790000000000003</v>
      </c>
      <c r="H1437">
        <v>-75.394000000000005</v>
      </c>
      <c r="I1437" t="s">
        <v>80</v>
      </c>
      <c r="M1437">
        <v>251.5</v>
      </c>
      <c r="N1437">
        <v>58.5</v>
      </c>
      <c r="O1437">
        <v>34</v>
      </c>
      <c r="P1437">
        <v>56</v>
      </c>
      <c r="Q1437">
        <v>50</v>
      </c>
      <c r="R1437">
        <v>58.2</v>
      </c>
    </row>
    <row r="1438" spans="1:18" x14ac:dyDescent="0.25">
      <c r="A1438" t="s">
        <v>1535</v>
      </c>
      <c r="B1438" t="s">
        <v>54</v>
      </c>
      <c r="C1438" t="s">
        <v>1506</v>
      </c>
      <c r="D1438" t="s">
        <v>54</v>
      </c>
      <c r="E1438" t="s">
        <v>78</v>
      </c>
      <c r="F1438" t="s">
        <v>252</v>
      </c>
      <c r="G1438">
        <v>6.1790000000000003</v>
      </c>
      <c r="H1438">
        <v>-75.394000000000005</v>
      </c>
      <c r="I1438" t="s">
        <v>80</v>
      </c>
      <c r="M1438">
        <v>296.5</v>
      </c>
      <c r="N1438">
        <v>75.599999999999994</v>
      </c>
      <c r="O1438">
        <v>46</v>
      </c>
      <c r="P1438">
        <v>56</v>
      </c>
      <c r="Q1438">
        <v>56.9</v>
      </c>
      <c r="R1438">
        <v>67.3</v>
      </c>
    </row>
    <row r="1439" spans="1:18" x14ac:dyDescent="0.25">
      <c r="A1439" t="s">
        <v>1536</v>
      </c>
      <c r="B1439" t="s">
        <v>54</v>
      </c>
      <c r="C1439" t="s">
        <v>1506</v>
      </c>
      <c r="D1439" t="s">
        <v>54</v>
      </c>
      <c r="E1439" t="s">
        <v>78</v>
      </c>
      <c r="F1439" t="s">
        <v>252</v>
      </c>
      <c r="G1439">
        <v>6.1790000000000003</v>
      </c>
      <c r="H1439">
        <v>-75.394000000000005</v>
      </c>
      <c r="I1439" t="s">
        <v>80</v>
      </c>
      <c r="M1439">
        <v>266.10000000000002</v>
      </c>
      <c r="N1439">
        <v>63.4</v>
      </c>
      <c r="O1439">
        <v>38</v>
      </c>
      <c r="P1439">
        <v>58</v>
      </c>
      <c r="Q1439">
        <v>50</v>
      </c>
      <c r="R1439">
        <v>63.6</v>
      </c>
    </row>
    <row r="1440" spans="1:18" x14ac:dyDescent="0.25">
      <c r="A1440" t="s">
        <v>1537</v>
      </c>
      <c r="B1440" t="s">
        <v>54</v>
      </c>
      <c r="C1440" t="s">
        <v>1506</v>
      </c>
      <c r="D1440" t="s">
        <v>54</v>
      </c>
      <c r="E1440" t="s">
        <v>78</v>
      </c>
      <c r="F1440" t="s">
        <v>252</v>
      </c>
      <c r="G1440">
        <v>6.1790000000000003</v>
      </c>
      <c r="H1440">
        <v>-75.394000000000005</v>
      </c>
      <c r="I1440" t="s">
        <v>110</v>
      </c>
      <c r="M1440">
        <v>186.2</v>
      </c>
      <c r="N1440">
        <v>51.2</v>
      </c>
      <c r="O1440">
        <v>22</v>
      </c>
      <c r="P1440">
        <v>38</v>
      </c>
      <c r="Q1440">
        <v>36.200000000000003</v>
      </c>
      <c r="R1440">
        <v>41.8</v>
      </c>
    </row>
    <row r="1441" spans="1:18" x14ac:dyDescent="0.25">
      <c r="A1441" t="s">
        <v>1538</v>
      </c>
      <c r="B1441" t="s">
        <v>54</v>
      </c>
      <c r="C1441" t="s">
        <v>1506</v>
      </c>
      <c r="D1441" t="s">
        <v>54</v>
      </c>
      <c r="E1441" t="s">
        <v>78</v>
      </c>
      <c r="F1441" t="s">
        <v>252</v>
      </c>
      <c r="G1441">
        <v>6.1790000000000003</v>
      </c>
      <c r="H1441">
        <v>-75.394000000000005</v>
      </c>
      <c r="I1441" t="s">
        <v>80</v>
      </c>
      <c r="M1441">
        <v>202.6</v>
      </c>
      <c r="N1441">
        <v>53.7</v>
      </c>
      <c r="O1441">
        <v>28</v>
      </c>
      <c r="P1441">
        <v>26</v>
      </c>
      <c r="Q1441">
        <v>55.2</v>
      </c>
      <c r="R1441">
        <v>38.200000000000003</v>
      </c>
    </row>
    <row r="1442" spans="1:18" x14ac:dyDescent="0.25">
      <c r="A1442" t="s">
        <v>1539</v>
      </c>
      <c r="B1442" t="s">
        <v>54</v>
      </c>
      <c r="C1442" t="s">
        <v>1506</v>
      </c>
      <c r="D1442" t="s">
        <v>54</v>
      </c>
      <c r="E1442" t="s">
        <v>78</v>
      </c>
      <c r="F1442" t="s">
        <v>252</v>
      </c>
      <c r="G1442">
        <v>6.1790000000000003</v>
      </c>
      <c r="H1442">
        <v>-75.394000000000005</v>
      </c>
      <c r="I1442" t="s">
        <v>80</v>
      </c>
      <c r="M1442">
        <v>212.1</v>
      </c>
      <c r="N1442">
        <v>46.3</v>
      </c>
      <c r="O1442">
        <v>32</v>
      </c>
      <c r="P1442">
        <v>46</v>
      </c>
      <c r="Q1442">
        <v>43.1</v>
      </c>
      <c r="R1442">
        <v>49.1</v>
      </c>
    </row>
    <row r="1443" spans="1:18" x14ac:dyDescent="0.25">
      <c r="A1443" t="s">
        <v>1540</v>
      </c>
      <c r="B1443" t="s">
        <v>54</v>
      </c>
      <c r="C1443" t="s">
        <v>1506</v>
      </c>
      <c r="D1443" t="s">
        <v>54</v>
      </c>
      <c r="E1443" t="s">
        <v>78</v>
      </c>
      <c r="F1443" t="s">
        <v>252</v>
      </c>
      <c r="G1443">
        <v>6.1790000000000003</v>
      </c>
      <c r="H1443">
        <v>-75.394000000000005</v>
      </c>
      <c r="I1443" t="s">
        <v>80</v>
      </c>
      <c r="M1443">
        <v>178.7</v>
      </c>
      <c r="N1443">
        <v>43.9</v>
      </c>
      <c r="O1443">
        <v>38</v>
      </c>
      <c r="P1443">
        <v>40</v>
      </c>
      <c r="Q1443">
        <v>17.2</v>
      </c>
      <c r="R1443">
        <v>47.3</v>
      </c>
    </row>
    <row r="1444" spans="1:18" x14ac:dyDescent="0.25">
      <c r="A1444" t="s">
        <v>1541</v>
      </c>
      <c r="B1444" t="s">
        <v>54</v>
      </c>
      <c r="C1444" t="s">
        <v>1506</v>
      </c>
      <c r="D1444" t="s">
        <v>54</v>
      </c>
      <c r="E1444" t="s">
        <v>78</v>
      </c>
      <c r="F1444" t="s">
        <v>252</v>
      </c>
      <c r="G1444">
        <v>6.1790000000000003</v>
      </c>
      <c r="H1444">
        <v>-75.394000000000005</v>
      </c>
      <c r="I1444" t="s">
        <v>80</v>
      </c>
      <c r="M1444">
        <v>145.19999999999999</v>
      </c>
      <c r="N1444">
        <v>39</v>
      </c>
      <c r="O1444">
        <v>20</v>
      </c>
      <c r="P1444">
        <v>34</v>
      </c>
      <c r="Q1444">
        <v>20.7</v>
      </c>
      <c r="R1444">
        <v>36.4</v>
      </c>
    </row>
    <row r="1445" spans="1:18" x14ac:dyDescent="0.25">
      <c r="A1445" t="s">
        <v>1542</v>
      </c>
      <c r="B1445" t="s">
        <v>54</v>
      </c>
      <c r="C1445" t="s">
        <v>1506</v>
      </c>
      <c r="D1445" t="s">
        <v>54</v>
      </c>
      <c r="E1445" t="s">
        <v>78</v>
      </c>
      <c r="F1445" t="s">
        <v>252</v>
      </c>
      <c r="G1445">
        <v>6.1790000000000003</v>
      </c>
      <c r="H1445">
        <v>-75.394000000000005</v>
      </c>
      <c r="I1445" t="s">
        <v>80</v>
      </c>
      <c r="M1445">
        <v>215.7</v>
      </c>
      <c r="N1445">
        <v>43.9</v>
      </c>
      <c r="O1445">
        <v>40</v>
      </c>
      <c r="P1445">
        <v>42</v>
      </c>
      <c r="Q1445">
        <v>48.3</v>
      </c>
      <c r="R1445">
        <v>38.200000000000003</v>
      </c>
    </row>
    <row r="1446" spans="1:18" x14ac:dyDescent="0.25">
      <c r="A1446" t="s">
        <v>1543</v>
      </c>
      <c r="B1446" t="s">
        <v>54</v>
      </c>
      <c r="C1446" t="s">
        <v>1506</v>
      </c>
      <c r="D1446" t="s">
        <v>54</v>
      </c>
      <c r="E1446" t="s">
        <v>78</v>
      </c>
      <c r="F1446" t="s">
        <v>252</v>
      </c>
      <c r="G1446">
        <v>6.1790000000000003</v>
      </c>
      <c r="H1446">
        <v>-75.394000000000005</v>
      </c>
      <c r="I1446" t="s">
        <v>80</v>
      </c>
      <c r="M1446">
        <v>212.7</v>
      </c>
      <c r="N1446">
        <v>75.599999999999994</v>
      </c>
      <c r="O1446">
        <v>36</v>
      </c>
      <c r="P1446">
        <v>40</v>
      </c>
      <c r="Q1446">
        <v>22.4</v>
      </c>
      <c r="R1446">
        <v>30.9</v>
      </c>
    </row>
    <row r="1447" spans="1:18" x14ac:dyDescent="0.25">
      <c r="A1447" t="s">
        <v>1544</v>
      </c>
      <c r="B1447" t="s">
        <v>54</v>
      </c>
      <c r="C1447" t="s">
        <v>1506</v>
      </c>
      <c r="D1447" t="s">
        <v>54</v>
      </c>
      <c r="E1447" t="s">
        <v>78</v>
      </c>
      <c r="F1447" t="s">
        <v>252</v>
      </c>
      <c r="G1447">
        <v>6.1790000000000003</v>
      </c>
      <c r="H1447">
        <v>-75.394000000000005</v>
      </c>
      <c r="I1447" t="s">
        <v>80</v>
      </c>
      <c r="M1447">
        <v>122.3</v>
      </c>
      <c r="N1447">
        <v>26.8</v>
      </c>
      <c r="O1447">
        <v>22</v>
      </c>
      <c r="P1447">
        <v>24</v>
      </c>
      <c r="Q1447">
        <v>25.9</v>
      </c>
      <c r="R1447">
        <v>21.8</v>
      </c>
    </row>
    <row r="1448" spans="1:18" x14ac:dyDescent="0.25">
      <c r="A1448" t="s">
        <v>1545</v>
      </c>
      <c r="B1448" t="s">
        <v>54</v>
      </c>
      <c r="C1448" t="s">
        <v>1506</v>
      </c>
      <c r="D1448" t="s">
        <v>54</v>
      </c>
      <c r="E1448" t="s">
        <v>78</v>
      </c>
      <c r="F1448" t="s">
        <v>252</v>
      </c>
      <c r="G1448">
        <v>6.1790000000000003</v>
      </c>
      <c r="H1448">
        <v>-75.394000000000005</v>
      </c>
      <c r="I1448" t="s">
        <v>80</v>
      </c>
      <c r="M1448">
        <v>150.5</v>
      </c>
      <c r="N1448">
        <v>29.3</v>
      </c>
      <c r="O1448">
        <v>34</v>
      </c>
      <c r="P1448">
        <v>24</v>
      </c>
      <c r="Q1448">
        <v>31</v>
      </c>
      <c r="R1448">
        <v>36.4</v>
      </c>
    </row>
    <row r="1449" spans="1:18" x14ac:dyDescent="0.25">
      <c r="A1449" t="s">
        <v>1546</v>
      </c>
      <c r="B1449" t="s">
        <v>54</v>
      </c>
      <c r="C1449" t="s">
        <v>1506</v>
      </c>
      <c r="D1449" t="s">
        <v>54</v>
      </c>
      <c r="E1449" t="s">
        <v>78</v>
      </c>
      <c r="F1449" t="s">
        <v>252</v>
      </c>
      <c r="G1449">
        <v>6.1790000000000003</v>
      </c>
      <c r="H1449">
        <v>-75.394000000000005</v>
      </c>
      <c r="I1449" t="s">
        <v>80</v>
      </c>
      <c r="M1449">
        <v>137.9</v>
      </c>
      <c r="N1449">
        <v>41.5</v>
      </c>
      <c r="O1449">
        <v>26</v>
      </c>
      <c r="P1449">
        <v>24</v>
      </c>
      <c r="Q1449">
        <v>19</v>
      </c>
      <c r="R1449">
        <v>27.3</v>
      </c>
    </row>
    <row r="1450" spans="1:18" x14ac:dyDescent="0.25">
      <c r="A1450" t="s">
        <v>1547</v>
      </c>
      <c r="B1450" t="s">
        <v>54</v>
      </c>
      <c r="C1450" t="s">
        <v>1506</v>
      </c>
      <c r="D1450" t="s">
        <v>54</v>
      </c>
      <c r="E1450" t="s">
        <v>78</v>
      </c>
      <c r="F1450" t="s">
        <v>252</v>
      </c>
      <c r="G1450">
        <v>6.1790000000000003</v>
      </c>
      <c r="H1450">
        <v>-75.394000000000005</v>
      </c>
      <c r="I1450" t="s">
        <v>80</v>
      </c>
      <c r="M1450">
        <v>146.30000000000001</v>
      </c>
      <c r="N1450">
        <v>46.3</v>
      </c>
      <c r="O1450">
        <v>22</v>
      </c>
      <c r="P1450">
        <v>24</v>
      </c>
      <c r="Q1450">
        <v>24.1</v>
      </c>
      <c r="R1450">
        <v>30.9</v>
      </c>
    </row>
    <row r="1451" spans="1:18" x14ac:dyDescent="0.25">
      <c r="A1451" t="s">
        <v>1548</v>
      </c>
      <c r="B1451" t="s">
        <v>54</v>
      </c>
      <c r="C1451" t="s">
        <v>1506</v>
      </c>
      <c r="D1451" t="s">
        <v>54</v>
      </c>
      <c r="E1451" t="s">
        <v>78</v>
      </c>
      <c r="F1451" t="s">
        <v>252</v>
      </c>
      <c r="G1451">
        <v>6.1790000000000003</v>
      </c>
      <c r="H1451">
        <v>-75.394000000000005</v>
      </c>
      <c r="I1451" t="s">
        <v>110</v>
      </c>
      <c r="M1451">
        <v>220.2</v>
      </c>
      <c r="N1451">
        <v>53.7</v>
      </c>
      <c r="O1451">
        <v>40</v>
      </c>
      <c r="P1451">
        <v>30</v>
      </c>
      <c r="Q1451">
        <v>56.9</v>
      </c>
      <c r="R1451">
        <v>30.9</v>
      </c>
    </row>
    <row r="1452" spans="1:18" x14ac:dyDescent="0.25">
      <c r="A1452" t="s">
        <v>1549</v>
      </c>
      <c r="B1452" t="s">
        <v>54</v>
      </c>
      <c r="C1452" t="s">
        <v>1506</v>
      </c>
      <c r="D1452" t="s">
        <v>54</v>
      </c>
      <c r="E1452" t="s">
        <v>78</v>
      </c>
      <c r="F1452" t="s">
        <v>252</v>
      </c>
      <c r="G1452">
        <v>6.1790000000000003</v>
      </c>
      <c r="H1452">
        <v>-75.394000000000005</v>
      </c>
      <c r="I1452" t="s">
        <v>80</v>
      </c>
      <c r="M1452">
        <v>157.19999999999999</v>
      </c>
      <c r="N1452">
        <v>36.6</v>
      </c>
      <c r="O1452">
        <v>24</v>
      </c>
      <c r="P1452">
        <v>34</v>
      </c>
      <c r="Q1452">
        <v>36.200000000000003</v>
      </c>
      <c r="R1452">
        <v>16.399999999999999</v>
      </c>
    </row>
    <row r="1453" spans="1:18" x14ac:dyDescent="0.25">
      <c r="A1453" t="s">
        <v>1550</v>
      </c>
      <c r="B1453" t="s">
        <v>54</v>
      </c>
      <c r="C1453" t="s">
        <v>1506</v>
      </c>
      <c r="D1453" t="s">
        <v>54</v>
      </c>
      <c r="E1453" t="s">
        <v>78</v>
      </c>
      <c r="F1453" t="s">
        <v>252</v>
      </c>
      <c r="G1453">
        <v>6.1790000000000003</v>
      </c>
      <c r="H1453">
        <v>-75.394000000000005</v>
      </c>
      <c r="I1453" t="s">
        <v>80</v>
      </c>
      <c r="M1453">
        <v>235.3</v>
      </c>
      <c r="N1453">
        <v>58.5</v>
      </c>
      <c r="O1453">
        <v>38</v>
      </c>
      <c r="P1453">
        <v>48</v>
      </c>
      <c r="Q1453">
        <v>32.799999999999997</v>
      </c>
      <c r="R1453">
        <v>80</v>
      </c>
    </row>
    <row r="1454" spans="1:18" x14ac:dyDescent="0.25">
      <c r="A1454" t="s">
        <v>1551</v>
      </c>
      <c r="B1454" t="s">
        <v>54</v>
      </c>
      <c r="C1454" t="s">
        <v>1506</v>
      </c>
      <c r="D1454" t="s">
        <v>54</v>
      </c>
      <c r="E1454" t="s">
        <v>78</v>
      </c>
      <c r="F1454" t="s">
        <v>252</v>
      </c>
      <c r="G1454">
        <v>6.1790000000000003</v>
      </c>
      <c r="H1454">
        <v>-75.394000000000005</v>
      </c>
      <c r="I1454" t="s">
        <v>80</v>
      </c>
      <c r="M1454">
        <v>202</v>
      </c>
      <c r="N1454">
        <v>51.2</v>
      </c>
      <c r="O1454">
        <v>20</v>
      </c>
      <c r="P1454">
        <v>46</v>
      </c>
      <c r="Q1454">
        <v>39.700000000000003</v>
      </c>
      <c r="R1454">
        <v>54.5</v>
      </c>
    </row>
    <row r="1455" spans="1:18" x14ac:dyDescent="0.25">
      <c r="A1455" t="s">
        <v>1552</v>
      </c>
      <c r="B1455" t="s">
        <v>54</v>
      </c>
      <c r="C1455" t="s">
        <v>1506</v>
      </c>
      <c r="D1455" t="s">
        <v>54</v>
      </c>
      <c r="E1455" t="s">
        <v>78</v>
      </c>
      <c r="F1455" t="s">
        <v>252</v>
      </c>
      <c r="G1455">
        <v>6.1790000000000003</v>
      </c>
      <c r="H1455">
        <v>-75.394000000000005</v>
      </c>
      <c r="I1455" t="s">
        <v>80</v>
      </c>
      <c r="M1455">
        <v>144.4</v>
      </c>
      <c r="N1455">
        <v>34.1</v>
      </c>
      <c r="O1455">
        <v>30</v>
      </c>
      <c r="P1455">
        <v>12</v>
      </c>
      <c r="Q1455">
        <v>34.5</v>
      </c>
      <c r="R1455">
        <v>43.6</v>
      </c>
    </row>
    <row r="1456" spans="1:18" x14ac:dyDescent="0.25">
      <c r="A1456" t="s">
        <v>1553</v>
      </c>
      <c r="B1456" t="s">
        <v>54</v>
      </c>
      <c r="C1456" t="s">
        <v>1506</v>
      </c>
      <c r="D1456" t="s">
        <v>54</v>
      </c>
      <c r="E1456" t="s">
        <v>78</v>
      </c>
      <c r="F1456" t="s">
        <v>252</v>
      </c>
      <c r="G1456">
        <v>6.1790000000000003</v>
      </c>
      <c r="H1456">
        <v>-75.394000000000005</v>
      </c>
      <c r="I1456" t="s">
        <v>80</v>
      </c>
      <c r="M1456">
        <v>144.80000000000001</v>
      </c>
      <c r="N1456">
        <v>29.3</v>
      </c>
      <c r="O1456">
        <v>28</v>
      </c>
      <c r="P1456">
        <v>32</v>
      </c>
      <c r="Q1456">
        <v>24.1</v>
      </c>
      <c r="R1456">
        <v>36.4</v>
      </c>
    </row>
    <row r="1457" spans="1:18" x14ac:dyDescent="0.25">
      <c r="A1457" t="s">
        <v>1554</v>
      </c>
      <c r="B1457" t="s">
        <v>54</v>
      </c>
      <c r="C1457" t="s">
        <v>1506</v>
      </c>
      <c r="D1457" t="s">
        <v>54</v>
      </c>
      <c r="E1457" t="s">
        <v>78</v>
      </c>
      <c r="F1457" t="s">
        <v>252</v>
      </c>
      <c r="G1457">
        <v>6.1790000000000003</v>
      </c>
      <c r="H1457">
        <v>-75.394000000000005</v>
      </c>
      <c r="I1457" t="s">
        <v>80</v>
      </c>
      <c r="M1457">
        <v>148.80000000000001</v>
      </c>
      <c r="N1457">
        <v>29.3</v>
      </c>
      <c r="O1457">
        <v>22</v>
      </c>
      <c r="P1457">
        <v>34</v>
      </c>
      <c r="Q1457">
        <v>32.799999999999997</v>
      </c>
      <c r="R1457">
        <v>32.700000000000003</v>
      </c>
    </row>
    <row r="1458" spans="1:18" x14ac:dyDescent="0.25">
      <c r="A1458" t="s">
        <v>1555</v>
      </c>
      <c r="B1458" t="s">
        <v>54</v>
      </c>
      <c r="C1458" t="s">
        <v>1506</v>
      </c>
      <c r="D1458" t="s">
        <v>54</v>
      </c>
      <c r="E1458" t="s">
        <v>78</v>
      </c>
      <c r="F1458" t="s">
        <v>252</v>
      </c>
      <c r="G1458">
        <v>6.1790000000000003</v>
      </c>
      <c r="H1458">
        <v>-75.394000000000005</v>
      </c>
      <c r="I1458" t="s">
        <v>110</v>
      </c>
      <c r="M1458">
        <v>164.1</v>
      </c>
      <c r="N1458">
        <v>41.5</v>
      </c>
      <c r="O1458">
        <v>30</v>
      </c>
      <c r="P1458">
        <v>20</v>
      </c>
      <c r="Q1458">
        <v>36.200000000000003</v>
      </c>
      <c r="R1458">
        <v>43.6</v>
      </c>
    </row>
    <row r="1459" spans="1:18" x14ac:dyDescent="0.25">
      <c r="A1459" t="s">
        <v>1556</v>
      </c>
      <c r="B1459" t="s">
        <v>54</v>
      </c>
      <c r="C1459" t="s">
        <v>1506</v>
      </c>
      <c r="D1459" t="s">
        <v>54</v>
      </c>
      <c r="E1459" t="s">
        <v>78</v>
      </c>
      <c r="F1459" t="s">
        <v>252</v>
      </c>
      <c r="G1459">
        <v>6.1790000000000003</v>
      </c>
      <c r="H1459">
        <v>-75.394000000000005</v>
      </c>
      <c r="I1459" t="s">
        <v>110</v>
      </c>
      <c r="M1459">
        <v>121</v>
      </c>
      <c r="N1459">
        <v>34.1</v>
      </c>
      <c r="O1459">
        <v>24</v>
      </c>
      <c r="P1459">
        <v>22</v>
      </c>
      <c r="Q1459">
        <v>13.8</v>
      </c>
      <c r="R1459">
        <v>32.700000000000003</v>
      </c>
    </row>
    <row r="1460" spans="1:18" x14ac:dyDescent="0.25">
      <c r="A1460" t="s">
        <v>1557</v>
      </c>
      <c r="B1460" t="s">
        <v>54</v>
      </c>
      <c r="C1460" t="s">
        <v>1506</v>
      </c>
      <c r="D1460" t="s">
        <v>54</v>
      </c>
      <c r="E1460" t="s">
        <v>78</v>
      </c>
      <c r="F1460" t="s">
        <v>252</v>
      </c>
      <c r="G1460">
        <v>6.1790000000000003</v>
      </c>
      <c r="H1460">
        <v>-75.394000000000005</v>
      </c>
      <c r="I1460" t="s">
        <v>110</v>
      </c>
      <c r="M1460">
        <v>119.2</v>
      </c>
      <c r="N1460">
        <v>22</v>
      </c>
      <c r="O1460">
        <v>20</v>
      </c>
      <c r="P1460">
        <v>24</v>
      </c>
      <c r="Q1460">
        <v>25.9</v>
      </c>
      <c r="R1460">
        <v>34.5</v>
      </c>
    </row>
    <row r="1461" spans="1:18" x14ac:dyDescent="0.25">
      <c r="A1461" t="s">
        <v>1558</v>
      </c>
      <c r="B1461" t="s">
        <v>54</v>
      </c>
      <c r="C1461" t="s">
        <v>1559</v>
      </c>
      <c r="D1461" t="s">
        <v>54</v>
      </c>
      <c r="E1461" t="s">
        <v>78</v>
      </c>
      <c r="F1461" t="s">
        <v>252</v>
      </c>
      <c r="G1461">
        <v>6.1980000000000004</v>
      </c>
      <c r="H1461">
        <v>-75.367999999999995</v>
      </c>
      <c r="I1461" t="s">
        <v>110</v>
      </c>
      <c r="M1461">
        <v>209.8</v>
      </c>
      <c r="N1461">
        <v>46.3</v>
      </c>
      <c r="O1461">
        <v>30</v>
      </c>
      <c r="P1461">
        <v>36</v>
      </c>
      <c r="Q1461">
        <v>48.3</v>
      </c>
      <c r="R1461">
        <v>63.6</v>
      </c>
    </row>
    <row r="1462" spans="1:18" x14ac:dyDescent="0.25">
      <c r="A1462" t="s">
        <v>1560</v>
      </c>
      <c r="B1462" t="s">
        <v>54</v>
      </c>
      <c r="C1462" t="s">
        <v>1559</v>
      </c>
      <c r="D1462" t="s">
        <v>54</v>
      </c>
      <c r="E1462" t="s">
        <v>78</v>
      </c>
      <c r="F1462" t="s">
        <v>252</v>
      </c>
      <c r="G1462">
        <v>6.1980000000000004</v>
      </c>
      <c r="H1462">
        <v>-75.367999999999995</v>
      </c>
      <c r="I1462" t="s">
        <v>110</v>
      </c>
      <c r="M1462">
        <v>169.7</v>
      </c>
      <c r="N1462">
        <v>46.3</v>
      </c>
      <c r="O1462">
        <v>32</v>
      </c>
      <c r="P1462">
        <v>34</v>
      </c>
      <c r="Q1462">
        <v>19</v>
      </c>
      <c r="R1462">
        <v>47.3</v>
      </c>
    </row>
    <row r="1463" spans="1:18" x14ac:dyDescent="0.25">
      <c r="A1463" t="s">
        <v>1561</v>
      </c>
      <c r="B1463" t="s">
        <v>54</v>
      </c>
      <c r="C1463" t="s">
        <v>1559</v>
      </c>
      <c r="D1463" t="s">
        <v>54</v>
      </c>
      <c r="E1463" t="s">
        <v>78</v>
      </c>
      <c r="F1463" t="s">
        <v>252</v>
      </c>
      <c r="G1463">
        <v>6.1980000000000004</v>
      </c>
      <c r="H1463">
        <v>-75.367999999999995</v>
      </c>
      <c r="I1463" t="s">
        <v>110</v>
      </c>
      <c r="M1463">
        <v>193.8</v>
      </c>
      <c r="N1463">
        <v>70.7</v>
      </c>
      <c r="O1463">
        <v>28</v>
      </c>
      <c r="P1463">
        <v>34</v>
      </c>
      <c r="Q1463">
        <v>20.7</v>
      </c>
      <c r="R1463">
        <v>43.6</v>
      </c>
    </row>
    <row r="1464" spans="1:18" x14ac:dyDescent="0.25">
      <c r="A1464" t="s">
        <v>1562</v>
      </c>
      <c r="B1464" t="s">
        <v>54</v>
      </c>
      <c r="C1464" t="s">
        <v>1559</v>
      </c>
      <c r="D1464" t="s">
        <v>54</v>
      </c>
      <c r="E1464" t="s">
        <v>78</v>
      </c>
      <c r="F1464" t="s">
        <v>252</v>
      </c>
      <c r="G1464">
        <v>6.1980000000000004</v>
      </c>
      <c r="H1464">
        <v>-75.367999999999995</v>
      </c>
      <c r="I1464" t="s">
        <v>110</v>
      </c>
      <c r="M1464">
        <v>163.9</v>
      </c>
      <c r="N1464">
        <v>41.5</v>
      </c>
      <c r="O1464">
        <v>32</v>
      </c>
      <c r="P1464">
        <v>22</v>
      </c>
      <c r="Q1464">
        <v>34.5</v>
      </c>
      <c r="R1464">
        <v>36.4</v>
      </c>
    </row>
    <row r="1465" spans="1:18" x14ac:dyDescent="0.25">
      <c r="A1465" t="s">
        <v>1563</v>
      </c>
      <c r="B1465" t="s">
        <v>54</v>
      </c>
      <c r="C1465" t="s">
        <v>1559</v>
      </c>
      <c r="D1465" t="s">
        <v>54</v>
      </c>
      <c r="E1465" t="s">
        <v>78</v>
      </c>
      <c r="F1465" t="s">
        <v>252</v>
      </c>
      <c r="G1465">
        <v>6.1980000000000004</v>
      </c>
      <c r="H1465">
        <v>-75.367999999999995</v>
      </c>
      <c r="I1465" t="s">
        <v>110</v>
      </c>
      <c r="M1465">
        <v>115.4</v>
      </c>
      <c r="N1465">
        <v>58.5</v>
      </c>
      <c r="O1465">
        <v>16</v>
      </c>
      <c r="P1465">
        <v>10</v>
      </c>
      <c r="Q1465">
        <v>15.5</v>
      </c>
      <c r="R1465">
        <v>0</v>
      </c>
    </row>
    <row r="1466" spans="1:18" x14ac:dyDescent="0.25">
      <c r="A1466" t="s">
        <v>1564</v>
      </c>
      <c r="B1466" t="s">
        <v>54</v>
      </c>
      <c r="C1466" t="s">
        <v>1559</v>
      </c>
      <c r="D1466" t="s">
        <v>54</v>
      </c>
      <c r="E1466" t="s">
        <v>78</v>
      </c>
      <c r="F1466" t="s">
        <v>252</v>
      </c>
      <c r="G1466">
        <v>6.1980000000000004</v>
      </c>
      <c r="H1466">
        <v>-75.367999999999995</v>
      </c>
      <c r="I1466" t="s">
        <v>110</v>
      </c>
      <c r="M1466">
        <v>153.4</v>
      </c>
      <c r="N1466">
        <v>39</v>
      </c>
      <c r="O1466">
        <v>24</v>
      </c>
      <c r="P1466">
        <v>22</v>
      </c>
      <c r="Q1466">
        <v>32.799999999999997</v>
      </c>
      <c r="R1466">
        <v>45.5</v>
      </c>
    </row>
    <row r="1467" spans="1:18" x14ac:dyDescent="0.25">
      <c r="A1467" t="s">
        <v>1565</v>
      </c>
      <c r="B1467" t="s">
        <v>54</v>
      </c>
      <c r="C1467" t="s">
        <v>1559</v>
      </c>
      <c r="D1467" t="s">
        <v>54</v>
      </c>
      <c r="E1467" t="s">
        <v>78</v>
      </c>
      <c r="F1467" t="s">
        <v>252</v>
      </c>
      <c r="G1467">
        <v>6.1980000000000004</v>
      </c>
      <c r="H1467">
        <v>-75.367999999999995</v>
      </c>
      <c r="I1467" t="s">
        <v>110</v>
      </c>
      <c r="M1467">
        <v>162.5</v>
      </c>
      <c r="N1467">
        <v>39</v>
      </c>
      <c r="O1467">
        <v>24</v>
      </c>
      <c r="P1467">
        <v>26</v>
      </c>
      <c r="Q1467">
        <v>39.700000000000003</v>
      </c>
      <c r="R1467">
        <v>36.4</v>
      </c>
    </row>
    <row r="1468" spans="1:18" x14ac:dyDescent="0.25">
      <c r="A1468" t="s">
        <v>1566</v>
      </c>
      <c r="B1468" t="s">
        <v>54</v>
      </c>
      <c r="C1468" t="s">
        <v>1559</v>
      </c>
      <c r="D1468" t="s">
        <v>54</v>
      </c>
      <c r="E1468" t="s">
        <v>78</v>
      </c>
      <c r="F1468" t="s">
        <v>252</v>
      </c>
      <c r="G1468">
        <v>6.1980000000000004</v>
      </c>
      <c r="H1468">
        <v>-75.367999999999995</v>
      </c>
      <c r="I1468" t="s">
        <v>110</v>
      </c>
      <c r="M1468">
        <v>169.7</v>
      </c>
      <c r="N1468">
        <v>46.3</v>
      </c>
      <c r="O1468">
        <v>20</v>
      </c>
      <c r="P1468">
        <v>38</v>
      </c>
      <c r="Q1468">
        <v>27.6</v>
      </c>
      <c r="R1468">
        <v>45.5</v>
      </c>
    </row>
    <row r="1469" spans="1:18" x14ac:dyDescent="0.25">
      <c r="A1469" t="s">
        <v>1567</v>
      </c>
      <c r="B1469" t="s">
        <v>54</v>
      </c>
      <c r="C1469" t="s">
        <v>1559</v>
      </c>
      <c r="D1469" t="s">
        <v>54</v>
      </c>
      <c r="E1469" t="s">
        <v>78</v>
      </c>
      <c r="F1469" t="s">
        <v>252</v>
      </c>
      <c r="G1469">
        <v>6.1980000000000004</v>
      </c>
      <c r="H1469">
        <v>-75.367999999999995</v>
      </c>
      <c r="I1469" t="s">
        <v>110</v>
      </c>
      <c r="M1469">
        <v>155.9</v>
      </c>
      <c r="N1469">
        <v>41.5</v>
      </c>
      <c r="O1469">
        <v>28</v>
      </c>
      <c r="P1469">
        <v>24</v>
      </c>
      <c r="Q1469">
        <v>25.9</v>
      </c>
      <c r="R1469">
        <v>47.3</v>
      </c>
    </row>
    <row r="1470" spans="1:18" x14ac:dyDescent="0.25">
      <c r="A1470" t="s">
        <v>1568</v>
      </c>
      <c r="B1470" t="s">
        <v>54</v>
      </c>
      <c r="C1470" t="s">
        <v>1559</v>
      </c>
      <c r="D1470" t="s">
        <v>54</v>
      </c>
      <c r="E1470" t="s">
        <v>78</v>
      </c>
      <c r="F1470" t="s">
        <v>252</v>
      </c>
      <c r="G1470">
        <v>6.1980000000000004</v>
      </c>
      <c r="H1470">
        <v>-75.367999999999995</v>
      </c>
      <c r="I1470" t="s">
        <v>80</v>
      </c>
      <c r="M1470">
        <v>186.8</v>
      </c>
      <c r="N1470">
        <v>39</v>
      </c>
      <c r="O1470">
        <v>26</v>
      </c>
      <c r="P1470">
        <v>38</v>
      </c>
      <c r="Q1470">
        <v>43.1</v>
      </c>
      <c r="R1470">
        <v>47.3</v>
      </c>
    </row>
    <row r="1471" spans="1:18" x14ac:dyDescent="0.25">
      <c r="A1471" t="s">
        <v>1569</v>
      </c>
      <c r="B1471" t="s">
        <v>54</v>
      </c>
      <c r="C1471" t="s">
        <v>1559</v>
      </c>
      <c r="D1471" t="s">
        <v>54</v>
      </c>
      <c r="E1471" t="s">
        <v>78</v>
      </c>
      <c r="F1471" t="s">
        <v>252</v>
      </c>
      <c r="G1471">
        <v>6.1980000000000004</v>
      </c>
      <c r="H1471">
        <v>-75.367999999999995</v>
      </c>
      <c r="I1471" t="s">
        <v>110</v>
      </c>
      <c r="M1471">
        <v>170.4</v>
      </c>
      <c r="N1471">
        <v>43.9</v>
      </c>
      <c r="O1471">
        <v>24</v>
      </c>
      <c r="P1471">
        <v>28</v>
      </c>
      <c r="Q1471">
        <v>39.700000000000003</v>
      </c>
      <c r="R1471">
        <v>36.4</v>
      </c>
    </row>
    <row r="1472" spans="1:18" x14ac:dyDescent="0.25">
      <c r="A1472" t="s">
        <v>1570</v>
      </c>
      <c r="B1472" t="s">
        <v>54</v>
      </c>
      <c r="C1472" t="s">
        <v>1559</v>
      </c>
      <c r="D1472" t="s">
        <v>54</v>
      </c>
      <c r="E1472" t="s">
        <v>78</v>
      </c>
      <c r="F1472" t="s">
        <v>252</v>
      </c>
      <c r="G1472">
        <v>6.1980000000000004</v>
      </c>
      <c r="H1472">
        <v>-75.367999999999995</v>
      </c>
      <c r="I1472" t="s">
        <v>80</v>
      </c>
      <c r="M1472">
        <v>185.6</v>
      </c>
      <c r="N1472">
        <v>48.8</v>
      </c>
      <c r="O1472">
        <v>42</v>
      </c>
      <c r="P1472">
        <v>24</v>
      </c>
      <c r="Q1472">
        <v>32.799999999999997</v>
      </c>
      <c r="R1472">
        <v>40</v>
      </c>
    </row>
    <row r="1473" spans="1:18" x14ac:dyDescent="0.25">
      <c r="A1473" t="s">
        <v>1571</v>
      </c>
      <c r="B1473" t="s">
        <v>54</v>
      </c>
      <c r="C1473" t="s">
        <v>1559</v>
      </c>
      <c r="D1473" t="s">
        <v>54</v>
      </c>
      <c r="E1473" t="s">
        <v>78</v>
      </c>
      <c r="F1473" t="s">
        <v>252</v>
      </c>
      <c r="G1473">
        <v>6.1980000000000004</v>
      </c>
      <c r="H1473">
        <v>-75.367999999999995</v>
      </c>
      <c r="I1473" t="s">
        <v>80</v>
      </c>
      <c r="M1473">
        <v>174.6</v>
      </c>
      <c r="N1473">
        <v>51.2</v>
      </c>
      <c r="O1473">
        <v>26</v>
      </c>
      <c r="P1473">
        <v>34</v>
      </c>
      <c r="Q1473">
        <v>31</v>
      </c>
      <c r="R1473">
        <v>27.3</v>
      </c>
    </row>
    <row r="1474" spans="1:18" x14ac:dyDescent="0.25">
      <c r="A1474" t="s">
        <v>1572</v>
      </c>
      <c r="B1474" t="s">
        <v>54</v>
      </c>
      <c r="C1474" t="s">
        <v>1559</v>
      </c>
      <c r="D1474" t="s">
        <v>54</v>
      </c>
      <c r="E1474" t="s">
        <v>78</v>
      </c>
      <c r="F1474" t="s">
        <v>252</v>
      </c>
      <c r="G1474">
        <v>6.1980000000000004</v>
      </c>
      <c r="H1474">
        <v>-75.367999999999995</v>
      </c>
      <c r="I1474" t="s">
        <v>80</v>
      </c>
      <c r="M1474">
        <v>153.5</v>
      </c>
      <c r="N1474">
        <v>48.8</v>
      </c>
      <c r="O1474">
        <v>26</v>
      </c>
      <c r="P1474">
        <v>18</v>
      </c>
      <c r="Q1474">
        <v>29.3</v>
      </c>
      <c r="R1474">
        <v>32.700000000000003</v>
      </c>
    </row>
    <row r="1475" spans="1:18" x14ac:dyDescent="0.25">
      <c r="A1475" t="s">
        <v>1573</v>
      </c>
      <c r="B1475" t="s">
        <v>54</v>
      </c>
      <c r="C1475" t="s">
        <v>1559</v>
      </c>
      <c r="D1475" t="s">
        <v>54</v>
      </c>
      <c r="E1475" t="s">
        <v>78</v>
      </c>
      <c r="F1475" t="s">
        <v>252</v>
      </c>
      <c r="G1475">
        <v>6.1980000000000004</v>
      </c>
      <c r="H1475">
        <v>-75.367999999999995</v>
      </c>
      <c r="I1475" t="s">
        <v>80</v>
      </c>
      <c r="M1475">
        <v>256.5</v>
      </c>
      <c r="N1475">
        <v>70.7</v>
      </c>
      <c r="O1475">
        <v>32</v>
      </c>
      <c r="P1475">
        <v>74</v>
      </c>
      <c r="Q1475">
        <v>31</v>
      </c>
      <c r="R1475">
        <v>43.6</v>
      </c>
    </row>
    <row r="1476" spans="1:18" x14ac:dyDescent="0.25">
      <c r="A1476" t="s">
        <v>1574</v>
      </c>
      <c r="B1476" t="s">
        <v>54</v>
      </c>
      <c r="C1476" t="s">
        <v>1559</v>
      </c>
      <c r="D1476" t="s">
        <v>54</v>
      </c>
      <c r="E1476" t="s">
        <v>78</v>
      </c>
      <c r="F1476" t="s">
        <v>252</v>
      </c>
      <c r="G1476">
        <v>6.1980000000000004</v>
      </c>
      <c r="H1476">
        <v>-75.367999999999995</v>
      </c>
      <c r="I1476" t="s">
        <v>80</v>
      </c>
      <c r="M1476">
        <v>246.2</v>
      </c>
      <c r="N1476">
        <v>63.4</v>
      </c>
      <c r="O1476">
        <v>42</v>
      </c>
      <c r="P1476">
        <v>44</v>
      </c>
      <c r="Q1476">
        <v>50</v>
      </c>
      <c r="R1476">
        <v>41.8</v>
      </c>
    </row>
    <row r="1477" spans="1:18" x14ac:dyDescent="0.25">
      <c r="A1477" t="s">
        <v>1575</v>
      </c>
      <c r="B1477" t="s">
        <v>54</v>
      </c>
      <c r="C1477" t="s">
        <v>1559</v>
      </c>
      <c r="D1477" t="s">
        <v>54</v>
      </c>
      <c r="E1477" t="s">
        <v>78</v>
      </c>
      <c r="F1477" t="s">
        <v>252</v>
      </c>
      <c r="G1477">
        <v>6.1980000000000004</v>
      </c>
      <c r="H1477">
        <v>-75.367999999999995</v>
      </c>
      <c r="I1477" t="s">
        <v>80</v>
      </c>
      <c r="M1477">
        <v>175.8</v>
      </c>
      <c r="N1477">
        <v>41.5</v>
      </c>
      <c r="O1477">
        <v>32</v>
      </c>
      <c r="P1477">
        <v>34</v>
      </c>
      <c r="Q1477">
        <v>32.799999999999997</v>
      </c>
      <c r="R1477">
        <v>36.4</v>
      </c>
    </row>
    <row r="1478" spans="1:18" x14ac:dyDescent="0.25">
      <c r="A1478" t="s">
        <v>1576</v>
      </c>
      <c r="B1478" t="s">
        <v>54</v>
      </c>
      <c r="C1478" t="s">
        <v>1559</v>
      </c>
      <c r="D1478" t="s">
        <v>54</v>
      </c>
      <c r="E1478" t="s">
        <v>78</v>
      </c>
      <c r="F1478" t="s">
        <v>252</v>
      </c>
      <c r="G1478">
        <v>6.1980000000000004</v>
      </c>
      <c r="H1478">
        <v>-75.367999999999995</v>
      </c>
      <c r="I1478" t="s">
        <v>80</v>
      </c>
      <c r="M1478">
        <v>187.6</v>
      </c>
      <c r="N1478">
        <v>36.6</v>
      </c>
      <c r="O1478">
        <v>30</v>
      </c>
      <c r="P1478">
        <v>36</v>
      </c>
      <c r="Q1478">
        <v>44.8</v>
      </c>
      <c r="R1478">
        <v>45.5</v>
      </c>
    </row>
    <row r="1479" spans="1:18" x14ac:dyDescent="0.25">
      <c r="A1479" t="s">
        <v>1577</v>
      </c>
      <c r="B1479" t="s">
        <v>54</v>
      </c>
      <c r="C1479" t="s">
        <v>1559</v>
      </c>
      <c r="D1479" t="s">
        <v>54</v>
      </c>
      <c r="E1479" t="s">
        <v>78</v>
      </c>
      <c r="F1479" t="s">
        <v>252</v>
      </c>
      <c r="G1479">
        <v>6.1980000000000004</v>
      </c>
      <c r="H1479">
        <v>-75.367999999999995</v>
      </c>
      <c r="I1479" t="s">
        <v>80</v>
      </c>
      <c r="M1479">
        <v>208.7</v>
      </c>
      <c r="N1479">
        <v>61</v>
      </c>
      <c r="O1479">
        <v>20</v>
      </c>
      <c r="P1479">
        <v>48</v>
      </c>
      <c r="Q1479">
        <v>37.9</v>
      </c>
      <c r="R1479">
        <v>41.8</v>
      </c>
    </row>
    <row r="1480" spans="1:18" x14ac:dyDescent="0.25">
      <c r="A1480" t="s">
        <v>1578</v>
      </c>
      <c r="B1480" t="s">
        <v>54</v>
      </c>
      <c r="C1480" t="s">
        <v>1559</v>
      </c>
      <c r="D1480" t="s">
        <v>54</v>
      </c>
      <c r="E1480" t="s">
        <v>78</v>
      </c>
      <c r="F1480" t="s">
        <v>252</v>
      </c>
      <c r="G1480">
        <v>6.1980000000000004</v>
      </c>
      <c r="H1480">
        <v>-75.367999999999995</v>
      </c>
      <c r="I1480" t="s">
        <v>80</v>
      </c>
      <c r="M1480">
        <v>40.4</v>
      </c>
      <c r="N1480">
        <v>0</v>
      </c>
      <c r="O1480">
        <v>10</v>
      </c>
      <c r="P1480">
        <v>6</v>
      </c>
      <c r="Q1480">
        <v>6.9</v>
      </c>
      <c r="R1480">
        <v>36.4</v>
      </c>
    </row>
    <row r="1481" spans="1:18" x14ac:dyDescent="0.25">
      <c r="A1481" t="s">
        <v>1579</v>
      </c>
      <c r="B1481" t="s">
        <v>54</v>
      </c>
      <c r="C1481" t="s">
        <v>1559</v>
      </c>
      <c r="D1481" t="s">
        <v>54</v>
      </c>
      <c r="E1481" t="s">
        <v>78</v>
      </c>
      <c r="F1481" t="s">
        <v>252</v>
      </c>
      <c r="G1481">
        <v>6.1980000000000004</v>
      </c>
      <c r="H1481">
        <v>-75.367999999999995</v>
      </c>
      <c r="I1481" t="s">
        <v>110</v>
      </c>
      <c r="M1481">
        <v>221.8</v>
      </c>
      <c r="N1481">
        <v>61</v>
      </c>
      <c r="O1481">
        <v>26</v>
      </c>
      <c r="P1481">
        <v>56</v>
      </c>
      <c r="Q1481">
        <v>31</v>
      </c>
      <c r="R1481">
        <v>54.5</v>
      </c>
    </row>
    <row r="1482" spans="1:18" x14ac:dyDescent="0.25">
      <c r="A1482" t="s">
        <v>1580</v>
      </c>
      <c r="B1482" t="s">
        <v>54</v>
      </c>
      <c r="C1482" t="s">
        <v>1559</v>
      </c>
      <c r="D1482" t="s">
        <v>54</v>
      </c>
      <c r="E1482" t="s">
        <v>78</v>
      </c>
      <c r="F1482" t="s">
        <v>252</v>
      </c>
      <c r="G1482">
        <v>6.1980000000000004</v>
      </c>
      <c r="H1482">
        <v>-75.367999999999995</v>
      </c>
      <c r="I1482" t="s">
        <v>80</v>
      </c>
      <c r="M1482">
        <v>306.3</v>
      </c>
      <c r="N1482">
        <v>68.3</v>
      </c>
      <c r="O1482">
        <v>38</v>
      </c>
      <c r="P1482">
        <v>82</v>
      </c>
      <c r="Q1482">
        <v>51.7</v>
      </c>
      <c r="R1482">
        <v>76.400000000000006</v>
      </c>
    </row>
    <row r="1483" spans="1:18" x14ac:dyDescent="0.25">
      <c r="A1483" t="s">
        <v>1581</v>
      </c>
      <c r="B1483" t="s">
        <v>54</v>
      </c>
      <c r="C1483" t="s">
        <v>1559</v>
      </c>
      <c r="D1483" t="s">
        <v>54</v>
      </c>
      <c r="E1483" t="s">
        <v>78</v>
      </c>
      <c r="F1483" t="s">
        <v>252</v>
      </c>
      <c r="G1483">
        <v>6.1980000000000004</v>
      </c>
      <c r="H1483">
        <v>-75.367999999999995</v>
      </c>
      <c r="I1483" t="s">
        <v>80</v>
      </c>
      <c r="M1483">
        <v>205.8</v>
      </c>
      <c r="N1483">
        <v>51.2</v>
      </c>
      <c r="O1483">
        <v>34</v>
      </c>
      <c r="P1483">
        <v>50</v>
      </c>
      <c r="Q1483">
        <v>31</v>
      </c>
      <c r="R1483">
        <v>36.4</v>
      </c>
    </row>
    <row r="1484" spans="1:18" x14ac:dyDescent="0.25">
      <c r="A1484" t="s">
        <v>1582</v>
      </c>
      <c r="B1484" t="s">
        <v>54</v>
      </c>
      <c r="C1484" t="s">
        <v>1559</v>
      </c>
      <c r="D1484" t="s">
        <v>54</v>
      </c>
      <c r="E1484" t="s">
        <v>78</v>
      </c>
      <c r="F1484" t="s">
        <v>252</v>
      </c>
      <c r="G1484">
        <v>6.1980000000000004</v>
      </c>
      <c r="H1484">
        <v>-75.367999999999995</v>
      </c>
      <c r="I1484" t="s">
        <v>80</v>
      </c>
      <c r="M1484">
        <v>172</v>
      </c>
      <c r="N1484">
        <v>48.8</v>
      </c>
      <c r="O1484">
        <v>26</v>
      </c>
      <c r="P1484">
        <v>32</v>
      </c>
      <c r="Q1484">
        <v>24.1</v>
      </c>
      <c r="R1484">
        <v>54.5</v>
      </c>
    </row>
    <row r="1485" spans="1:18" x14ac:dyDescent="0.25">
      <c r="A1485" t="s">
        <v>1583</v>
      </c>
      <c r="B1485" t="s">
        <v>54</v>
      </c>
      <c r="C1485" t="s">
        <v>1559</v>
      </c>
      <c r="D1485" t="s">
        <v>54</v>
      </c>
      <c r="E1485" t="s">
        <v>78</v>
      </c>
      <c r="F1485" t="s">
        <v>252</v>
      </c>
      <c r="G1485">
        <v>6.1980000000000004</v>
      </c>
      <c r="H1485">
        <v>-75.367999999999995</v>
      </c>
      <c r="I1485" t="s">
        <v>80</v>
      </c>
      <c r="M1485">
        <v>156.19999999999999</v>
      </c>
      <c r="N1485">
        <v>36.6</v>
      </c>
      <c r="O1485">
        <v>22</v>
      </c>
      <c r="P1485">
        <v>22</v>
      </c>
      <c r="Q1485">
        <v>39.700000000000003</v>
      </c>
      <c r="R1485">
        <v>45.5</v>
      </c>
    </row>
    <row r="1486" spans="1:18" x14ac:dyDescent="0.25">
      <c r="A1486" t="s">
        <v>1584</v>
      </c>
      <c r="B1486" t="s">
        <v>54</v>
      </c>
      <c r="C1486" t="s">
        <v>1559</v>
      </c>
      <c r="D1486" t="s">
        <v>54</v>
      </c>
      <c r="E1486" t="s">
        <v>78</v>
      </c>
      <c r="F1486" t="s">
        <v>252</v>
      </c>
      <c r="G1486">
        <v>6.1980000000000004</v>
      </c>
      <c r="H1486">
        <v>-75.367999999999995</v>
      </c>
      <c r="I1486" t="s">
        <v>80</v>
      </c>
      <c r="M1486">
        <v>185.3</v>
      </c>
      <c r="N1486">
        <v>46.3</v>
      </c>
      <c r="O1486">
        <v>24</v>
      </c>
      <c r="P1486">
        <v>38</v>
      </c>
      <c r="Q1486">
        <v>41.4</v>
      </c>
      <c r="R1486">
        <v>32.700000000000003</v>
      </c>
    </row>
    <row r="1487" spans="1:18" x14ac:dyDescent="0.25">
      <c r="A1487" t="s">
        <v>1585</v>
      </c>
      <c r="B1487" t="s">
        <v>54</v>
      </c>
      <c r="C1487" t="s">
        <v>1559</v>
      </c>
      <c r="D1487" t="s">
        <v>54</v>
      </c>
      <c r="E1487" t="s">
        <v>78</v>
      </c>
      <c r="F1487" t="s">
        <v>252</v>
      </c>
      <c r="G1487">
        <v>6.1980000000000004</v>
      </c>
      <c r="H1487">
        <v>-75.367999999999995</v>
      </c>
      <c r="I1487" t="s">
        <v>80</v>
      </c>
      <c r="M1487">
        <v>138</v>
      </c>
      <c r="N1487">
        <v>31.7</v>
      </c>
      <c r="O1487">
        <v>26</v>
      </c>
      <c r="P1487">
        <v>22</v>
      </c>
      <c r="Q1487">
        <v>24.1</v>
      </c>
      <c r="R1487">
        <v>47.3</v>
      </c>
    </row>
    <row r="1488" spans="1:18" x14ac:dyDescent="0.25">
      <c r="A1488" t="s">
        <v>1586</v>
      </c>
      <c r="B1488" t="s">
        <v>54</v>
      </c>
      <c r="C1488" t="s">
        <v>1559</v>
      </c>
      <c r="D1488" t="s">
        <v>54</v>
      </c>
      <c r="E1488" t="s">
        <v>78</v>
      </c>
      <c r="F1488" t="s">
        <v>252</v>
      </c>
      <c r="G1488">
        <v>6.1980000000000004</v>
      </c>
      <c r="H1488">
        <v>-75.367999999999995</v>
      </c>
      <c r="I1488" t="s">
        <v>110</v>
      </c>
      <c r="M1488">
        <v>102.2</v>
      </c>
      <c r="N1488">
        <v>24.4</v>
      </c>
      <c r="O1488">
        <v>10</v>
      </c>
      <c r="P1488">
        <v>22</v>
      </c>
      <c r="Q1488">
        <v>20.7</v>
      </c>
      <c r="R1488">
        <v>34.5</v>
      </c>
    </row>
    <row r="1489" spans="1:18" x14ac:dyDescent="0.25">
      <c r="A1489" t="s">
        <v>1587</v>
      </c>
      <c r="B1489" t="s">
        <v>54</v>
      </c>
      <c r="C1489" t="s">
        <v>1559</v>
      </c>
      <c r="D1489" t="s">
        <v>54</v>
      </c>
      <c r="E1489" t="s">
        <v>78</v>
      </c>
      <c r="F1489" t="s">
        <v>252</v>
      </c>
      <c r="G1489">
        <v>6.1980000000000004</v>
      </c>
      <c r="H1489">
        <v>-75.367999999999995</v>
      </c>
      <c r="I1489" t="s">
        <v>110</v>
      </c>
      <c r="M1489">
        <v>154</v>
      </c>
      <c r="N1489">
        <v>41.5</v>
      </c>
      <c r="O1489">
        <v>34</v>
      </c>
      <c r="P1489">
        <v>26</v>
      </c>
      <c r="Q1489">
        <v>24.1</v>
      </c>
      <c r="R1489">
        <v>23.6</v>
      </c>
    </row>
    <row r="1490" spans="1:18" x14ac:dyDescent="0.25">
      <c r="A1490" t="s">
        <v>1588</v>
      </c>
      <c r="B1490" t="s">
        <v>54</v>
      </c>
      <c r="C1490" t="s">
        <v>1559</v>
      </c>
      <c r="D1490" t="s">
        <v>54</v>
      </c>
      <c r="E1490" t="s">
        <v>78</v>
      </c>
      <c r="F1490" t="s">
        <v>252</v>
      </c>
      <c r="G1490">
        <v>6.1980000000000004</v>
      </c>
      <c r="H1490">
        <v>-75.367999999999995</v>
      </c>
      <c r="I1490" t="s">
        <v>110</v>
      </c>
      <c r="M1490">
        <v>151.80000000000001</v>
      </c>
      <c r="N1490">
        <v>48.8</v>
      </c>
      <c r="O1490">
        <v>28</v>
      </c>
      <c r="P1490">
        <v>22</v>
      </c>
      <c r="Q1490">
        <v>20.7</v>
      </c>
      <c r="R1490">
        <v>36.4</v>
      </c>
    </row>
    <row r="1491" spans="1:18" x14ac:dyDescent="0.25">
      <c r="A1491" t="s">
        <v>1589</v>
      </c>
      <c r="B1491" t="s">
        <v>54</v>
      </c>
      <c r="C1491" t="s">
        <v>1559</v>
      </c>
      <c r="D1491" t="s">
        <v>54</v>
      </c>
      <c r="E1491" t="s">
        <v>78</v>
      </c>
      <c r="F1491" t="s">
        <v>252</v>
      </c>
      <c r="G1491">
        <v>6.1980000000000004</v>
      </c>
      <c r="H1491">
        <v>-75.367999999999995</v>
      </c>
      <c r="I1491" t="s">
        <v>110</v>
      </c>
      <c r="M1491">
        <v>55.9</v>
      </c>
      <c r="N1491">
        <v>0</v>
      </c>
      <c r="O1491">
        <v>14</v>
      </c>
      <c r="P1491">
        <v>14</v>
      </c>
      <c r="Q1491">
        <v>13.8</v>
      </c>
      <c r="R1491">
        <v>20</v>
      </c>
    </row>
    <row r="1492" spans="1:18" x14ac:dyDescent="0.25">
      <c r="A1492" t="s">
        <v>1590</v>
      </c>
      <c r="B1492" t="s">
        <v>54</v>
      </c>
      <c r="C1492" t="s">
        <v>1559</v>
      </c>
      <c r="D1492" t="s">
        <v>54</v>
      </c>
      <c r="E1492" t="s">
        <v>78</v>
      </c>
      <c r="F1492" t="s">
        <v>252</v>
      </c>
      <c r="G1492">
        <v>6.1980000000000004</v>
      </c>
      <c r="H1492">
        <v>-75.367999999999995</v>
      </c>
      <c r="I1492" t="s">
        <v>110</v>
      </c>
      <c r="M1492">
        <v>229.4</v>
      </c>
      <c r="N1492">
        <v>63.4</v>
      </c>
      <c r="O1492">
        <v>34</v>
      </c>
      <c r="P1492">
        <v>50</v>
      </c>
      <c r="Q1492">
        <v>36.200000000000003</v>
      </c>
      <c r="R1492">
        <v>45.5</v>
      </c>
    </row>
    <row r="1493" spans="1:18" x14ac:dyDescent="0.25">
      <c r="A1493" t="s">
        <v>1591</v>
      </c>
      <c r="B1493" t="s">
        <v>54</v>
      </c>
      <c r="C1493" t="s">
        <v>1559</v>
      </c>
      <c r="D1493" t="s">
        <v>54</v>
      </c>
      <c r="E1493" t="s">
        <v>78</v>
      </c>
      <c r="F1493" t="s">
        <v>252</v>
      </c>
      <c r="G1493">
        <v>6.1980000000000004</v>
      </c>
      <c r="H1493">
        <v>-75.367999999999995</v>
      </c>
      <c r="I1493" t="s">
        <v>110</v>
      </c>
      <c r="M1493">
        <v>229.9</v>
      </c>
      <c r="N1493">
        <v>75.599999999999994</v>
      </c>
      <c r="O1493">
        <v>46</v>
      </c>
      <c r="P1493">
        <v>24</v>
      </c>
      <c r="Q1493">
        <v>39.700000000000003</v>
      </c>
      <c r="R1493">
        <v>41.8</v>
      </c>
    </row>
    <row r="1494" spans="1:18" x14ac:dyDescent="0.25">
      <c r="A1494" t="s">
        <v>1592</v>
      </c>
      <c r="B1494" t="s">
        <v>54</v>
      </c>
      <c r="C1494" t="s">
        <v>1593</v>
      </c>
      <c r="D1494" t="s">
        <v>54</v>
      </c>
      <c r="E1494" t="s">
        <v>78</v>
      </c>
      <c r="F1494" t="s">
        <v>252</v>
      </c>
      <c r="G1494">
        <v>6.1449999999999996</v>
      </c>
      <c r="H1494">
        <v>-75.373999999999995</v>
      </c>
      <c r="I1494" t="s">
        <v>1594</v>
      </c>
      <c r="M1494">
        <v>227.5</v>
      </c>
      <c r="N1494">
        <v>51.2</v>
      </c>
      <c r="O1494">
        <v>44</v>
      </c>
      <c r="P1494">
        <v>30</v>
      </c>
      <c r="Q1494">
        <v>58.6</v>
      </c>
      <c r="R1494">
        <v>40</v>
      </c>
    </row>
    <row r="1495" spans="1:18" x14ac:dyDescent="0.25">
      <c r="A1495" t="s">
        <v>1595</v>
      </c>
      <c r="B1495" t="s">
        <v>54</v>
      </c>
      <c r="C1495" t="s">
        <v>1593</v>
      </c>
      <c r="D1495" t="s">
        <v>54</v>
      </c>
      <c r="E1495" t="s">
        <v>78</v>
      </c>
      <c r="F1495" t="s">
        <v>252</v>
      </c>
      <c r="G1495">
        <v>6.1449999999999996</v>
      </c>
      <c r="H1495">
        <v>-75.373999999999995</v>
      </c>
      <c r="I1495" t="s">
        <v>1594</v>
      </c>
      <c r="M1495">
        <v>257.5</v>
      </c>
      <c r="N1495">
        <v>56.1</v>
      </c>
      <c r="O1495">
        <v>42</v>
      </c>
      <c r="P1495">
        <v>40</v>
      </c>
      <c r="Q1495">
        <v>62.1</v>
      </c>
      <c r="R1495">
        <v>69.099999999999994</v>
      </c>
    </row>
    <row r="1496" spans="1:18" x14ac:dyDescent="0.25">
      <c r="A1496" t="s">
        <v>1596</v>
      </c>
      <c r="B1496" t="s">
        <v>54</v>
      </c>
      <c r="C1496" t="s">
        <v>1593</v>
      </c>
      <c r="D1496" t="s">
        <v>54</v>
      </c>
      <c r="E1496" t="s">
        <v>78</v>
      </c>
      <c r="F1496" t="s">
        <v>252</v>
      </c>
      <c r="G1496">
        <v>6.1449999999999996</v>
      </c>
      <c r="H1496">
        <v>-75.373999999999995</v>
      </c>
      <c r="I1496" t="s">
        <v>80</v>
      </c>
      <c r="M1496">
        <v>257.5</v>
      </c>
      <c r="N1496">
        <v>61</v>
      </c>
      <c r="O1496">
        <v>48</v>
      </c>
      <c r="P1496">
        <v>46</v>
      </c>
      <c r="Q1496">
        <v>50</v>
      </c>
      <c r="R1496">
        <v>54.5</v>
      </c>
    </row>
    <row r="1497" spans="1:18" x14ac:dyDescent="0.25">
      <c r="A1497" t="s">
        <v>1597</v>
      </c>
      <c r="B1497" t="s">
        <v>54</v>
      </c>
      <c r="C1497" t="s">
        <v>1593</v>
      </c>
      <c r="D1497" t="s">
        <v>54</v>
      </c>
      <c r="E1497" t="s">
        <v>78</v>
      </c>
      <c r="F1497" t="s">
        <v>252</v>
      </c>
      <c r="G1497">
        <v>6.1449999999999996</v>
      </c>
      <c r="H1497">
        <v>-75.373999999999995</v>
      </c>
      <c r="I1497" t="s">
        <v>80</v>
      </c>
      <c r="M1497">
        <v>418.5</v>
      </c>
      <c r="N1497">
        <v>80.5</v>
      </c>
      <c r="O1497">
        <v>84</v>
      </c>
      <c r="P1497">
        <v>84</v>
      </c>
      <c r="Q1497">
        <v>84.5</v>
      </c>
      <c r="R1497">
        <v>89.1</v>
      </c>
    </row>
    <row r="1498" spans="1:18" x14ac:dyDescent="0.25">
      <c r="A1498" t="s">
        <v>1598</v>
      </c>
      <c r="B1498" t="s">
        <v>54</v>
      </c>
      <c r="C1498" t="s">
        <v>1593</v>
      </c>
      <c r="D1498" t="s">
        <v>54</v>
      </c>
      <c r="E1498" t="s">
        <v>78</v>
      </c>
      <c r="F1498" t="s">
        <v>252</v>
      </c>
      <c r="G1498">
        <v>6.1449999999999996</v>
      </c>
      <c r="H1498">
        <v>-75.373999999999995</v>
      </c>
      <c r="I1498" t="s">
        <v>1594</v>
      </c>
      <c r="M1498">
        <v>313.2</v>
      </c>
      <c r="N1498">
        <v>73.2</v>
      </c>
      <c r="O1498">
        <v>50</v>
      </c>
      <c r="P1498">
        <v>70</v>
      </c>
      <c r="Q1498">
        <v>65.5</v>
      </c>
      <c r="R1498">
        <v>38.200000000000003</v>
      </c>
    </row>
    <row r="1499" spans="1:18" x14ac:dyDescent="0.25">
      <c r="A1499" t="s">
        <v>1599</v>
      </c>
      <c r="B1499" t="s">
        <v>54</v>
      </c>
      <c r="C1499" t="s">
        <v>1593</v>
      </c>
      <c r="D1499" t="s">
        <v>54</v>
      </c>
      <c r="E1499" t="s">
        <v>78</v>
      </c>
      <c r="F1499" t="s">
        <v>252</v>
      </c>
      <c r="G1499">
        <v>6.1449999999999996</v>
      </c>
      <c r="H1499">
        <v>-75.373999999999995</v>
      </c>
      <c r="I1499" t="s">
        <v>1594</v>
      </c>
      <c r="M1499">
        <v>154.6</v>
      </c>
      <c r="N1499">
        <v>41.5</v>
      </c>
      <c r="O1499">
        <v>30</v>
      </c>
      <c r="P1499">
        <v>18</v>
      </c>
      <c r="Q1499">
        <v>27.6</v>
      </c>
      <c r="R1499">
        <v>50.9</v>
      </c>
    </row>
    <row r="1500" spans="1:18" x14ac:dyDescent="0.25">
      <c r="A1500" t="s">
        <v>1600</v>
      </c>
      <c r="B1500" t="s">
        <v>54</v>
      </c>
      <c r="C1500" t="s">
        <v>1593</v>
      </c>
      <c r="D1500" t="s">
        <v>54</v>
      </c>
      <c r="E1500" t="s">
        <v>78</v>
      </c>
      <c r="F1500" t="s">
        <v>252</v>
      </c>
      <c r="G1500">
        <v>6.1449999999999996</v>
      </c>
      <c r="H1500">
        <v>-75.373999999999995</v>
      </c>
      <c r="I1500" t="s">
        <v>1594</v>
      </c>
      <c r="M1500">
        <v>391.3</v>
      </c>
      <c r="N1500">
        <v>87.8</v>
      </c>
      <c r="O1500">
        <v>70</v>
      </c>
      <c r="P1500">
        <v>80</v>
      </c>
      <c r="Q1500">
        <v>75.900000000000006</v>
      </c>
      <c r="R1500">
        <v>76.400000000000006</v>
      </c>
    </row>
    <row r="1501" spans="1:18" x14ac:dyDescent="0.25">
      <c r="A1501" t="s">
        <v>1601</v>
      </c>
      <c r="B1501" t="s">
        <v>54</v>
      </c>
      <c r="C1501" t="s">
        <v>1593</v>
      </c>
      <c r="D1501" t="s">
        <v>54</v>
      </c>
      <c r="E1501" t="s">
        <v>78</v>
      </c>
      <c r="F1501" t="s">
        <v>252</v>
      </c>
      <c r="G1501">
        <v>6.1449999999999996</v>
      </c>
      <c r="H1501">
        <v>-75.373999999999995</v>
      </c>
      <c r="I1501" t="s">
        <v>1594</v>
      </c>
      <c r="M1501">
        <v>256.89999999999998</v>
      </c>
      <c r="N1501">
        <v>46.3</v>
      </c>
      <c r="O1501">
        <v>40</v>
      </c>
      <c r="P1501">
        <v>64</v>
      </c>
      <c r="Q1501">
        <v>51.7</v>
      </c>
      <c r="R1501">
        <v>61.8</v>
      </c>
    </row>
    <row r="1502" spans="1:18" x14ac:dyDescent="0.25">
      <c r="A1502" t="s">
        <v>1602</v>
      </c>
      <c r="B1502" t="s">
        <v>54</v>
      </c>
      <c r="C1502" t="s">
        <v>1593</v>
      </c>
      <c r="D1502" t="s">
        <v>54</v>
      </c>
      <c r="E1502" t="s">
        <v>78</v>
      </c>
      <c r="F1502" t="s">
        <v>252</v>
      </c>
      <c r="G1502">
        <v>6.1449999999999996</v>
      </c>
      <c r="H1502">
        <v>-75.373999999999995</v>
      </c>
      <c r="I1502" t="s">
        <v>1594</v>
      </c>
      <c r="M1502">
        <v>204.2</v>
      </c>
      <c r="N1502">
        <v>58.5</v>
      </c>
      <c r="O1502">
        <v>38</v>
      </c>
      <c r="P1502">
        <v>24</v>
      </c>
      <c r="Q1502">
        <v>43.1</v>
      </c>
      <c r="R1502">
        <v>40</v>
      </c>
    </row>
    <row r="1503" spans="1:18" x14ac:dyDescent="0.25">
      <c r="A1503" t="s">
        <v>1603</v>
      </c>
      <c r="B1503" t="s">
        <v>54</v>
      </c>
      <c r="C1503" t="s">
        <v>1593</v>
      </c>
      <c r="D1503" t="s">
        <v>54</v>
      </c>
      <c r="E1503" t="s">
        <v>78</v>
      </c>
      <c r="F1503" t="s">
        <v>252</v>
      </c>
      <c r="G1503">
        <v>6.1449999999999996</v>
      </c>
      <c r="H1503">
        <v>-75.373999999999995</v>
      </c>
      <c r="I1503" t="s">
        <v>1594</v>
      </c>
      <c r="M1503">
        <v>250.5</v>
      </c>
      <c r="N1503">
        <v>58.5</v>
      </c>
      <c r="O1503">
        <v>40</v>
      </c>
      <c r="P1503">
        <v>52</v>
      </c>
      <c r="Q1503">
        <v>46.6</v>
      </c>
      <c r="R1503">
        <v>60</v>
      </c>
    </row>
    <row r="1504" spans="1:18" x14ac:dyDescent="0.25">
      <c r="A1504" t="s">
        <v>1604</v>
      </c>
      <c r="B1504" t="s">
        <v>54</v>
      </c>
      <c r="C1504" t="s">
        <v>1593</v>
      </c>
      <c r="D1504" t="s">
        <v>54</v>
      </c>
      <c r="E1504" t="s">
        <v>78</v>
      </c>
      <c r="F1504" t="s">
        <v>252</v>
      </c>
      <c r="G1504">
        <v>6.1449999999999996</v>
      </c>
      <c r="H1504">
        <v>-75.373999999999995</v>
      </c>
      <c r="I1504" t="s">
        <v>1594</v>
      </c>
      <c r="M1504">
        <v>203.4</v>
      </c>
      <c r="N1504">
        <v>43.9</v>
      </c>
      <c r="O1504">
        <v>24</v>
      </c>
      <c r="P1504">
        <v>40</v>
      </c>
      <c r="Q1504">
        <v>46.6</v>
      </c>
      <c r="R1504">
        <v>65.5</v>
      </c>
    </row>
    <row r="1505" spans="1:18" x14ac:dyDescent="0.25">
      <c r="A1505" t="s">
        <v>1605</v>
      </c>
      <c r="B1505" t="s">
        <v>54</v>
      </c>
      <c r="C1505" t="s">
        <v>1593</v>
      </c>
      <c r="D1505" t="s">
        <v>54</v>
      </c>
      <c r="E1505" t="s">
        <v>78</v>
      </c>
      <c r="F1505" t="s">
        <v>252</v>
      </c>
      <c r="G1505">
        <v>6.1449999999999996</v>
      </c>
      <c r="H1505">
        <v>-75.373999999999995</v>
      </c>
      <c r="I1505" t="s">
        <v>1594</v>
      </c>
      <c r="M1505">
        <v>282.8</v>
      </c>
      <c r="N1505">
        <v>65.900000000000006</v>
      </c>
      <c r="O1505">
        <v>46</v>
      </c>
      <c r="P1505">
        <v>62</v>
      </c>
      <c r="Q1505">
        <v>50</v>
      </c>
      <c r="R1505">
        <v>63.6</v>
      </c>
    </row>
    <row r="1506" spans="1:18" x14ac:dyDescent="0.25">
      <c r="A1506" t="s">
        <v>1606</v>
      </c>
      <c r="B1506" t="s">
        <v>54</v>
      </c>
      <c r="C1506" t="s">
        <v>1593</v>
      </c>
      <c r="D1506" t="s">
        <v>54</v>
      </c>
      <c r="E1506" t="s">
        <v>78</v>
      </c>
      <c r="F1506" t="s">
        <v>252</v>
      </c>
      <c r="G1506">
        <v>6.1449999999999996</v>
      </c>
      <c r="H1506">
        <v>-75.373999999999995</v>
      </c>
      <c r="I1506" t="s">
        <v>1594</v>
      </c>
      <c r="M1506">
        <v>236.8</v>
      </c>
      <c r="N1506">
        <v>61</v>
      </c>
      <c r="O1506">
        <v>48</v>
      </c>
      <c r="P1506">
        <v>30</v>
      </c>
      <c r="Q1506">
        <v>51.7</v>
      </c>
      <c r="R1506">
        <v>43.6</v>
      </c>
    </row>
    <row r="1507" spans="1:18" x14ac:dyDescent="0.25">
      <c r="A1507" t="s">
        <v>1607</v>
      </c>
      <c r="B1507" t="s">
        <v>54</v>
      </c>
      <c r="C1507" t="s">
        <v>1593</v>
      </c>
      <c r="D1507" t="s">
        <v>54</v>
      </c>
      <c r="E1507" t="s">
        <v>78</v>
      </c>
      <c r="F1507" t="s">
        <v>252</v>
      </c>
      <c r="G1507">
        <v>6.1449999999999996</v>
      </c>
      <c r="H1507">
        <v>-75.373999999999995</v>
      </c>
      <c r="I1507" t="s">
        <v>1594</v>
      </c>
      <c r="M1507">
        <v>233.6</v>
      </c>
      <c r="N1507">
        <v>36.6</v>
      </c>
      <c r="O1507">
        <v>36</v>
      </c>
      <c r="P1507">
        <v>44</v>
      </c>
      <c r="Q1507">
        <v>70.7</v>
      </c>
      <c r="R1507">
        <v>45.5</v>
      </c>
    </row>
    <row r="1508" spans="1:18" x14ac:dyDescent="0.25">
      <c r="A1508" t="s">
        <v>1608</v>
      </c>
      <c r="B1508" t="s">
        <v>54</v>
      </c>
      <c r="C1508" t="s">
        <v>1593</v>
      </c>
      <c r="D1508" t="s">
        <v>54</v>
      </c>
      <c r="E1508" t="s">
        <v>78</v>
      </c>
      <c r="F1508" t="s">
        <v>252</v>
      </c>
      <c r="G1508">
        <v>6.1449999999999996</v>
      </c>
      <c r="H1508">
        <v>-75.373999999999995</v>
      </c>
      <c r="I1508" t="s">
        <v>1594</v>
      </c>
      <c r="M1508">
        <v>223.3</v>
      </c>
      <c r="N1508">
        <v>56.1</v>
      </c>
      <c r="O1508">
        <v>38</v>
      </c>
      <c r="P1508">
        <v>34</v>
      </c>
      <c r="Q1508">
        <v>44.8</v>
      </c>
      <c r="R1508">
        <v>61.8</v>
      </c>
    </row>
    <row r="1509" spans="1:18" x14ac:dyDescent="0.25">
      <c r="A1509" t="s">
        <v>1609</v>
      </c>
      <c r="B1509" t="s">
        <v>54</v>
      </c>
      <c r="C1509" t="s">
        <v>1593</v>
      </c>
      <c r="D1509" t="s">
        <v>54</v>
      </c>
      <c r="E1509" t="s">
        <v>78</v>
      </c>
      <c r="F1509" t="s">
        <v>252</v>
      </c>
      <c r="G1509">
        <v>6.1449999999999996</v>
      </c>
      <c r="H1509">
        <v>-75.373999999999995</v>
      </c>
      <c r="I1509" t="s">
        <v>1594</v>
      </c>
      <c r="M1509">
        <v>252.3</v>
      </c>
      <c r="N1509">
        <v>56.1</v>
      </c>
      <c r="O1509">
        <v>38</v>
      </c>
      <c r="P1509">
        <v>42</v>
      </c>
      <c r="Q1509">
        <v>63.8</v>
      </c>
      <c r="R1509">
        <v>56.4</v>
      </c>
    </row>
    <row r="1510" spans="1:18" x14ac:dyDescent="0.25">
      <c r="A1510" t="s">
        <v>1610</v>
      </c>
      <c r="B1510" t="s">
        <v>54</v>
      </c>
      <c r="C1510" t="s">
        <v>1593</v>
      </c>
      <c r="D1510" t="s">
        <v>54</v>
      </c>
      <c r="E1510" t="s">
        <v>78</v>
      </c>
      <c r="F1510" t="s">
        <v>252</v>
      </c>
      <c r="G1510">
        <v>6.1449999999999996</v>
      </c>
      <c r="H1510">
        <v>-75.373999999999995</v>
      </c>
      <c r="I1510" t="s">
        <v>1594</v>
      </c>
      <c r="M1510">
        <v>328.2</v>
      </c>
      <c r="N1510">
        <v>61</v>
      </c>
      <c r="O1510">
        <v>58</v>
      </c>
      <c r="P1510">
        <v>68</v>
      </c>
      <c r="Q1510">
        <v>69</v>
      </c>
      <c r="R1510">
        <v>85.5</v>
      </c>
    </row>
    <row r="1511" spans="1:18" x14ac:dyDescent="0.25">
      <c r="A1511" t="s">
        <v>1611</v>
      </c>
      <c r="B1511" t="s">
        <v>54</v>
      </c>
      <c r="C1511" t="s">
        <v>1593</v>
      </c>
      <c r="D1511" t="s">
        <v>54</v>
      </c>
      <c r="E1511" t="s">
        <v>78</v>
      </c>
      <c r="F1511" t="s">
        <v>252</v>
      </c>
      <c r="G1511">
        <v>6.1449999999999996</v>
      </c>
      <c r="H1511">
        <v>-75.373999999999995</v>
      </c>
      <c r="I1511" t="s">
        <v>1594</v>
      </c>
      <c r="M1511">
        <v>243.8</v>
      </c>
      <c r="N1511">
        <v>61</v>
      </c>
      <c r="O1511">
        <v>36</v>
      </c>
      <c r="P1511">
        <v>44</v>
      </c>
      <c r="Q1511">
        <v>55.2</v>
      </c>
      <c r="R1511">
        <v>45.5</v>
      </c>
    </row>
    <row r="1512" spans="1:18" x14ac:dyDescent="0.25">
      <c r="A1512" t="s">
        <v>1612</v>
      </c>
      <c r="B1512" t="s">
        <v>54</v>
      </c>
      <c r="C1512" t="s">
        <v>1593</v>
      </c>
      <c r="D1512" t="s">
        <v>54</v>
      </c>
      <c r="E1512" t="s">
        <v>78</v>
      </c>
      <c r="F1512" t="s">
        <v>252</v>
      </c>
      <c r="G1512">
        <v>6.1449999999999996</v>
      </c>
      <c r="H1512">
        <v>-75.373999999999995</v>
      </c>
      <c r="I1512" t="s">
        <v>1594</v>
      </c>
      <c r="M1512">
        <v>286.7</v>
      </c>
      <c r="N1512">
        <v>68.3</v>
      </c>
      <c r="O1512">
        <v>44</v>
      </c>
      <c r="P1512">
        <v>62</v>
      </c>
      <c r="Q1512">
        <v>51.7</v>
      </c>
      <c r="R1512">
        <v>67.3</v>
      </c>
    </row>
    <row r="1513" spans="1:18" x14ac:dyDescent="0.25">
      <c r="A1513" t="s">
        <v>1613</v>
      </c>
      <c r="B1513" t="s">
        <v>54</v>
      </c>
      <c r="C1513" t="s">
        <v>1593</v>
      </c>
      <c r="D1513" t="s">
        <v>54</v>
      </c>
      <c r="E1513" t="s">
        <v>78</v>
      </c>
      <c r="F1513" t="s">
        <v>252</v>
      </c>
      <c r="G1513">
        <v>6.1449999999999996</v>
      </c>
      <c r="H1513">
        <v>-75.373999999999995</v>
      </c>
      <c r="I1513" t="s">
        <v>1594</v>
      </c>
      <c r="M1513">
        <v>370.9</v>
      </c>
      <c r="N1513">
        <v>70.7</v>
      </c>
      <c r="O1513">
        <v>72</v>
      </c>
      <c r="P1513">
        <v>78</v>
      </c>
      <c r="Q1513">
        <v>75.900000000000006</v>
      </c>
      <c r="R1513">
        <v>74.5</v>
      </c>
    </row>
    <row r="1514" spans="1:18" x14ac:dyDescent="0.25">
      <c r="A1514" t="s">
        <v>1614</v>
      </c>
      <c r="B1514" t="s">
        <v>54</v>
      </c>
      <c r="C1514" t="s">
        <v>1593</v>
      </c>
      <c r="D1514" t="s">
        <v>54</v>
      </c>
      <c r="E1514" t="s">
        <v>78</v>
      </c>
      <c r="F1514" t="s">
        <v>252</v>
      </c>
      <c r="G1514">
        <v>6.1449999999999996</v>
      </c>
      <c r="H1514">
        <v>-75.373999999999995</v>
      </c>
      <c r="I1514" t="s">
        <v>1594</v>
      </c>
      <c r="M1514">
        <v>279.3</v>
      </c>
      <c r="N1514">
        <v>58.5</v>
      </c>
      <c r="O1514">
        <v>48</v>
      </c>
      <c r="P1514">
        <v>58</v>
      </c>
      <c r="Q1514">
        <v>56.9</v>
      </c>
      <c r="R1514">
        <v>61.8</v>
      </c>
    </row>
    <row r="1515" spans="1:18" x14ac:dyDescent="0.25">
      <c r="A1515" t="s">
        <v>1615</v>
      </c>
      <c r="B1515" t="s">
        <v>54</v>
      </c>
      <c r="C1515" t="s">
        <v>1593</v>
      </c>
      <c r="D1515" t="s">
        <v>54</v>
      </c>
      <c r="E1515" t="s">
        <v>78</v>
      </c>
      <c r="F1515" t="s">
        <v>252</v>
      </c>
      <c r="G1515">
        <v>6.1449999999999996</v>
      </c>
      <c r="H1515">
        <v>-75.373999999999995</v>
      </c>
      <c r="I1515" t="s">
        <v>1594</v>
      </c>
      <c r="M1515">
        <v>159.69999999999999</v>
      </c>
      <c r="N1515">
        <v>34.1</v>
      </c>
      <c r="O1515">
        <v>48</v>
      </c>
      <c r="P1515">
        <v>20</v>
      </c>
      <c r="Q1515">
        <v>24.1</v>
      </c>
      <c r="R1515">
        <v>36.4</v>
      </c>
    </row>
    <row r="1516" spans="1:18" x14ac:dyDescent="0.25">
      <c r="A1516" t="s">
        <v>1616</v>
      </c>
      <c r="B1516" t="s">
        <v>54</v>
      </c>
      <c r="C1516" t="s">
        <v>1593</v>
      </c>
      <c r="D1516" t="s">
        <v>54</v>
      </c>
      <c r="E1516" t="s">
        <v>78</v>
      </c>
      <c r="F1516" t="s">
        <v>252</v>
      </c>
      <c r="G1516">
        <v>6.1449999999999996</v>
      </c>
      <c r="H1516">
        <v>-75.373999999999995</v>
      </c>
      <c r="I1516" t="s">
        <v>1594</v>
      </c>
      <c r="M1516">
        <v>279.60000000000002</v>
      </c>
      <c r="N1516">
        <v>51.2</v>
      </c>
      <c r="O1516">
        <v>54</v>
      </c>
      <c r="P1516">
        <v>52</v>
      </c>
      <c r="Q1516">
        <v>62.1</v>
      </c>
      <c r="R1516">
        <v>69.099999999999994</v>
      </c>
    </row>
    <row r="1517" spans="1:18" x14ac:dyDescent="0.25">
      <c r="A1517" t="s">
        <v>1617</v>
      </c>
      <c r="B1517" t="s">
        <v>54</v>
      </c>
      <c r="C1517" t="s">
        <v>1593</v>
      </c>
      <c r="D1517" t="s">
        <v>54</v>
      </c>
      <c r="E1517" t="s">
        <v>78</v>
      </c>
      <c r="F1517" t="s">
        <v>252</v>
      </c>
      <c r="G1517">
        <v>6.1449999999999996</v>
      </c>
      <c r="H1517">
        <v>-75.373999999999995</v>
      </c>
      <c r="I1517" t="s">
        <v>1594</v>
      </c>
      <c r="M1517">
        <v>221.7</v>
      </c>
      <c r="N1517">
        <v>46.3</v>
      </c>
      <c r="O1517">
        <v>42</v>
      </c>
      <c r="P1517">
        <v>28</v>
      </c>
      <c r="Q1517">
        <v>55.2</v>
      </c>
      <c r="R1517">
        <v>61.8</v>
      </c>
    </row>
    <row r="1518" spans="1:18" x14ac:dyDescent="0.25">
      <c r="A1518" t="s">
        <v>1618</v>
      </c>
      <c r="B1518" t="s">
        <v>54</v>
      </c>
      <c r="C1518" t="s">
        <v>1593</v>
      </c>
      <c r="D1518" t="s">
        <v>54</v>
      </c>
      <c r="E1518" t="s">
        <v>78</v>
      </c>
      <c r="F1518" t="s">
        <v>252</v>
      </c>
      <c r="G1518">
        <v>6.1449999999999996</v>
      </c>
      <c r="H1518">
        <v>-75.373999999999995</v>
      </c>
      <c r="I1518" t="s">
        <v>1594</v>
      </c>
      <c r="M1518">
        <v>253</v>
      </c>
      <c r="N1518">
        <v>58.5</v>
      </c>
      <c r="O1518">
        <v>38</v>
      </c>
      <c r="P1518">
        <v>48</v>
      </c>
      <c r="Q1518">
        <v>51.7</v>
      </c>
      <c r="R1518">
        <v>69.099999999999994</v>
      </c>
    </row>
    <row r="1519" spans="1:18" x14ac:dyDescent="0.25">
      <c r="A1519" t="s">
        <v>1619</v>
      </c>
      <c r="B1519" t="s">
        <v>54</v>
      </c>
      <c r="C1519" t="s">
        <v>1593</v>
      </c>
      <c r="D1519" t="s">
        <v>54</v>
      </c>
      <c r="E1519" t="s">
        <v>78</v>
      </c>
      <c r="F1519" t="s">
        <v>252</v>
      </c>
      <c r="G1519">
        <v>6.1449999999999996</v>
      </c>
      <c r="H1519">
        <v>-75.373999999999995</v>
      </c>
      <c r="I1519" t="s">
        <v>1594</v>
      </c>
      <c r="M1519">
        <v>298.60000000000002</v>
      </c>
      <c r="N1519">
        <v>73.2</v>
      </c>
      <c r="O1519">
        <v>50</v>
      </c>
      <c r="P1519">
        <v>70</v>
      </c>
      <c r="Q1519">
        <v>41.4</v>
      </c>
      <c r="R1519">
        <v>72.7</v>
      </c>
    </row>
    <row r="1520" spans="1:18" x14ac:dyDescent="0.25">
      <c r="A1520" t="s">
        <v>1620</v>
      </c>
      <c r="B1520" t="s">
        <v>54</v>
      </c>
      <c r="C1520" t="s">
        <v>1593</v>
      </c>
      <c r="D1520" t="s">
        <v>54</v>
      </c>
      <c r="E1520" t="s">
        <v>78</v>
      </c>
      <c r="F1520" t="s">
        <v>252</v>
      </c>
      <c r="G1520">
        <v>6.1449999999999996</v>
      </c>
      <c r="H1520">
        <v>-75.373999999999995</v>
      </c>
      <c r="I1520" t="s">
        <v>1594</v>
      </c>
      <c r="M1520">
        <v>303.5</v>
      </c>
      <c r="N1520">
        <v>48.8</v>
      </c>
      <c r="O1520">
        <v>58</v>
      </c>
      <c r="P1520">
        <v>70</v>
      </c>
      <c r="Q1520">
        <v>63.8</v>
      </c>
      <c r="R1520">
        <v>67.3</v>
      </c>
    </row>
    <row r="1521" spans="1:18" x14ac:dyDescent="0.25">
      <c r="A1521" t="s">
        <v>1621</v>
      </c>
      <c r="B1521" t="s">
        <v>54</v>
      </c>
      <c r="C1521" t="s">
        <v>1593</v>
      </c>
      <c r="D1521" t="s">
        <v>54</v>
      </c>
      <c r="E1521" t="s">
        <v>78</v>
      </c>
      <c r="F1521" t="s">
        <v>252</v>
      </c>
      <c r="G1521">
        <v>6.1449999999999996</v>
      </c>
      <c r="H1521">
        <v>-75.373999999999995</v>
      </c>
      <c r="I1521" t="s">
        <v>1594</v>
      </c>
      <c r="M1521">
        <v>169.6</v>
      </c>
      <c r="N1521">
        <v>26.8</v>
      </c>
      <c r="O1521">
        <v>34</v>
      </c>
      <c r="P1521">
        <v>36</v>
      </c>
      <c r="Q1521">
        <v>36.200000000000003</v>
      </c>
      <c r="R1521">
        <v>41.8</v>
      </c>
    </row>
    <row r="1522" spans="1:18" x14ac:dyDescent="0.25">
      <c r="A1522" t="s">
        <v>1622</v>
      </c>
      <c r="B1522" t="s">
        <v>54</v>
      </c>
      <c r="C1522" t="s">
        <v>1593</v>
      </c>
      <c r="D1522" t="s">
        <v>54</v>
      </c>
      <c r="E1522" t="s">
        <v>78</v>
      </c>
      <c r="F1522" t="s">
        <v>252</v>
      </c>
      <c r="G1522">
        <v>6.1449999999999996</v>
      </c>
      <c r="H1522">
        <v>-75.373999999999995</v>
      </c>
      <c r="I1522" t="s">
        <v>1594</v>
      </c>
      <c r="M1522">
        <v>169.2</v>
      </c>
      <c r="N1522">
        <v>29.3</v>
      </c>
      <c r="O1522">
        <v>44</v>
      </c>
      <c r="P1522">
        <v>28</v>
      </c>
      <c r="Q1522">
        <v>34.5</v>
      </c>
      <c r="R1522">
        <v>32.700000000000003</v>
      </c>
    </row>
    <row r="1523" spans="1:18" x14ac:dyDescent="0.25">
      <c r="A1523" t="s">
        <v>1623</v>
      </c>
      <c r="B1523" t="s">
        <v>54</v>
      </c>
      <c r="C1523" t="s">
        <v>1593</v>
      </c>
      <c r="D1523" t="s">
        <v>54</v>
      </c>
      <c r="E1523" t="s">
        <v>78</v>
      </c>
      <c r="F1523" t="s">
        <v>252</v>
      </c>
      <c r="G1523">
        <v>6.1449999999999996</v>
      </c>
      <c r="H1523">
        <v>-75.373999999999995</v>
      </c>
      <c r="I1523" t="s">
        <v>1594</v>
      </c>
      <c r="M1523">
        <v>266.10000000000002</v>
      </c>
      <c r="N1523">
        <v>68.3</v>
      </c>
      <c r="O1523">
        <v>44</v>
      </c>
      <c r="P1523">
        <v>52</v>
      </c>
      <c r="Q1523">
        <v>50</v>
      </c>
      <c r="R1523">
        <v>49.1</v>
      </c>
    </row>
    <row r="1524" spans="1:18" x14ac:dyDescent="0.25">
      <c r="A1524" t="s">
        <v>1624</v>
      </c>
      <c r="B1524" t="s">
        <v>54</v>
      </c>
      <c r="C1524" t="s">
        <v>1593</v>
      </c>
      <c r="D1524" t="s">
        <v>54</v>
      </c>
      <c r="E1524" t="s">
        <v>78</v>
      </c>
      <c r="F1524" t="s">
        <v>252</v>
      </c>
      <c r="G1524">
        <v>6.1449999999999996</v>
      </c>
      <c r="H1524">
        <v>-75.373999999999995</v>
      </c>
      <c r="I1524" t="s">
        <v>110</v>
      </c>
      <c r="M1524">
        <v>249.6</v>
      </c>
      <c r="N1524">
        <v>61</v>
      </c>
      <c r="O1524">
        <v>42</v>
      </c>
      <c r="P1524">
        <v>48</v>
      </c>
      <c r="Q1524">
        <v>46.6</v>
      </c>
      <c r="R1524">
        <v>56.4</v>
      </c>
    </row>
    <row r="1525" spans="1:18" x14ac:dyDescent="0.25">
      <c r="A1525" t="s">
        <v>1625</v>
      </c>
      <c r="B1525" t="s">
        <v>54</v>
      </c>
      <c r="C1525" t="s">
        <v>1593</v>
      </c>
      <c r="D1525" t="s">
        <v>54</v>
      </c>
      <c r="E1525" t="s">
        <v>78</v>
      </c>
      <c r="F1525" t="s">
        <v>252</v>
      </c>
      <c r="G1525">
        <v>6.1449999999999996</v>
      </c>
      <c r="H1525">
        <v>-75.373999999999995</v>
      </c>
      <c r="I1525" t="s">
        <v>110</v>
      </c>
      <c r="M1525">
        <v>191.8</v>
      </c>
      <c r="N1525">
        <v>34.1</v>
      </c>
      <c r="O1525">
        <v>42</v>
      </c>
      <c r="P1525">
        <v>34</v>
      </c>
      <c r="Q1525">
        <v>37.9</v>
      </c>
      <c r="R1525">
        <v>54.5</v>
      </c>
    </row>
    <row r="1526" spans="1:18" x14ac:dyDescent="0.25">
      <c r="A1526" t="s">
        <v>1626</v>
      </c>
      <c r="B1526" t="s">
        <v>54</v>
      </c>
      <c r="C1526" t="s">
        <v>1593</v>
      </c>
      <c r="D1526" t="s">
        <v>54</v>
      </c>
      <c r="E1526" t="s">
        <v>78</v>
      </c>
      <c r="F1526" t="s">
        <v>252</v>
      </c>
      <c r="G1526">
        <v>6.1449999999999996</v>
      </c>
      <c r="H1526">
        <v>-75.373999999999995</v>
      </c>
      <c r="I1526" t="s">
        <v>110</v>
      </c>
      <c r="M1526">
        <v>248.9</v>
      </c>
      <c r="N1526">
        <v>48.8</v>
      </c>
      <c r="O1526">
        <v>38</v>
      </c>
      <c r="P1526">
        <v>68</v>
      </c>
      <c r="Q1526">
        <v>37.9</v>
      </c>
      <c r="R1526">
        <v>69.099999999999994</v>
      </c>
    </row>
    <row r="1527" spans="1:18" x14ac:dyDescent="0.25">
      <c r="A1527" t="s">
        <v>1627</v>
      </c>
      <c r="B1527" t="s">
        <v>54</v>
      </c>
      <c r="C1527" t="s">
        <v>1593</v>
      </c>
      <c r="D1527" t="s">
        <v>54</v>
      </c>
      <c r="E1527" t="s">
        <v>78</v>
      </c>
      <c r="F1527" t="s">
        <v>252</v>
      </c>
      <c r="G1527">
        <v>6.1449999999999996</v>
      </c>
      <c r="H1527">
        <v>-75.373999999999995</v>
      </c>
      <c r="I1527" t="s">
        <v>110</v>
      </c>
      <c r="M1527">
        <v>305</v>
      </c>
      <c r="N1527">
        <v>70.7</v>
      </c>
      <c r="O1527">
        <v>44</v>
      </c>
      <c r="P1527">
        <v>62</v>
      </c>
      <c r="Q1527">
        <v>60.3</v>
      </c>
      <c r="R1527">
        <v>81.8</v>
      </c>
    </row>
    <row r="1528" spans="1:18" x14ac:dyDescent="0.25">
      <c r="A1528" t="s">
        <v>1628</v>
      </c>
      <c r="B1528" t="s">
        <v>54</v>
      </c>
      <c r="C1528" t="s">
        <v>1593</v>
      </c>
      <c r="D1528" t="s">
        <v>54</v>
      </c>
      <c r="E1528" t="s">
        <v>78</v>
      </c>
      <c r="F1528" t="s">
        <v>252</v>
      </c>
      <c r="G1528">
        <v>6.1449999999999996</v>
      </c>
      <c r="H1528">
        <v>-75.373999999999995</v>
      </c>
      <c r="I1528" t="s">
        <v>1594</v>
      </c>
      <c r="M1528">
        <v>296.10000000000002</v>
      </c>
      <c r="N1528">
        <v>70.7</v>
      </c>
      <c r="O1528">
        <v>56</v>
      </c>
      <c r="P1528">
        <v>60</v>
      </c>
      <c r="Q1528">
        <v>51.7</v>
      </c>
      <c r="R1528">
        <v>54.5</v>
      </c>
    </row>
    <row r="1529" spans="1:18" x14ac:dyDescent="0.25">
      <c r="A1529" t="s">
        <v>1629</v>
      </c>
      <c r="B1529" t="s">
        <v>54</v>
      </c>
      <c r="C1529" t="s">
        <v>1593</v>
      </c>
      <c r="D1529" t="s">
        <v>54</v>
      </c>
      <c r="E1529" t="s">
        <v>78</v>
      </c>
      <c r="F1529" t="s">
        <v>252</v>
      </c>
      <c r="G1529">
        <v>6.1449999999999996</v>
      </c>
      <c r="H1529">
        <v>-75.373999999999995</v>
      </c>
      <c r="I1529" t="s">
        <v>110</v>
      </c>
      <c r="M1529">
        <v>240.5</v>
      </c>
      <c r="N1529">
        <v>53.7</v>
      </c>
      <c r="O1529">
        <v>42</v>
      </c>
      <c r="P1529">
        <v>56</v>
      </c>
      <c r="Q1529">
        <v>36.200000000000003</v>
      </c>
      <c r="R1529">
        <v>61.8</v>
      </c>
    </row>
    <row r="1530" spans="1:18" x14ac:dyDescent="0.25">
      <c r="A1530" t="s">
        <v>1630</v>
      </c>
      <c r="B1530" t="s">
        <v>54</v>
      </c>
      <c r="C1530" t="s">
        <v>1593</v>
      </c>
      <c r="D1530" t="s">
        <v>54</v>
      </c>
      <c r="E1530" t="s">
        <v>78</v>
      </c>
      <c r="F1530" t="s">
        <v>252</v>
      </c>
      <c r="G1530">
        <v>6.1449999999999996</v>
      </c>
      <c r="H1530">
        <v>-75.373999999999995</v>
      </c>
      <c r="I1530" t="s">
        <v>110</v>
      </c>
      <c r="M1530">
        <v>268.39999999999998</v>
      </c>
      <c r="N1530">
        <v>58.5</v>
      </c>
      <c r="O1530">
        <v>58</v>
      </c>
      <c r="P1530">
        <v>40</v>
      </c>
      <c r="Q1530">
        <v>60.3</v>
      </c>
      <c r="R1530">
        <v>47.3</v>
      </c>
    </row>
    <row r="1531" spans="1:18" x14ac:dyDescent="0.25">
      <c r="A1531" t="s">
        <v>1631</v>
      </c>
      <c r="B1531" t="s">
        <v>54</v>
      </c>
      <c r="C1531" t="s">
        <v>1593</v>
      </c>
      <c r="D1531" t="s">
        <v>54</v>
      </c>
      <c r="E1531" t="s">
        <v>78</v>
      </c>
      <c r="F1531" t="s">
        <v>252</v>
      </c>
      <c r="G1531">
        <v>6.1449999999999996</v>
      </c>
      <c r="H1531">
        <v>-75.373999999999995</v>
      </c>
      <c r="I1531" t="s">
        <v>110</v>
      </c>
      <c r="M1531">
        <v>249</v>
      </c>
      <c r="N1531">
        <v>75.599999999999994</v>
      </c>
      <c r="O1531">
        <v>56</v>
      </c>
      <c r="P1531">
        <v>48</v>
      </c>
      <c r="Q1531">
        <v>36.200000000000003</v>
      </c>
      <c r="R1531">
        <v>0</v>
      </c>
    </row>
    <row r="1532" spans="1:18" x14ac:dyDescent="0.25">
      <c r="A1532" t="s">
        <v>1632</v>
      </c>
      <c r="B1532" t="s">
        <v>54</v>
      </c>
      <c r="C1532" t="s">
        <v>1593</v>
      </c>
      <c r="D1532" t="s">
        <v>54</v>
      </c>
      <c r="E1532" t="s">
        <v>78</v>
      </c>
      <c r="F1532" t="s">
        <v>252</v>
      </c>
      <c r="G1532">
        <v>6.1449999999999996</v>
      </c>
      <c r="H1532">
        <v>-75.373999999999995</v>
      </c>
      <c r="I1532" t="s">
        <v>110</v>
      </c>
      <c r="M1532">
        <v>207.2</v>
      </c>
      <c r="N1532">
        <v>46.3</v>
      </c>
      <c r="O1532">
        <v>22</v>
      </c>
      <c r="P1532">
        <v>50</v>
      </c>
      <c r="Q1532">
        <v>44.8</v>
      </c>
      <c r="R1532">
        <v>49.1</v>
      </c>
    </row>
    <row r="1533" spans="1:18" x14ac:dyDescent="0.25">
      <c r="A1533" t="s">
        <v>1633</v>
      </c>
      <c r="B1533" t="s">
        <v>54</v>
      </c>
      <c r="C1533" t="s">
        <v>1593</v>
      </c>
      <c r="D1533" t="s">
        <v>54</v>
      </c>
      <c r="E1533" t="s">
        <v>78</v>
      </c>
      <c r="F1533" t="s">
        <v>252</v>
      </c>
      <c r="G1533">
        <v>6.1449999999999996</v>
      </c>
      <c r="H1533">
        <v>-75.373999999999995</v>
      </c>
      <c r="I1533" t="s">
        <v>110</v>
      </c>
      <c r="M1533">
        <v>261.2</v>
      </c>
      <c r="N1533">
        <v>63.4</v>
      </c>
      <c r="O1533">
        <v>34</v>
      </c>
      <c r="P1533">
        <v>52</v>
      </c>
      <c r="Q1533">
        <v>55.2</v>
      </c>
      <c r="R1533">
        <v>65.5</v>
      </c>
    </row>
    <row r="1534" spans="1:18" x14ac:dyDescent="0.25">
      <c r="A1534" t="s">
        <v>1634</v>
      </c>
      <c r="B1534" t="s">
        <v>54</v>
      </c>
      <c r="C1534" t="s">
        <v>1593</v>
      </c>
      <c r="D1534" t="s">
        <v>54</v>
      </c>
      <c r="E1534" t="s">
        <v>78</v>
      </c>
      <c r="F1534" t="s">
        <v>252</v>
      </c>
      <c r="G1534">
        <v>6.1449999999999996</v>
      </c>
      <c r="H1534">
        <v>-75.373999999999995</v>
      </c>
      <c r="I1534" t="s">
        <v>110</v>
      </c>
      <c r="M1534">
        <v>203.7</v>
      </c>
      <c r="N1534">
        <v>43.9</v>
      </c>
      <c r="O1534">
        <v>36</v>
      </c>
      <c r="P1534">
        <v>28</v>
      </c>
      <c r="Q1534">
        <v>53.4</v>
      </c>
      <c r="R1534">
        <v>45.5</v>
      </c>
    </row>
    <row r="1535" spans="1:18" x14ac:dyDescent="0.25">
      <c r="A1535" t="s">
        <v>1635</v>
      </c>
      <c r="B1535" t="s">
        <v>54</v>
      </c>
      <c r="C1535" t="s">
        <v>1593</v>
      </c>
      <c r="D1535" t="s">
        <v>54</v>
      </c>
      <c r="E1535" t="s">
        <v>78</v>
      </c>
      <c r="F1535" t="s">
        <v>252</v>
      </c>
      <c r="G1535">
        <v>6.1449999999999996</v>
      </c>
      <c r="H1535">
        <v>-75.373999999999995</v>
      </c>
      <c r="I1535" t="s">
        <v>110</v>
      </c>
      <c r="M1535">
        <v>257.60000000000002</v>
      </c>
      <c r="N1535">
        <v>53.7</v>
      </c>
      <c r="O1535">
        <v>56</v>
      </c>
      <c r="P1535">
        <v>32</v>
      </c>
      <c r="Q1535">
        <v>60.3</v>
      </c>
      <c r="R1535">
        <v>63.6</v>
      </c>
    </row>
    <row r="1536" spans="1:18" x14ac:dyDescent="0.25">
      <c r="A1536" t="s">
        <v>1636</v>
      </c>
      <c r="B1536" t="s">
        <v>54</v>
      </c>
      <c r="C1536" t="s">
        <v>1593</v>
      </c>
      <c r="D1536" t="s">
        <v>54</v>
      </c>
      <c r="E1536" t="s">
        <v>78</v>
      </c>
      <c r="F1536" t="s">
        <v>252</v>
      </c>
      <c r="G1536">
        <v>6.1449999999999996</v>
      </c>
      <c r="H1536">
        <v>-75.373999999999995</v>
      </c>
      <c r="I1536" t="s">
        <v>1594</v>
      </c>
      <c r="M1536">
        <v>145</v>
      </c>
      <c r="N1536">
        <v>39</v>
      </c>
      <c r="O1536">
        <v>32</v>
      </c>
      <c r="P1536">
        <v>20</v>
      </c>
      <c r="Q1536">
        <v>20.7</v>
      </c>
      <c r="R1536">
        <v>41.8</v>
      </c>
    </row>
    <row r="1537" spans="1:18" x14ac:dyDescent="0.25">
      <c r="A1537" t="s">
        <v>1637</v>
      </c>
      <c r="B1537" t="s">
        <v>54</v>
      </c>
      <c r="C1537" t="s">
        <v>1593</v>
      </c>
      <c r="D1537" t="s">
        <v>54</v>
      </c>
      <c r="E1537" t="s">
        <v>78</v>
      </c>
      <c r="F1537" t="s">
        <v>252</v>
      </c>
      <c r="G1537">
        <v>6.1449999999999996</v>
      </c>
      <c r="H1537">
        <v>-75.373999999999995</v>
      </c>
      <c r="I1537" t="s">
        <v>110</v>
      </c>
      <c r="M1537">
        <v>318.3</v>
      </c>
      <c r="N1537">
        <v>68.3</v>
      </c>
      <c r="O1537">
        <v>40</v>
      </c>
      <c r="P1537">
        <v>74</v>
      </c>
      <c r="Q1537">
        <v>62.1</v>
      </c>
      <c r="R1537">
        <v>94.5</v>
      </c>
    </row>
    <row r="1538" spans="1:18" x14ac:dyDescent="0.25">
      <c r="A1538" t="s">
        <v>1638</v>
      </c>
      <c r="B1538" t="s">
        <v>54</v>
      </c>
      <c r="C1538" t="s">
        <v>1593</v>
      </c>
      <c r="D1538" t="s">
        <v>54</v>
      </c>
      <c r="E1538" t="s">
        <v>78</v>
      </c>
      <c r="F1538" t="s">
        <v>252</v>
      </c>
      <c r="G1538">
        <v>6.1449999999999996</v>
      </c>
      <c r="H1538">
        <v>-75.373999999999995</v>
      </c>
      <c r="I1538" t="s">
        <v>110</v>
      </c>
      <c r="M1538">
        <v>285.2</v>
      </c>
      <c r="N1538">
        <v>65.900000000000006</v>
      </c>
      <c r="O1538">
        <v>40</v>
      </c>
      <c r="P1538">
        <v>68</v>
      </c>
      <c r="Q1538">
        <v>55.2</v>
      </c>
      <c r="R1538">
        <v>54.5</v>
      </c>
    </row>
    <row r="1539" spans="1:18" x14ac:dyDescent="0.25">
      <c r="A1539" t="s">
        <v>1639</v>
      </c>
      <c r="B1539" t="s">
        <v>54</v>
      </c>
      <c r="C1539" t="s">
        <v>1593</v>
      </c>
      <c r="D1539" t="s">
        <v>54</v>
      </c>
      <c r="E1539" t="s">
        <v>78</v>
      </c>
      <c r="F1539" t="s">
        <v>252</v>
      </c>
      <c r="G1539">
        <v>6.1449999999999996</v>
      </c>
      <c r="H1539">
        <v>-75.373999999999995</v>
      </c>
      <c r="I1539" t="s">
        <v>110</v>
      </c>
      <c r="M1539">
        <v>237.6</v>
      </c>
      <c r="N1539">
        <v>58.5</v>
      </c>
      <c r="O1539">
        <v>50</v>
      </c>
      <c r="P1539">
        <v>42</v>
      </c>
      <c r="Q1539">
        <v>39.700000000000003</v>
      </c>
      <c r="R1539">
        <v>47.3</v>
      </c>
    </row>
    <row r="1540" spans="1:18" x14ac:dyDescent="0.25">
      <c r="A1540" t="s">
        <v>1640</v>
      </c>
      <c r="B1540" t="s">
        <v>54</v>
      </c>
      <c r="C1540" t="s">
        <v>1593</v>
      </c>
      <c r="D1540" t="s">
        <v>54</v>
      </c>
      <c r="E1540" t="s">
        <v>78</v>
      </c>
      <c r="F1540" t="s">
        <v>252</v>
      </c>
      <c r="G1540">
        <v>6.1449999999999996</v>
      </c>
      <c r="H1540">
        <v>-75.373999999999995</v>
      </c>
      <c r="I1540" t="s">
        <v>110</v>
      </c>
      <c r="M1540">
        <v>260.2</v>
      </c>
      <c r="N1540">
        <v>43.9</v>
      </c>
      <c r="O1540">
        <v>56</v>
      </c>
      <c r="P1540">
        <v>56</v>
      </c>
      <c r="Q1540">
        <v>46.6</v>
      </c>
      <c r="R1540">
        <v>69.099999999999994</v>
      </c>
    </row>
    <row r="1541" spans="1:18" x14ac:dyDescent="0.25">
      <c r="A1541" t="s">
        <v>1641</v>
      </c>
      <c r="B1541" t="s">
        <v>54</v>
      </c>
      <c r="C1541" t="s">
        <v>1593</v>
      </c>
      <c r="D1541" t="s">
        <v>54</v>
      </c>
      <c r="E1541" t="s">
        <v>78</v>
      </c>
      <c r="F1541" t="s">
        <v>252</v>
      </c>
      <c r="G1541">
        <v>6.1449999999999996</v>
      </c>
      <c r="H1541">
        <v>-75.373999999999995</v>
      </c>
      <c r="I1541" t="s">
        <v>110</v>
      </c>
      <c r="M1541">
        <v>228</v>
      </c>
      <c r="N1541">
        <v>48.8</v>
      </c>
      <c r="O1541">
        <v>50</v>
      </c>
      <c r="P1541">
        <v>40</v>
      </c>
      <c r="Q1541">
        <v>43.1</v>
      </c>
      <c r="R1541">
        <v>47.3</v>
      </c>
    </row>
    <row r="1542" spans="1:18" x14ac:dyDescent="0.25">
      <c r="A1542" t="s">
        <v>1642</v>
      </c>
      <c r="B1542" t="s">
        <v>54</v>
      </c>
      <c r="C1542" t="s">
        <v>1593</v>
      </c>
      <c r="D1542" t="s">
        <v>54</v>
      </c>
      <c r="E1542" t="s">
        <v>78</v>
      </c>
      <c r="F1542" t="s">
        <v>252</v>
      </c>
      <c r="G1542">
        <v>6.1449999999999996</v>
      </c>
      <c r="H1542">
        <v>-75.373999999999995</v>
      </c>
      <c r="I1542" t="s">
        <v>110</v>
      </c>
      <c r="M1542">
        <v>309.60000000000002</v>
      </c>
      <c r="N1542">
        <v>68.3</v>
      </c>
      <c r="O1542">
        <v>42</v>
      </c>
      <c r="P1542">
        <v>72</v>
      </c>
      <c r="Q1542">
        <v>56.9</v>
      </c>
      <c r="R1542">
        <v>87.3</v>
      </c>
    </row>
    <row r="1543" spans="1:18" x14ac:dyDescent="0.25">
      <c r="A1543" t="s">
        <v>1643</v>
      </c>
      <c r="B1543" t="s">
        <v>54</v>
      </c>
      <c r="C1543" t="s">
        <v>1593</v>
      </c>
      <c r="D1543" t="s">
        <v>54</v>
      </c>
      <c r="E1543" t="s">
        <v>78</v>
      </c>
      <c r="F1543" t="s">
        <v>252</v>
      </c>
      <c r="G1543">
        <v>6.1449999999999996</v>
      </c>
      <c r="H1543">
        <v>-75.373999999999995</v>
      </c>
      <c r="I1543" t="s">
        <v>110</v>
      </c>
      <c r="M1543">
        <v>290.60000000000002</v>
      </c>
      <c r="N1543">
        <v>46.3</v>
      </c>
      <c r="O1543">
        <v>70</v>
      </c>
      <c r="P1543">
        <v>58</v>
      </c>
      <c r="Q1543">
        <v>56.9</v>
      </c>
      <c r="R1543">
        <v>61.8</v>
      </c>
    </row>
    <row r="1544" spans="1:18" x14ac:dyDescent="0.25">
      <c r="A1544" t="s">
        <v>1644</v>
      </c>
      <c r="B1544" t="s">
        <v>54</v>
      </c>
      <c r="C1544" t="s">
        <v>1593</v>
      </c>
      <c r="D1544" t="s">
        <v>54</v>
      </c>
      <c r="E1544" t="s">
        <v>78</v>
      </c>
      <c r="F1544" t="s">
        <v>252</v>
      </c>
      <c r="G1544">
        <v>6.1449999999999996</v>
      </c>
      <c r="H1544">
        <v>-75.373999999999995</v>
      </c>
      <c r="I1544" t="s">
        <v>110</v>
      </c>
      <c r="M1544">
        <v>374.3</v>
      </c>
      <c r="N1544">
        <v>75.599999999999994</v>
      </c>
      <c r="O1544">
        <v>72</v>
      </c>
      <c r="P1544">
        <v>80</v>
      </c>
      <c r="Q1544">
        <v>70.7</v>
      </c>
      <c r="R1544">
        <v>78.2</v>
      </c>
    </row>
    <row r="1545" spans="1:18" x14ac:dyDescent="0.25">
      <c r="A1545" t="s">
        <v>1645</v>
      </c>
      <c r="B1545" t="s">
        <v>54</v>
      </c>
      <c r="C1545" t="s">
        <v>1593</v>
      </c>
      <c r="D1545" t="s">
        <v>54</v>
      </c>
      <c r="E1545" t="s">
        <v>78</v>
      </c>
      <c r="F1545" t="s">
        <v>252</v>
      </c>
      <c r="G1545">
        <v>6.1449999999999996</v>
      </c>
      <c r="H1545">
        <v>-75.373999999999995</v>
      </c>
      <c r="I1545" t="s">
        <v>110</v>
      </c>
      <c r="M1545">
        <v>295.89999999999998</v>
      </c>
      <c r="N1545">
        <v>70.7</v>
      </c>
      <c r="O1545">
        <v>52</v>
      </c>
      <c r="P1545">
        <v>48</v>
      </c>
      <c r="Q1545">
        <v>72.400000000000006</v>
      </c>
      <c r="R1545">
        <v>40</v>
      </c>
    </row>
    <row r="1546" spans="1:18" x14ac:dyDescent="0.25">
      <c r="A1546" t="s">
        <v>1646</v>
      </c>
      <c r="B1546" t="s">
        <v>54</v>
      </c>
      <c r="C1546" t="s">
        <v>1593</v>
      </c>
      <c r="D1546" t="s">
        <v>54</v>
      </c>
      <c r="E1546" t="s">
        <v>78</v>
      </c>
      <c r="F1546" t="s">
        <v>252</v>
      </c>
      <c r="G1546">
        <v>6.1449999999999996</v>
      </c>
      <c r="H1546">
        <v>-75.373999999999995</v>
      </c>
      <c r="I1546" t="s">
        <v>1594</v>
      </c>
      <c r="M1546">
        <v>301.2</v>
      </c>
      <c r="N1546">
        <v>68.3</v>
      </c>
      <c r="O1546">
        <v>44</v>
      </c>
      <c r="P1546">
        <v>70</v>
      </c>
      <c r="Q1546">
        <v>56.9</v>
      </c>
      <c r="R1546">
        <v>65.5</v>
      </c>
    </row>
    <row r="1547" spans="1:18" x14ac:dyDescent="0.25">
      <c r="A1547" t="s">
        <v>1647</v>
      </c>
      <c r="B1547" t="s">
        <v>54</v>
      </c>
      <c r="C1547" t="s">
        <v>1593</v>
      </c>
      <c r="D1547" t="s">
        <v>54</v>
      </c>
      <c r="E1547" t="s">
        <v>78</v>
      </c>
      <c r="F1547" t="s">
        <v>252</v>
      </c>
      <c r="G1547">
        <v>6.1449999999999996</v>
      </c>
      <c r="H1547">
        <v>-75.373999999999995</v>
      </c>
      <c r="I1547" t="s">
        <v>110</v>
      </c>
      <c r="M1547">
        <v>173.4</v>
      </c>
      <c r="N1547">
        <v>61</v>
      </c>
      <c r="O1547">
        <v>34</v>
      </c>
      <c r="P1547">
        <v>26</v>
      </c>
      <c r="Q1547">
        <v>29.3</v>
      </c>
      <c r="R1547">
        <v>0</v>
      </c>
    </row>
    <row r="1548" spans="1:18" x14ac:dyDescent="0.25">
      <c r="A1548" t="s">
        <v>1648</v>
      </c>
      <c r="B1548" t="s">
        <v>54</v>
      </c>
      <c r="C1548" t="s">
        <v>1593</v>
      </c>
      <c r="D1548" t="s">
        <v>54</v>
      </c>
      <c r="E1548" t="s">
        <v>78</v>
      </c>
      <c r="F1548" t="s">
        <v>252</v>
      </c>
      <c r="G1548">
        <v>6.1449999999999996</v>
      </c>
      <c r="H1548">
        <v>-75.373999999999995</v>
      </c>
      <c r="I1548" t="s">
        <v>110</v>
      </c>
      <c r="M1548">
        <v>220.7</v>
      </c>
      <c r="N1548">
        <v>56.1</v>
      </c>
      <c r="O1548">
        <v>32</v>
      </c>
      <c r="P1548">
        <v>38</v>
      </c>
      <c r="Q1548">
        <v>37.9</v>
      </c>
      <c r="R1548">
        <v>81.8</v>
      </c>
    </row>
    <row r="1549" spans="1:18" x14ac:dyDescent="0.25">
      <c r="A1549" t="s">
        <v>1649</v>
      </c>
      <c r="B1549" t="s">
        <v>54</v>
      </c>
      <c r="C1549" t="s">
        <v>1593</v>
      </c>
      <c r="D1549" t="s">
        <v>54</v>
      </c>
      <c r="E1549" t="s">
        <v>78</v>
      </c>
      <c r="F1549" t="s">
        <v>252</v>
      </c>
      <c r="G1549">
        <v>6.1449999999999996</v>
      </c>
      <c r="H1549">
        <v>-75.373999999999995</v>
      </c>
      <c r="I1549" t="s">
        <v>110</v>
      </c>
      <c r="M1549">
        <v>299</v>
      </c>
      <c r="N1549">
        <v>65.900000000000006</v>
      </c>
      <c r="O1549">
        <v>42</v>
      </c>
      <c r="P1549">
        <v>74</v>
      </c>
      <c r="Q1549">
        <v>50</v>
      </c>
      <c r="R1549">
        <v>81.8</v>
      </c>
    </row>
    <row r="1550" spans="1:18" x14ac:dyDescent="0.25">
      <c r="A1550" t="s">
        <v>1650</v>
      </c>
      <c r="B1550" t="s">
        <v>54</v>
      </c>
      <c r="C1550" t="s">
        <v>1593</v>
      </c>
      <c r="D1550" t="s">
        <v>54</v>
      </c>
      <c r="E1550" t="s">
        <v>78</v>
      </c>
      <c r="F1550" t="s">
        <v>252</v>
      </c>
      <c r="G1550">
        <v>6.1449999999999996</v>
      </c>
      <c r="H1550">
        <v>-75.373999999999995</v>
      </c>
      <c r="I1550" t="s">
        <v>110</v>
      </c>
      <c r="M1550">
        <v>343.2</v>
      </c>
      <c r="N1550">
        <v>75.599999999999994</v>
      </c>
      <c r="O1550">
        <v>50</v>
      </c>
      <c r="P1550">
        <v>76</v>
      </c>
      <c r="Q1550">
        <v>65.5</v>
      </c>
      <c r="R1550">
        <v>90.9</v>
      </c>
    </row>
    <row r="1551" spans="1:18" x14ac:dyDescent="0.25">
      <c r="A1551" t="s">
        <v>1651</v>
      </c>
      <c r="B1551" t="s">
        <v>54</v>
      </c>
      <c r="C1551" t="s">
        <v>1593</v>
      </c>
      <c r="D1551" t="s">
        <v>54</v>
      </c>
      <c r="E1551" t="s">
        <v>78</v>
      </c>
      <c r="F1551" t="s">
        <v>252</v>
      </c>
      <c r="G1551">
        <v>6.1449999999999996</v>
      </c>
      <c r="H1551">
        <v>-75.373999999999995</v>
      </c>
      <c r="I1551" t="s">
        <v>110</v>
      </c>
      <c r="M1551">
        <v>333.8</v>
      </c>
      <c r="N1551">
        <v>68.3</v>
      </c>
      <c r="O1551">
        <v>48</v>
      </c>
      <c r="P1551">
        <v>82</v>
      </c>
      <c r="Q1551">
        <v>65.5</v>
      </c>
      <c r="R1551">
        <v>76.400000000000006</v>
      </c>
    </row>
    <row r="1552" spans="1:18" x14ac:dyDescent="0.25">
      <c r="A1552" t="s">
        <v>1652</v>
      </c>
      <c r="B1552" t="s">
        <v>54</v>
      </c>
      <c r="C1552" t="s">
        <v>1593</v>
      </c>
      <c r="D1552" t="s">
        <v>54</v>
      </c>
      <c r="E1552" t="s">
        <v>78</v>
      </c>
      <c r="F1552" t="s">
        <v>252</v>
      </c>
      <c r="G1552">
        <v>6.1449999999999996</v>
      </c>
      <c r="H1552">
        <v>-75.373999999999995</v>
      </c>
      <c r="I1552" t="s">
        <v>110</v>
      </c>
      <c r="M1552">
        <v>133.4</v>
      </c>
      <c r="N1552">
        <v>51.2</v>
      </c>
      <c r="O1552">
        <v>28</v>
      </c>
      <c r="P1552">
        <v>14</v>
      </c>
      <c r="Q1552">
        <v>22.4</v>
      </c>
      <c r="R1552">
        <v>0</v>
      </c>
    </row>
    <row r="1553" spans="1:18" x14ac:dyDescent="0.25">
      <c r="A1553" t="s">
        <v>1653</v>
      </c>
      <c r="B1553" t="s">
        <v>54</v>
      </c>
      <c r="C1553" t="s">
        <v>1593</v>
      </c>
      <c r="D1553" t="s">
        <v>54</v>
      </c>
      <c r="E1553" t="s">
        <v>78</v>
      </c>
      <c r="F1553" t="s">
        <v>252</v>
      </c>
      <c r="G1553">
        <v>6.1449999999999996</v>
      </c>
      <c r="H1553">
        <v>-75.373999999999995</v>
      </c>
      <c r="I1553" t="s">
        <v>110</v>
      </c>
      <c r="M1553">
        <v>273.3</v>
      </c>
      <c r="N1553">
        <v>68.3</v>
      </c>
      <c r="O1553">
        <v>46</v>
      </c>
      <c r="P1553">
        <v>44</v>
      </c>
      <c r="Q1553">
        <v>48.3</v>
      </c>
      <c r="R1553">
        <v>90.9</v>
      </c>
    </row>
    <row r="1554" spans="1:18" x14ac:dyDescent="0.25">
      <c r="A1554" t="s">
        <v>1654</v>
      </c>
      <c r="B1554" t="s">
        <v>54</v>
      </c>
      <c r="C1554" t="s">
        <v>1593</v>
      </c>
      <c r="D1554" t="s">
        <v>54</v>
      </c>
      <c r="E1554" t="s">
        <v>78</v>
      </c>
      <c r="F1554" t="s">
        <v>252</v>
      </c>
      <c r="G1554">
        <v>6.1449999999999996</v>
      </c>
      <c r="H1554">
        <v>-75.373999999999995</v>
      </c>
      <c r="I1554" t="s">
        <v>110</v>
      </c>
      <c r="M1554">
        <v>289.39999999999998</v>
      </c>
      <c r="N1554">
        <v>58.5</v>
      </c>
      <c r="O1554">
        <v>56</v>
      </c>
      <c r="P1554">
        <v>64</v>
      </c>
      <c r="Q1554">
        <v>53.4</v>
      </c>
      <c r="R1554">
        <v>56.4</v>
      </c>
    </row>
    <row r="1555" spans="1:18" x14ac:dyDescent="0.25">
      <c r="A1555" t="s">
        <v>1655</v>
      </c>
      <c r="B1555" t="s">
        <v>54</v>
      </c>
      <c r="C1555" t="s">
        <v>1593</v>
      </c>
      <c r="D1555" t="s">
        <v>54</v>
      </c>
      <c r="E1555" t="s">
        <v>78</v>
      </c>
      <c r="F1555" t="s">
        <v>252</v>
      </c>
      <c r="G1555">
        <v>6.1449999999999996</v>
      </c>
      <c r="H1555">
        <v>-75.373999999999995</v>
      </c>
      <c r="I1555" t="s">
        <v>110</v>
      </c>
      <c r="M1555">
        <v>286</v>
      </c>
      <c r="N1555">
        <v>68.3</v>
      </c>
      <c r="O1555">
        <v>30</v>
      </c>
      <c r="P1555">
        <v>74</v>
      </c>
      <c r="Q1555">
        <v>48.3</v>
      </c>
      <c r="R1555">
        <v>81.8</v>
      </c>
    </row>
    <row r="1556" spans="1:18" x14ac:dyDescent="0.25">
      <c r="A1556" t="s">
        <v>1656</v>
      </c>
      <c r="B1556" t="s">
        <v>54</v>
      </c>
      <c r="C1556" t="s">
        <v>1593</v>
      </c>
      <c r="D1556" t="s">
        <v>54</v>
      </c>
      <c r="E1556" t="s">
        <v>78</v>
      </c>
      <c r="F1556" t="s">
        <v>252</v>
      </c>
      <c r="G1556">
        <v>6.1449999999999996</v>
      </c>
      <c r="H1556">
        <v>-75.373999999999995</v>
      </c>
      <c r="I1556" t="s">
        <v>80</v>
      </c>
      <c r="M1556">
        <v>171.7</v>
      </c>
      <c r="N1556">
        <v>31.7</v>
      </c>
      <c r="O1556">
        <v>24</v>
      </c>
      <c r="P1556">
        <v>20</v>
      </c>
      <c r="Q1556">
        <v>48.3</v>
      </c>
      <c r="R1556">
        <v>74.5</v>
      </c>
    </row>
    <row r="1557" spans="1:18" x14ac:dyDescent="0.25">
      <c r="A1557" t="s">
        <v>1657</v>
      </c>
      <c r="B1557" t="s">
        <v>54</v>
      </c>
      <c r="C1557" t="s">
        <v>1593</v>
      </c>
      <c r="D1557" t="s">
        <v>54</v>
      </c>
      <c r="E1557" t="s">
        <v>78</v>
      </c>
      <c r="F1557" t="s">
        <v>252</v>
      </c>
      <c r="G1557">
        <v>6.1449999999999996</v>
      </c>
      <c r="H1557">
        <v>-75.373999999999995</v>
      </c>
      <c r="I1557" t="s">
        <v>1594</v>
      </c>
      <c r="M1557">
        <v>256.2</v>
      </c>
      <c r="N1557">
        <v>68.3</v>
      </c>
      <c r="O1557">
        <v>52</v>
      </c>
      <c r="P1557">
        <v>44</v>
      </c>
      <c r="Q1557">
        <v>41.4</v>
      </c>
      <c r="R1557">
        <v>49.1</v>
      </c>
    </row>
    <row r="1558" spans="1:18" x14ac:dyDescent="0.25">
      <c r="A1558" t="s">
        <v>1658</v>
      </c>
      <c r="B1558" t="s">
        <v>54</v>
      </c>
      <c r="C1558" t="s">
        <v>1593</v>
      </c>
      <c r="D1558" t="s">
        <v>54</v>
      </c>
      <c r="E1558" t="s">
        <v>78</v>
      </c>
      <c r="F1558" t="s">
        <v>252</v>
      </c>
      <c r="G1558">
        <v>6.1449999999999996</v>
      </c>
      <c r="H1558">
        <v>-75.373999999999995</v>
      </c>
      <c r="I1558" t="s">
        <v>80</v>
      </c>
      <c r="M1558">
        <v>286.5</v>
      </c>
      <c r="N1558">
        <v>75.599999999999994</v>
      </c>
      <c r="O1558">
        <v>32</v>
      </c>
      <c r="P1558">
        <v>68</v>
      </c>
      <c r="Q1558">
        <v>56.9</v>
      </c>
      <c r="R1558">
        <v>47.3</v>
      </c>
    </row>
    <row r="1559" spans="1:18" x14ac:dyDescent="0.25">
      <c r="A1559" t="s">
        <v>1659</v>
      </c>
      <c r="B1559" t="s">
        <v>54</v>
      </c>
      <c r="C1559" t="s">
        <v>1593</v>
      </c>
      <c r="D1559" t="s">
        <v>54</v>
      </c>
      <c r="E1559" t="s">
        <v>78</v>
      </c>
      <c r="F1559" t="s">
        <v>252</v>
      </c>
      <c r="G1559">
        <v>6.1449999999999996</v>
      </c>
      <c r="H1559">
        <v>-75.373999999999995</v>
      </c>
      <c r="I1559" t="s">
        <v>80</v>
      </c>
      <c r="M1559">
        <v>316.89999999999998</v>
      </c>
      <c r="N1559">
        <v>63.4</v>
      </c>
      <c r="O1559">
        <v>64</v>
      </c>
      <c r="P1559">
        <v>72</v>
      </c>
      <c r="Q1559">
        <v>53.4</v>
      </c>
      <c r="R1559">
        <v>65.5</v>
      </c>
    </row>
    <row r="1560" spans="1:18" x14ac:dyDescent="0.25">
      <c r="A1560" t="s">
        <v>1660</v>
      </c>
      <c r="B1560" t="s">
        <v>54</v>
      </c>
      <c r="C1560" t="s">
        <v>1593</v>
      </c>
      <c r="D1560" t="s">
        <v>54</v>
      </c>
      <c r="E1560" t="s">
        <v>78</v>
      </c>
      <c r="F1560" t="s">
        <v>252</v>
      </c>
      <c r="G1560">
        <v>6.1449999999999996</v>
      </c>
      <c r="H1560">
        <v>-75.373999999999995</v>
      </c>
      <c r="I1560" t="s">
        <v>80</v>
      </c>
      <c r="M1560">
        <v>237.6</v>
      </c>
      <c r="N1560">
        <v>24.4</v>
      </c>
      <c r="O1560">
        <v>46</v>
      </c>
      <c r="P1560">
        <v>66</v>
      </c>
      <c r="Q1560">
        <v>48.3</v>
      </c>
      <c r="R1560">
        <v>63.6</v>
      </c>
    </row>
    <row r="1561" spans="1:18" x14ac:dyDescent="0.25">
      <c r="A1561" t="s">
        <v>1661</v>
      </c>
      <c r="B1561" t="s">
        <v>54</v>
      </c>
      <c r="C1561" t="s">
        <v>1593</v>
      </c>
      <c r="D1561" t="s">
        <v>54</v>
      </c>
      <c r="E1561" t="s">
        <v>78</v>
      </c>
      <c r="F1561" t="s">
        <v>252</v>
      </c>
      <c r="G1561">
        <v>6.1449999999999996</v>
      </c>
      <c r="H1561">
        <v>-75.373999999999995</v>
      </c>
      <c r="I1561" t="s">
        <v>80</v>
      </c>
      <c r="M1561">
        <v>295.7</v>
      </c>
      <c r="N1561">
        <v>53.7</v>
      </c>
      <c r="O1561">
        <v>48</v>
      </c>
      <c r="P1561">
        <v>66</v>
      </c>
      <c r="Q1561">
        <v>63.8</v>
      </c>
      <c r="R1561">
        <v>74.5</v>
      </c>
    </row>
    <row r="1562" spans="1:18" x14ac:dyDescent="0.25">
      <c r="A1562" t="s">
        <v>1662</v>
      </c>
      <c r="B1562" t="s">
        <v>54</v>
      </c>
      <c r="C1562" t="s">
        <v>1593</v>
      </c>
      <c r="D1562" t="s">
        <v>54</v>
      </c>
      <c r="E1562" t="s">
        <v>78</v>
      </c>
      <c r="F1562" t="s">
        <v>252</v>
      </c>
      <c r="G1562">
        <v>6.1449999999999996</v>
      </c>
      <c r="H1562">
        <v>-75.373999999999995</v>
      </c>
      <c r="I1562" t="s">
        <v>80</v>
      </c>
      <c r="M1562">
        <v>256.7</v>
      </c>
      <c r="N1562">
        <v>34.1</v>
      </c>
      <c r="O1562">
        <v>52</v>
      </c>
      <c r="P1562">
        <v>46</v>
      </c>
      <c r="Q1562">
        <v>65.5</v>
      </c>
      <c r="R1562">
        <v>74.5</v>
      </c>
    </row>
    <row r="1563" spans="1:18" x14ac:dyDescent="0.25">
      <c r="A1563" t="s">
        <v>1663</v>
      </c>
      <c r="B1563" t="s">
        <v>54</v>
      </c>
      <c r="C1563" t="s">
        <v>1593</v>
      </c>
      <c r="D1563" t="s">
        <v>54</v>
      </c>
      <c r="E1563" t="s">
        <v>78</v>
      </c>
      <c r="F1563" t="s">
        <v>252</v>
      </c>
      <c r="G1563">
        <v>6.1449999999999996</v>
      </c>
      <c r="H1563">
        <v>-75.373999999999995</v>
      </c>
      <c r="I1563" t="s">
        <v>80</v>
      </c>
      <c r="M1563">
        <v>153.5</v>
      </c>
      <c r="N1563">
        <v>31.7</v>
      </c>
      <c r="O1563">
        <v>28</v>
      </c>
      <c r="P1563">
        <v>44</v>
      </c>
      <c r="Q1563">
        <v>29.3</v>
      </c>
      <c r="R1563">
        <v>0</v>
      </c>
    </row>
    <row r="1564" spans="1:18" x14ac:dyDescent="0.25">
      <c r="A1564" t="s">
        <v>1664</v>
      </c>
      <c r="B1564" t="s">
        <v>54</v>
      </c>
      <c r="C1564" t="s">
        <v>1593</v>
      </c>
      <c r="D1564" t="s">
        <v>54</v>
      </c>
      <c r="E1564" t="s">
        <v>78</v>
      </c>
      <c r="F1564" t="s">
        <v>252</v>
      </c>
      <c r="G1564">
        <v>6.1449999999999996</v>
      </c>
      <c r="H1564">
        <v>-75.373999999999995</v>
      </c>
      <c r="I1564" t="s">
        <v>80</v>
      </c>
      <c r="M1564">
        <v>231.9</v>
      </c>
      <c r="N1564">
        <v>65.900000000000006</v>
      </c>
      <c r="O1564">
        <v>38</v>
      </c>
      <c r="P1564">
        <v>52</v>
      </c>
      <c r="Q1564">
        <v>27.6</v>
      </c>
      <c r="R1564">
        <v>52.7</v>
      </c>
    </row>
    <row r="1565" spans="1:18" x14ac:dyDescent="0.25">
      <c r="A1565" t="s">
        <v>1665</v>
      </c>
      <c r="B1565" t="s">
        <v>54</v>
      </c>
      <c r="C1565" t="s">
        <v>1593</v>
      </c>
      <c r="D1565" t="s">
        <v>54</v>
      </c>
      <c r="E1565" t="s">
        <v>78</v>
      </c>
      <c r="F1565" t="s">
        <v>252</v>
      </c>
      <c r="G1565">
        <v>6.1449999999999996</v>
      </c>
      <c r="H1565">
        <v>-75.373999999999995</v>
      </c>
      <c r="I1565" t="s">
        <v>80</v>
      </c>
      <c r="M1565">
        <v>380.3</v>
      </c>
      <c r="N1565">
        <v>82.9</v>
      </c>
      <c r="O1565">
        <v>70</v>
      </c>
      <c r="P1565">
        <v>78</v>
      </c>
      <c r="Q1565">
        <v>69</v>
      </c>
      <c r="R1565">
        <v>89.1</v>
      </c>
    </row>
    <row r="1566" spans="1:18" x14ac:dyDescent="0.25">
      <c r="A1566" t="s">
        <v>1666</v>
      </c>
      <c r="B1566" t="s">
        <v>54</v>
      </c>
      <c r="C1566" t="s">
        <v>1593</v>
      </c>
      <c r="D1566" t="s">
        <v>54</v>
      </c>
      <c r="E1566" t="s">
        <v>78</v>
      </c>
      <c r="F1566" t="s">
        <v>252</v>
      </c>
      <c r="G1566">
        <v>6.1449999999999996</v>
      </c>
      <c r="H1566">
        <v>-75.373999999999995</v>
      </c>
      <c r="I1566" t="s">
        <v>80</v>
      </c>
      <c r="M1566">
        <v>298.2</v>
      </c>
      <c r="N1566">
        <v>65.900000000000006</v>
      </c>
      <c r="O1566">
        <v>44</v>
      </c>
      <c r="P1566">
        <v>76</v>
      </c>
      <c r="Q1566">
        <v>46.6</v>
      </c>
      <c r="R1566">
        <v>78.2</v>
      </c>
    </row>
    <row r="1567" spans="1:18" x14ac:dyDescent="0.25">
      <c r="A1567" t="s">
        <v>1667</v>
      </c>
      <c r="B1567" t="s">
        <v>54</v>
      </c>
      <c r="C1567" t="s">
        <v>1593</v>
      </c>
      <c r="D1567" t="s">
        <v>54</v>
      </c>
      <c r="E1567" t="s">
        <v>78</v>
      </c>
      <c r="F1567" t="s">
        <v>252</v>
      </c>
      <c r="G1567">
        <v>6.1449999999999996</v>
      </c>
      <c r="H1567">
        <v>-75.373999999999995</v>
      </c>
      <c r="I1567" t="s">
        <v>80</v>
      </c>
      <c r="M1567">
        <v>324</v>
      </c>
      <c r="N1567">
        <v>68.3</v>
      </c>
      <c r="O1567">
        <v>58</v>
      </c>
      <c r="P1567">
        <v>70</v>
      </c>
      <c r="Q1567">
        <v>62.1</v>
      </c>
      <c r="R1567">
        <v>67.3</v>
      </c>
    </row>
    <row r="1568" spans="1:18" x14ac:dyDescent="0.25">
      <c r="A1568" t="s">
        <v>1668</v>
      </c>
      <c r="B1568" t="s">
        <v>54</v>
      </c>
      <c r="C1568" t="s">
        <v>1593</v>
      </c>
      <c r="D1568" t="s">
        <v>54</v>
      </c>
      <c r="E1568" t="s">
        <v>78</v>
      </c>
      <c r="F1568" t="s">
        <v>252</v>
      </c>
      <c r="G1568">
        <v>6.1449999999999996</v>
      </c>
      <c r="H1568">
        <v>-75.373999999999995</v>
      </c>
      <c r="I1568" t="s">
        <v>1594</v>
      </c>
      <c r="M1568">
        <v>270.7</v>
      </c>
      <c r="N1568">
        <v>53.7</v>
      </c>
      <c r="O1568">
        <v>52</v>
      </c>
      <c r="P1568">
        <v>58</v>
      </c>
      <c r="Q1568">
        <v>55.2</v>
      </c>
      <c r="R1568">
        <v>47.3</v>
      </c>
    </row>
    <row r="1569" spans="1:18" x14ac:dyDescent="0.25">
      <c r="A1569" t="s">
        <v>1669</v>
      </c>
      <c r="B1569" t="s">
        <v>54</v>
      </c>
      <c r="C1569" t="s">
        <v>1593</v>
      </c>
      <c r="D1569" t="s">
        <v>54</v>
      </c>
      <c r="E1569" t="s">
        <v>78</v>
      </c>
      <c r="F1569" t="s">
        <v>252</v>
      </c>
      <c r="G1569">
        <v>6.1449999999999996</v>
      </c>
      <c r="H1569">
        <v>-75.373999999999995</v>
      </c>
      <c r="I1569" t="s">
        <v>80</v>
      </c>
      <c r="M1569">
        <v>261.39999999999998</v>
      </c>
      <c r="N1569">
        <v>58.5</v>
      </c>
      <c r="O1569">
        <v>60</v>
      </c>
      <c r="P1569">
        <v>46</v>
      </c>
      <c r="Q1569">
        <v>41.4</v>
      </c>
      <c r="R1569">
        <v>61.8</v>
      </c>
    </row>
    <row r="1570" spans="1:18" x14ac:dyDescent="0.25">
      <c r="A1570" t="s">
        <v>1670</v>
      </c>
      <c r="B1570" t="s">
        <v>54</v>
      </c>
      <c r="C1570" t="s">
        <v>1593</v>
      </c>
      <c r="D1570" t="s">
        <v>54</v>
      </c>
      <c r="E1570" t="s">
        <v>78</v>
      </c>
      <c r="F1570" t="s">
        <v>252</v>
      </c>
      <c r="G1570">
        <v>6.1449999999999996</v>
      </c>
      <c r="H1570">
        <v>-75.373999999999995</v>
      </c>
      <c r="I1570" t="s">
        <v>80</v>
      </c>
      <c r="M1570">
        <v>209.3</v>
      </c>
      <c r="N1570">
        <v>46.3</v>
      </c>
      <c r="O1570">
        <v>30</v>
      </c>
      <c r="P1570">
        <v>48</v>
      </c>
      <c r="Q1570">
        <v>31</v>
      </c>
      <c r="R1570">
        <v>78.2</v>
      </c>
    </row>
    <row r="1571" spans="1:18" x14ac:dyDescent="0.25">
      <c r="A1571" t="s">
        <v>1671</v>
      </c>
      <c r="B1571" t="s">
        <v>54</v>
      </c>
      <c r="C1571" t="s">
        <v>1593</v>
      </c>
      <c r="D1571" t="s">
        <v>54</v>
      </c>
      <c r="E1571" t="s">
        <v>78</v>
      </c>
      <c r="F1571" t="s">
        <v>252</v>
      </c>
      <c r="G1571">
        <v>6.1449999999999996</v>
      </c>
      <c r="H1571">
        <v>-75.373999999999995</v>
      </c>
      <c r="I1571" t="s">
        <v>80</v>
      </c>
      <c r="M1571">
        <v>265.3</v>
      </c>
      <c r="N1571">
        <v>34.1</v>
      </c>
      <c r="O1571">
        <v>48</v>
      </c>
      <c r="P1571">
        <v>60</v>
      </c>
      <c r="Q1571">
        <v>69</v>
      </c>
      <c r="R1571">
        <v>56.4</v>
      </c>
    </row>
    <row r="1572" spans="1:18" x14ac:dyDescent="0.25">
      <c r="A1572" t="s">
        <v>1672</v>
      </c>
      <c r="B1572" t="s">
        <v>54</v>
      </c>
      <c r="C1572" t="s">
        <v>1593</v>
      </c>
      <c r="D1572" t="s">
        <v>54</v>
      </c>
      <c r="E1572" t="s">
        <v>78</v>
      </c>
      <c r="F1572" t="s">
        <v>252</v>
      </c>
      <c r="G1572">
        <v>6.1449999999999996</v>
      </c>
      <c r="H1572">
        <v>-75.373999999999995</v>
      </c>
      <c r="I1572" t="s">
        <v>80</v>
      </c>
      <c r="M1572">
        <v>310.5</v>
      </c>
      <c r="N1572">
        <v>65.900000000000006</v>
      </c>
      <c r="O1572">
        <v>52</v>
      </c>
      <c r="P1572">
        <v>68</v>
      </c>
      <c r="Q1572">
        <v>62.1</v>
      </c>
      <c r="R1572">
        <v>63.6</v>
      </c>
    </row>
    <row r="1573" spans="1:18" x14ac:dyDescent="0.25">
      <c r="A1573" t="s">
        <v>1673</v>
      </c>
      <c r="B1573" t="s">
        <v>54</v>
      </c>
      <c r="C1573" t="s">
        <v>1593</v>
      </c>
      <c r="D1573" t="s">
        <v>54</v>
      </c>
      <c r="E1573" t="s">
        <v>78</v>
      </c>
      <c r="F1573" t="s">
        <v>252</v>
      </c>
      <c r="G1573">
        <v>6.1449999999999996</v>
      </c>
      <c r="H1573">
        <v>-75.373999999999995</v>
      </c>
      <c r="I1573" t="s">
        <v>80</v>
      </c>
      <c r="M1573">
        <v>236</v>
      </c>
      <c r="N1573">
        <v>39</v>
      </c>
      <c r="O1573">
        <v>44</v>
      </c>
      <c r="P1573">
        <v>38</v>
      </c>
      <c r="Q1573">
        <v>58.6</v>
      </c>
      <c r="R1573">
        <v>74.5</v>
      </c>
    </row>
    <row r="1574" spans="1:18" x14ac:dyDescent="0.25">
      <c r="A1574" t="s">
        <v>1674</v>
      </c>
      <c r="B1574" t="s">
        <v>54</v>
      </c>
      <c r="C1574" t="s">
        <v>1593</v>
      </c>
      <c r="D1574" t="s">
        <v>54</v>
      </c>
      <c r="E1574" t="s">
        <v>78</v>
      </c>
      <c r="F1574" t="s">
        <v>252</v>
      </c>
      <c r="G1574">
        <v>6.1449999999999996</v>
      </c>
      <c r="H1574">
        <v>-75.373999999999995</v>
      </c>
      <c r="I1574" t="s">
        <v>80</v>
      </c>
      <c r="M1574">
        <v>316.2</v>
      </c>
      <c r="N1574">
        <v>70.7</v>
      </c>
      <c r="O1574">
        <v>44</v>
      </c>
      <c r="P1574">
        <v>76</v>
      </c>
      <c r="Q1574">
        <v>62.1</v>
      </c>
      <c r="R1574">
        <v>63.6</v>
      </c>
    </row>
    <row r="1575" spans="1:18" x14ac:dyDescent="0.25">
      <c r="A1575" t="s">
        <v>1675</v>
      </c>
      <c r="B1575" t="s">
        <v>54</v>
      </c>
      <c r="C1575" t="s">
        <v>1593</v>
      </c>
      <c r="D1575" t="s">
        <v>54</v>
      </c>
      <c r="E1575" t="s">
        <v>78</v>
      </c>
      <c r="F1575" t="s">
        <v>252</v>
      </c>
      <c r="G1575">
        <v>6.1449999999999996</v>
      </c>
      <c r="H1575">
        <v>-75.373999999999995</v>
      </c>
      <c r="I1575" t="s">
        <v>80</v>
      </c>
      <c r="M1575">
        <v>240.3</v>
      </c>
      <c r="N1575">
        <v>48.8</v>
      </c>
      <c r="O1575">
        <v>46</v>
      </c>
      <c r="P1575">
        <v>22</v>
      </c>
      <c r="Q1575">
        <v>67.2</v>
      </c>
      <c r="R1575">
        <v>72.7</v>
      </c>
    </row>
    <row r="1576" spans="1:18" x14ac:dyDescent="0.25">
      <c r="A1576" t="s">
        <v>1676</v>
      </c>
      <c r="B1576" t="s">
        <v>54</v>
      </c>
      <c r="C1576" t="s">
        <v>1593</v>
      </c>
      <c r="D1576" t="s">
        <v>54</v>
      </c>
      <c r="E1576" t="s">
        <v>78</v>
      </c>
      <c r="F1576" t="s">
        <v>252</v>
      </c>
      <c r="G1576">
        <v>6.1449999999999996</v>
      </c>
      <c r="H1576">
        <v>-75.373999999999995</v>
      </c>
      <c r="I1576" t="s">
        <v>80</v>
      </c>
      <c r="M1576">
        <v>244.6</v>
      </c>
      <c r="N1576">
        <v>26.8</v>
      </c>
      <c r="O1576">
        <v>36</v>
      </c>
      <c r="P1576">
        <v>68</v>
      </c>
      <c r="Q1576">
        <v>56.9</v>
      </c>
      <c r="R1576">
        <v>72.7</v>
      </c>
    </row>
    <row r="1577" spans="1:18" x14ac:dyDescent="0.25">
      <c r="A1577" t="s">
        <v>1677</v>
      </c>
      <c r="B1577" t="s">
        <v>54</v>
      </c>
      <c r="C1577" t="s">
        <v>1593</v>
      </c>
      <c r="D1577" t="s">
        <v>54</v>
      </c>
      <c r="E1577" t="s">
        <v>78</v>
      </c>
      <c r="F1577" t="s">
        <v>252</v>
      </c>
      <c r="G1577">
        <v>6.1449999999999996</v>
      </c>
      <c r="H1577">
        <v>-75.373999999999995</v>
      </c>
      <c r="I1577" t="s">
        <v>80</v>
      </c>
      <c r="M1577">
        <v>255.3</v>
      </c>
      <c r="N1577">
        <v>46.3</v>
      </c>
      <c r="O1577">
        <v>42</v>
      </c>
      <c r="P1577">
        <v>62</v>
      </c>
      <c r="Q1577">
        <v>55.2</v>
      </c>
      <c r="R1577">
        <v>47.3</v>
      </c>
    </row>
    <row r="1578" spans="1:18" x14ac:dyDescent="0.25">
      <c r="A1578" t="s">
        <v>1678</v>
      </c>
      <c r="B1578" t="s">
        <v>54</v>
      </c>
      <c r="C1578" t="s">
        <v>1593</v>
      </c>
      <c r="D1578" t="s">
        <v>54</v>
      </c>
      <c r="E1578" t="s">
        <v>78</v>
      </c>
      <c r="F1578" t="s">
        <v>252</v>
      </c>
      <c r="G1578">
        <v>6.1449999999999996</v>
      </c>
      <c r="H1578">
        <v>-75.373999999999995</v>
      </c>
      <c r="I1578" t="s">
        <v>80</v>
      </c>
      <c r="M1578">
        <v>366.5</v>
      </c>
      <c r="N1578">
        <v>51.2</v>
      </c>
      <c r="O1578">
        <v>70</v>
      </c>
      <c r="P1578">
        <v>94</v>
      </c>
      <c r="Q1578">
        <v>77.599999999999994</v>
      </c>
      <c r="R1578">
        <v>74.5</v>
      </c>
    </row>
    <row r="1579" spans="1:18" x14ac:dyDescent="0.25">
      <c r="A1579" t="s">
        <v>1679</v>
      </c>
      <c r="B1579" t="s">
        <v>54</v>
      </c>
      <c r="C1579" t="s">
        <v>1593</v>
      </c>
      <c r="D1579" t="s">
        <v>54</v>
      </c>
      <c r="E1579" t="s">
        <v>78</v>
      </c>
      <c r="F1579" t="s">
        <v>252</v>
      </c>
      <c r="G1579">
        <v>6.1449999999999996</v>
      </c>
      <c r="H1579">
        <v>-75.373999999999995</v>
      </c>
      <c r="I1579" t="s">
        <v>1594</v>
      </c>
      <c r="M1579">
        <v>228.6</v>
      </c>
      <c r="N1579">
        <v>48.8</v>
      </c>
      <c r="O1579">
        <v>44</v>
      </c>
      <c r="P1579">
        <v>34</v>
      </c>
      <c r="Q1579">
        <v>58.6</v>
      </c>
      <c r="R1579">
        <v>38.200000000000003</v>
      </c>
    </row>
    <row r="1580" spans="1:18" x14ac:dyDescent="0.25">
      <c r="A1580" t="s">
        <v>1680</v>
      </c>
      <c r="B1580" t="s">
        <v>54</v>
      </c>
      <c r="C1580" t="s">
        <v>1593</v>
      </c>
      <c r="D1580" t="s">
        <v>54</v>
      </c>
      <c r="E1580" t="s">
        <v>78</v>
      </c>
      <c r="F1580" t="s">
        <v>252</v>
      </c>
      <c r="G1580">
        <v>6.1449999999999996</v>
      </c>
      <c r="H1580">
        <v>-75.373999999999995</v>
      </c>
      <c r="I1580" t="s">
        <v>80</v>
      </c>
      <c r="M1580">
        <v>262.8</v>
      </c>
      <c r="N1580">
        <v>56.1</v>
      </c>
      <c r="O1580">
        <v>54</v>
      </c>
      <c r="P1580">
        <v>44</v>
      </c>
      <c r="Q1580">
        <v>50</v>
      </c>
      <c r="R1580">
        <v>70.900000000000006</v>
      </c>
    </row>
    <row r="1581" spans="1:18" x14ac:dyDescent="0.25">
      <c r="A1581" t="s">
        <v>1681</v>
      </c>
      <c r="B1581" t="s">
        <v>54</v>
      </c>
      <c r="C1581" t="s">
        <v>1593</v>
      </c>
      <c r="D1581" t="s">
        <v>54</v>
      </c>
      <c r="E1581" t="s">
        <v>78</v>
      </c>
      <c r="F1581" t="s">
        <v>252</v>
      </c>
      <c r="G1581">
        <v>6.1449999999999996</v>
      </c>
      <c r="H1581">
        <v>-75.373999999999995</v>
      </c>
      <c r="I1581" t="s">
        <v>80</v>
      </c>
      <c r="M1581">
        <v>200.9</v>
      </c>
      <c r="N1581">
        <v>51.2</v>
      </c>
      <c r="O1581">
        <v>38</v>
      </c>
      <c r="P1581">
        <v>30</v>
      </c>
      <c r="Q1581">
        <v>37.9</v>
      </c>
      <c r="R1581">
        <v>50.9</v>
      </c>
    </row>
    <row r="1582" spans="1:18" x14ac:dyDescent="0.25">
      <c r="A1582" t="s">
        <v>1682</v>
      </c>
      <c r="B1582" t="s">
        <v>54</v>
      </c>
      <c r="C1582" t="s">
        <v>1593</v>
      </c>
      <c r="D1582" t="s">
        <v>54</v>
      </c>
      <c r="E1582" t="s">
        <v>78</v>
      </c>
      <c r="F1582" t="s">
        <v>252</v>
      </c>
      <c r="G1582">
        <v>6.1449999999999996</v>
      </c>
      <c r="H1582">
        <v>-75.373999999999995</v>
      </c>
      <c r="I1582" t="s">
        <v>80</v>
      </c>
      <c r="M1582">
        <v>370.1</v>
      </c>
      <c r="N1582">
        <v>80.5</v>
      </c>
      <c r="O1582">
        <v>52</v>
      </c>
      <c r="P1582">
        <v>88</v>
      </c>
      <c r="Q1582">
        <v>72.400000000000006</v>
      </c>
      <c r="R1582">
        <v>83.6</v>
      </c>
    </row>
    <row r="1583" spans="1:18" x14ac:dyDescent="0.25">
      <c r="A1583" t="s">
        <v>1683</v>
      </c>
      <c r="B1583" t="s">
        <v>54</v>
      </c>
      <c r="C1583" t="s">
        <v>1593</v>
      </c>
      <c r="D1583" t="s">
        <v>54</v>
      </c>
      <c r="E1583" t="s">
        <v>78</v>
      </c>
      <c r="F1583" t="s">
        <v>252</v>
      </c>
      <c r="G1583">
        <v>6.1449999999999996</v>
      </c>
      <c r="H1583">
        <v>-75.373999999999995</v>
      </c>
      <c r="I1583" t="s">
        <v>80</v>
      </c>
      <c r="M1583">
        <v>277.60000000000002</v>
      </c>
      <c r="N1583">
        <v>51.2</v>
      </c>
      <c r="O1583">
        <v>44</v>
      </c>
      <c r="P1583">
        <v>64</v>
      </c>
      <c r="Q1583">
        <v>53.4</v>
      </c>
      <c r="R1583">
        <v>83.6</v>
      </c>
    </row>
    <row r="1584" spans="1:18" x14ac:dyDescent="0.25">
      <c r="A1584" t="s">
        <v>1684</v>
      </c>
      <c r="B1584" t="s">
        <v>54</v>
      </c>
      <c r="C1584" t="s">
        <v>1593</v>
      </c>
      <c r="D1584" t="s">
        <v>54</v>
      </c>
      <c r="E1584" t="s">
        <v>78</v>
      </c>
      <c r="F1584" t="s">
        <v>252</v>
      </c>
      <c r="G1584">
        <v>6.1449999999999996</v>
      </c>
      <c r="H1584">
        <v>-75.373999999999995</v>
      </c>
      <c r="I1584" t="s">
        <v>80</v>
      </c>
      <c r="M1584">
        <v>262.8</v>
      </c>
      <c r="N1584">
        <v>65.900000000000006</v>
      </c>
      <c r="O1584">
        <v>52</v>
      </c>
      <c r="P1584">
        <v>32</v>
      </c>
      <c r="Q1584">
        <v>50</v>
      </c>
      <c r="R1584">
        <v>83.6</v>
      </c>
    </row>
    <row r="1585" spans="1:18" x14ac:dyDescent="0.25">
      <c r="A1585" t="s">
        <v>1685</v>
      </c>
      <c r="B1585" t="s">
        <v>54</v>
      </c>
      <c r="C1585" t="s">
        <v>1593</v>
      </c>
      <c r="D1585" t="s">
        <v>54</v>
      </c>
      <c r="E1585" t="s">
        <v>78</v>
      </c>
      <c r="F1585" t="s">
        <v>252</v>
      </c>
      <c r="G1585">
        <v>6.1449999999999996</v>
      </c>
      <c r="H1585">
        <v>-75.373999999999995</v>
      </c>
      <c r="I1585" t="s">
        <v>80</v>
      </c>
      <c r="M1585">
        <v>261.3</v>
      </c>
      <c r="N1585">
        <v>63.4</v>
      </c>
      <c r="O1585">
        <v>38</v>
      </c>
      <c r="P1585">
        <v>48</v>
      </c>
      <c r="Q1585">
        <v>53.4</v>
      </c>
      <c r="R1585">
        <v>70.900000000000006</v>
      </c>
    </row>
    <row r="1586" spans="1:18" x14ac:dyDescent="0.25">
      <c r="A1586" t="s">
        <v>1686</v>
      </c>
      <c r="B1586" t="s">
        <v>54</v>
      </c>
      <c r="C1586" t="s">
        <v>1593</v>
      </c>
      <c r="D1586" t="s">
        <v>54</v>
      </c>
      <c r="E1586" t="s">
        <v>78</v>
      </c>
      <c r="F1586" t="s">
        <v>252</v>
      </c>
      <c r="G1586">
        <v>6.1449999999999996</v>
      </c>
      <c r="H1586">
        <v>-75.373999999999995</v>
      </c>
      <c r="I1586" t="s">
        <v>80</v>
      </c>
      <c r="M1586">
        <v>235.5</v>
      </c>
      <c r="N1586">
        <v>39</v>
      </c>
      <c r="O1586">
        <v>42</v>
      </c>
      <c r="P1586">
        <v>56</v>
      </c>
      <c r="Q1586">
        <v>48.3</v>
      </c>
      <c r="R1586">
        <v>56.4</v>
      </c>
    </row>
    <row r="1587" spans="1:18" x14ac:dyDescent="0.25">
      <c r="A1587" t="s">
        <v>1687</v>
      </c>
      <c r="B1587" t="s">
        <v>54</v>
      </c>
      <c r="C1587" t="s">
        <v>1593</v>
      </c>
      <c r="D1587" t="s">
        <v>54</v>
      </c>
      <c r="E1587" t="s">
        <v>78</v>
      </c>
      <c r="F1587" t="s">
        <v>252</v>
      </c>
      <c r="G1587">
        <v>6.1449999999999996</v>
      </c>
      <c r="H1587">
        <v>-75.373999999999995</v>
      </c>
      <c r="I1587" t="s">
        <v>80</v>
      </c>
      <c r="M1587">
        <v>323.3</v>
      </c>
      <c r="N1587">
        <v>36.6</v>
      </c>
      <c r="O1587">
        <v>56</v>
      </c>
      <c r="P1587">
        <v>88</v>
      </c>
      <c r="Q1587">
        <v>74.099999999999994</v>
      </c>
      <c r="R1587">
        <v>76.400000000000006</v>
      </c>
    </row>
    <row r="1588" spans="1:18" x14ac:dyDescent="0.25">
      <c r="A1588" t="s">
        <v>1688</v>
      </c>
      <c r="B1588" t="s">
        <v>54</v>
      </c>
      <c r="C1588" t="s">
        <v>1593</v>
      </c>
      <c r="D1588" t="s">
        <v>54</v>
      </c>
      <c r="E1588" t="s">
        <v>78</v>
      </c>
      <c r="F1588" t="s">
        <v>252</v>
      </c>
      <c r="G1588">
        <v>6.1449999999999996</v>
      </c>
      <c r="H1588">
        <v>-75.373999999999995</v>
      </c>
      <c r="I1588" t="s">
        <v>80</v>
      </c>
      <c r="M1588">
        <v>290.39999999999998</v>
      </c>
      <c r="N1588">
        <v>73.2</v>
      </c>
      <c r="O1588">
        <v>42</v>
      </c>
      <c r="P1588">
        <v>56</v>
      </c>
      <c r="Q1588">
        <v>56.9</v>
      </c>
      <c r="R1588">
        <v>70.900000000000006</v>
      </c>
    </row>
    <row r="1589" spans="1:18" x14ac:dyDescent="0.25">
      <c r="A1589" t="s">
        <v>1689</v>
      </c>
      <c r="B1589" t="s">
        <v>54</v>
      </c>
      <c r="C1589" t="s">
        <v>1593</v>
      </c>
      <c r="D1589" t="s">
        <v>54</v>
      </c>
      <c r="E1589" t="s">
        <v>78</v>
      </c>
      <c r="F1589" t="s">
        <v>252</v>
      </c>
      <c r="G1589">
        <v>6.1449999999999996</v>
      </c>
      <c r="H1589">
        <v>-75.373999999999995</v>
      </c>
      <c r="I1589" t="s">
        <v>80</v>
      </c>
      <c r="M1589">
        <v>247.1</v>
      </c>
      <c r="N1589">
        <v>51.2</v>
      </c>
      <c r="O1589">
        <v>44</v>
      </c>
      <c r="P1589">
        <v>56</v>
      </c>
      <c r="Q1589">
        <v>46.6</v>
      </c>
      <c r="R1589">
        <v>49.1</v>
      </c>
    </row>
    <row r="1590" spans="1:18" x14ac:dyDescent="0.25">
      <c r="A1590" t="s">
        <v>1690</v>
      </c>
      <c r="B1590" t="s">
        <v>55</v>
      </c>
      <c r="C1590" t="s">
        <v>1691</v>
      </c>
      <c r="D1590" t="s">
        <v>1692</v>
      </c>
      <c r="E1590" t="s">
        <v>78</v>
      </c>
      <c r="F1590" t="s">
        <v>252</v>
      </c>
      <c r="G1590">
        <v>8.0944000000000003</v>
      </c>
      <c r="H1590">
        <v>-74.7761</v>
      </c>
      <c r="I1590" t="s">
        <v>1693</v>
      </c>
      <c r="J1590">
        <v>11</v>
      </c>
      <c r="M1590">
        <v>240</v>
      </c>
      <c r="N1590">
        <v>54</v>
      </c>
      <c r="O1590">
        <v>32</v>
      </c>
      <c r="P1590">
        <v>64</v>
      </c>
      <c r="Q1590">
        <v>40</v>
      </c>
      <c r="R1590">
        <v>56</v>
      </c>
    </row>
    <row r="1591" spans="1:18" x14ac:dyDescent="0.25">
      <c r="A1591" t="s">
        <v>1694</v>
      </c>
      <c r="B1591" t="s">
        <v>55</v>
      </c>
      <c r="C1591" t="s">
        <v>1691</v>
      </c>
      <c r="D1591" t="s">
        <v>1692</v>
      </c>
      <c r="E1591" t="s">
        <v>78</v>
      </c>
      <c r="F1591" t="s">
        <v>252</v>
      </c>
      <c r="G1591">
        <v>8.0944000000000003</v>
      </c>
      <c r="H1591">
        <v>-74.7761</v>
      </c>
      <c r="I1591" t="s">
        <v>1693</v>
      </c>
      <c r="J1591">
        <v>11</v>
      </c>
      <c r="M1591">
        <v>203</v>
      </c>
      <c r="N1591">
        <v>56</v>
      </c>
      <c r="O1591">
        <v>28</v>
      </c>
      <c r="P1591">
        <v>46</v>
      </c>
      <c r="Q1591">
        <v>29</v>
      </c>
      <c r="R1591">
        <v>49</v>
      </c>
    </row>
    <row r="1592" spans="1:18" x14ac:dyDescent="0.25">
      <c r="A1592" t="s">
        <v>1695</v>
      </c>
      <c r="B1592" t="s">
        <v>55</v>
      </c>
      <c r="C1592" t="s">
        <v>1691</v>
      </c>
      <c r="D1592" t="s">
        <v>1692</v>
      </c>
      <c r="E1592" t="s">
        <v>78</v>
      </c>
      <c r="F1592" t="s">
        <v>252</v>
      </c>
      <c r="G1592">
        <v>8.0944000000000003</v>
      </c>
      <c r="H1592">
        <v>-74.7761</v>
      </c>
      <c r="I1592" t="s">
        <v>1693</v>
      </c>
      <c r="J1592">
        <v>11</v>
      </c>
      <c r="M1592">
        <v>179</v>
      </c>
      <c r="N1592">
        <v>46</v>
      </c>
      <c r="O1592">
        <v>38</v>
      </c>
      <c r="P1592">
        <v>34</v>
      </c>
      <c r="Q1592">
        <v>29</v>
      </c>
      <c r="R1592">
        <v>24</v>
      </c>
    </row>
    <row r="1593" spans="1:18" x14ac:dyDescent="0.25">
      <c r="A1593" t="s">
        <v>1696</v>
      </c>
      <c r="B1593" t="s">
        <v>55</v>
      </c>
      <c r="C1593" t="s">
        <v>1691</v>
      </c>
      <c r="D1593" t="s">
        <v>1692</v>
      </c>
      <c r="E1593" t="s">
        <v>78</v>
      </c>
      <c r="F1593" t="s">
        <v>252</v>
      </c>
      <c r="G1593">
        <v>8.0944000000000003</v>
      </c>
      <c r="H1593">
        <v>-74.7761</v>
      </c>
      <c r="I1593" t="s">
        <v>1693</v>
      </c>
      <c r="J1593">
        <v>11</v>
      </c>
      <c r="M1593">
        <v>165</v>
      </c>
      <c r="N1593">
        <v>39</v>
      </c>
      <c r="O1593">
        <v>26</v>
      </c>
      <c r="P1593">
        <v>44</v>
      </c>
      <c r="Q1593">
        <v>28</v>
      </c>
      <c r="R1593">
        <v>20</v>
      </c>
    </row>
    <row r="1594" spans="1:18" x14ac:dyDescent="0.25">
      <c r="A1594" t="s">
        <v>1697</v>
      </c>
      <c r="B1594" t="s">
        <v>55</v>
      </c>
      <c r="C1594" t="s">
        <v>1691</v>
      </c>
      <c r="D1594" t="s">
        <v>1692</v>
      </c>
      <c r="E1594" t="s">
        <v>78</v>
      </c>
      <c r="F1594" t="s">
        <v>252</v>
      </c>
      <c r="G1594">
        <v>8.0944000000000003</v>
      </c>
      <c r="H1594">
        <v>-74.7761</v>
      </c>
      <c r="I1594" t="s">
        <v>1693</v>
      </c>
      <c r="J1594">
        <v>11</v>
      </c>
      <c r="M1594">
        <v>159</v>
      </c>
      <c r="N1594">
        <v>34</v>
      </c>
      <c r="O1594">
        <v>24</v>
      </c>
      <c r="P1594">
        <v>36</v>
      </c>
      <c r="Q1594">
        <v>29</v>
      </c>
      <c r="R1594">
        <v>44</v>
      </c>
    </row>
    <row r="1595" spans="1:18" x14ac:dyDescent="0.25">
      <c r="A1595" t="s">
        <v>1698</v>
      </c>
      <c r="B1595" t="s">
        <v>55</v>
      </c>
      <c r="C1595" t="s">
        <v>1691</v>
      </c>
      <c r="D1595" t="s">
        <v>1692</v>
      </c>
      <c r="E1595" t="s">
        <v>78</v>
      </c>
      <c r="F1595" t="s">
        <v>252</v>
      </c>
      <c r="G1595">
        <v>8.0944000000000003</v>
      </c>
      <c r="H1595">
        <v>-74.7761</v>
      </c>
      <c r="I1595" t="s">
        <v>1693</v>
      </c>
      <c r="J1595">
        <v>11</v>
      </c>
      <c r="M1595">
        <v>157</v>
      </c>
      <c r="N1595">
        <v>44</v>
      </c>
      <c r="O1595">
        <v>24</v>
      </c>
      <c r="P1595">
        <v>36</v>
      </c>
      <c r="Q1595">
        <v>22</v>
      </c>
      <c r="R1595">
        <v>29</v>
      </c>
    </row>
    <row r="1596" spans="1:18" x14ac:dyDescent="0.25">
      <c r="A1596" t="s">
        <v>1699</v>
      </c>
      <c r="B1596" t="s">
        <v>55</v>
      </c>
      <c r="C1596" t="s">
        <v>1691</v>
      </c>
      <c r="D1596" t="s">
        <v>1692</v>
      </c>
      <c r="E1596" t="s">
        <v>78</v>
      </c>
      <c r="F1596" t="s">
        <v>252</v>
      </c>
      <c r="G1596">
        <v>8.0944000000000003</v>
      </c>
      <c r="H1596">
        <v>-74.7761</v>
      </c>
      <c r="I1596" t="s">
        <v>1693</v>
      </c>
      <c r="J1596">
        <v>11</v>
      </c>
      <c r="M1596">
        <v>156</v>
      </c>
      <c r="N1596">
        <v>41</v>
      </c>
      <c r="O1596">
        <v>34</v>
      </c>
      <c r="P1596">
        <v>28</v>
      </c>
      <c r="Q1596">
        <v>26</v>
      </c>
      <c r="R1596">
        <v>16</v>
      </c>
    </row>
    <row r="1597" spans="1:18" x14ac:dyDescent="0.25">
      <c r="A1597" t="s">
        <v>1700</v>
      </c>
      <c r="B1597" t="s">
        <v>55</v>
      </c>
      <c r="C1597" t="s">
        <v>1691</v>
      </c>
      <c r="D1597" t="s">
        <v>1692</v>
      </c>
      <c r="E1597" t="s">
        <v>78</v>
      </c>
      <c r="F1597" t="s">
        <v>252</v>
      </c>
      <c r="G1597">
        <v>8.0944000000000003</v>
      </c>
      <c r="H1597">
        <v>-74.7761</v>
      </c>
      <c r="I1597" t="s">
        <v>1693</v>
      </c>
      <c r="J1597">
        <v>11</v>
      </c>
      <c r="M1597">
        <v>151</v>
      </c>
      <c r="N1597">
        <v>37</v>
      </c>
      <c r="O1597">
        <v>26</v>
      </c>
      <c r="P1597">
        <v>44</v>
      </c>
      <c r="Q1597">
        <v>14</v>
      </c>
      <c r="R1597">
        <v>31</v>
      </c>
    </row>
    <row r="1598" spans="1:18" x14ac:dyDescent="0.25">
      <c r="A1598" t="s">
        <v>1701</v>
      </c>
      <c r="B1598" t="s">
        <v>55</v>
      </c>
      <c r="C1598" t="s">
        <v>1691</v>
      </c>
      <c r="D1598" t="s">
        <v>1692</v>
      </c>
      <c r="E1598" t="s">
        <v>78</v>
      </c>
      <c r="F1598" t="s">
        <v>252</v>
      </c>
      <c r="G1598">
        <v>8.0944000000000003</v>
      </c>
      <c r="H1598">
        <v>-74.7761</v>
      </c>
      <c r="I1598" t="s">
        <v>1693</v>
      </c>
      <c r="J1598">
        <v>11</v>
      </c>
      <c r="M1598">
        <v>150</v>
      </c>
      <c r="N1598">
        <v>37</v>
      </c>
      <c r="O1598">
        <v>32</v>
      </c>
      <c r="P1598">
        <v>28</v>
      </c>
      <c r="Q1598">
        <v>24</v>
      </c>
      <c r="R1598">
        <v>27</v>
      </c>
    </row>
    <row r="1599" spans="1:18" x14ac:dyDescent="0.25">
      <c r="A1599" t="s">
        <v>1702</v>
      </c>
      <c r="B1599" t="s">
        <v>55</v>
      </c>
      <c r="C1599" t="s">
        <v>1691</v>
      </c>
      <c r="D1599" t="s">
        <v>1692</v>
      </c>
      <c r="E1599" t="s">
        <v>78</v>
      </c>
      <c r="F1599" t="s">
        <v>252</v>
      </c>
      <c r="G1599">
        <v>8.0944000000000003</v>
      </c>
      <c r="H1599">
        <v>-74.7761</v>
      </c>
      <c r="I1599" t="s">
        <v>1693</v>
      </c>
      <c r="J1599">
        <v>11</v>
      </c>
      <c r="M1599">
        <v>148</v>
      </c>
      <c r="N1599">
        <v>51</v>
      </c>
      <c r="O1599">
        <v>30</v>
      </c>
      <c r="P1599">
        <v>22</v>
      </c>
      <c r="Q1599">
        <v>16</v>
      </c>
      <c r="R1599">
        <v>29</v>
      </c>
    </row>
    <row r="1600" spans="1:18" x14ac:dyDescent="0.25">
      <c r="A1600" t="s">
        <v>1703</v>
      </c>
      <c r="B1600" t="s">
        <v>55</v>
      </c>
      <c r="C1600" t="s">
        <v>1691</v>
      </c>
      <c r="D1600" t="s">
        <v>1692</v>
      </c>
      <c r="E1600" t="s">
        <v>78</v>
      </c>
      <c r="F1600" t="s">
        <v>252</v>
      </c>
      <c r="G1600">
        <v>8.0944000000000003</v>
      </c>
      <c r="H1600">
        <v>-74.7761</v>
      </c>
      <c r="I1600" t="s">
        <v>1693</v>
      </c>
      <c r="J1600">
        <v>11</v>
      </c>
      <c r="M1600">
        <v>146</v>
      </c>
      <c r="N1600">
        <v>29</v>
      </c>
      <c r="O1600">
        <v>16</v>
      </c>
      <c r="P1600">
        <v>42</v>
      </c>
      <c r="Q1600">
        <v>28</v>
      </c>
      <c r="R1600">
        <v>35</v>
      </c>
    </row>
    <row r="1601" spans="1:18" x14ac:dyDescent="0.25">
      <c r="A1601" t="s">
        <v>1704</v>
      </c>
      <c r="B1601" t="s">
        <v>55</v>
      </c>
      <c r="C1601" t="s">
        <v>1691</v>
      </c>
      <c r="D1601" t="s">
        <v>1692</v>
      </c>
      <c r="E1601" t="s">
        <v>78</v>
      </c>
      <c r="F1601" t="s">
        <v>252</v>
      </c>
      <c r="G1601">
        <v>8.0944000000000003</v>
      </c>
      <c r="H1601">
        <v>-74.7761</v>
      </c>
      <c r="I1601" t="s">
        <v>1693</v>
      </c>
      <c r="J1601">
        <v>11</v>
      </c>
      <c r="M1601">
        <v>145</v>
      </c>
      <c r="N1601">
        <v>29</v>
      </c>
      <c r="O1601">
        <v>34</v>
      </c>
      <c r="P1601">
        <v>28</v>
      </c>
      <c r="Q1601">
        <v>21</v>
      </c>
      <c r="R1601">
        <v>42</v>
      </c>
    </row>
    <row r="1602" spans="1:18" x14ac:dyDescent="0.25">
      <c r="A1602" t="s">
        <v>1705</v>
      </c>
      <c r="B1602" t="s">
        <v>55</v>
      </c>
      <c r="C1602" t="s">
        <v>1691</v>
      </c>
      <c r="D1602" t="s">
        <v>1692</v>
      </c>
      <c r="E1602" t="s">
        <v>78</v>
      </c>
      <c r="F1602" t="s">
        <v>252</v>
      </c>
      <c r="G1602">
        <v>8.0944000000000003</v>
      </c>
      <c r="H1602">
        <v>-74.7761</v>
      </c>
      <c r="I1602" t="s">
        <v>1693</v>
      </c>
      <c r="J1602">
        <v>11</v>
      </c>
      <c r="M1602">
        <v>142</v>
      </c>
      <c r="N1602">
        <v>37</v>
      </c>
      <c r="O1602">
        <v>26</v>
      </c>
      <c r="P1602">
        <v>22</v>
      </c>
      <c r="Q1602">
        <v>28</v>
      </c>
      <c r="R1602">
        <v>33</v>
      </c>
    </row>
    <row r="1603" spans="1:18" x14ac:dyDescent="0.25">
      <c r="A1603" t="s">
        <v>1706</v>
      </c>
      <c r="B1603" t="s">
        <v>55</v>
      </c>
      <c r="C1603" t="s">
        <v>1691</v>
      </c>
      <c r="D1603" t="s">
        <v>1692</v>
      </c>
      <c r="E1603" t="s">
        <v>78</v>
      </c>
      <c r="F1603" t="s">
        <v>252</v>
      </c>
      <c r="G1603">
        <v>8.0944000000000003</v>
      </c>
      <c r="H1603">
        <v>-74.7761</v>
      </c>
      <c r="I1603" t="s">
        <v>1693</v>
      </c>
      <c r="J1603">
        <v>11</v>
      </c>
      <c r="M1603">
        <v>142</v>
      </c>
      <c r="N1603">
        <v>39</v>
      </c>
      <c r="O1603">
        <v>20</v>
      </c>
      <c r="P1603">
        <v>26</v>
      </c>
      <c r="Q1603">
        <v>31</v>
      </c>
      <c r="R1603">
        <v>20</v>
      </c>
    </row>
    <row r="1604" spans="1:18" x14ac:dyDescent="0.25">
      <c r="A1604" t="s">
        <v>1707</v>
      </c>
      <c r="B1604" t="s">
        <v>55</v>
      </c>
      <c r="C1604" t="s">
        <v>1691</v>
      </c>
      <c r="D1604" t="s">
        <v>1692</v>
      </c>
      <c r="E1604" t="s">
        <v>78</v>
      </c>
      <c r="F1604" t="s">
        <v>252</v>
      </c>
      <c r="G1604">
        <v>8.0944000000000003</v>
      </c>
      <c r="H1604">
        <v>-74.7761</v>
      </c>
      <c r="I1604" t="s">
        <v>1693</v>
      </c>
      <c r="J1604">
        <v>11</v>
      </c>
      <c r="M1604">
        <v>140</v>
      </c>
      <c r="N1604">
        <v>37</v>
      </c>
      <c r="O1604">
        <v>22</v>
      </c>
      <c r="P1604">
        <v>26</v>
      </c>
      <c r="Q1604">
        <v>31</v>
      </c>
      <c r="R1604">
        <v>16</v>
      </c>
    </row>
    <row r="1605" spans="1:18" x14ac:dyDescent="0.25">
      <c r="A1605" t="s">
        <v>1708</v>
      </c>
      <c r="B1605" t="s">
        <v>55</v>
      </c>
      <c r="C1605" t="s">
        <v>1691</v>
      </c>
      <c r="D1605" t="s">
        <v>1692</v>
      </c>
      <c r="E1605" t="s">
        <v>78</v>
      </c>
      <c r="F1605" t="s">
        <v>252</v>
      </c>
      <c r="G1605">
        <v>8.0944000000000003</v>
      </c>
      <c r="H1605">
        <v>-74.7761</v>
      </c>
      <c r="I1605" t="s">
        <v>1693</v>
      </c>
      <c r="J1605">
        <v>11</v>
      </c>
      <c r="M1605">
        <v>139</v>
      </c>
      <c r="N1605">
        <v>24</v>
      </c>
      <c r="O1605">
        <v>30</v>
      </c>
      <c r="P1605">
        <v>26</v>
      </c>
      <c r="Q1605">
        <v>33</v>
      </c>
      <c r="R1605">
        <v>22</v>
      </c>
    </row>
    <row r="1606" spans="1:18" x14ac:dyDescent="0.25">
      <c r="A1606" t="s">
        <v>1709</v>
      </c>
      <c r="B1606" t="s">
        <v>55</v>
      </c>
      <c r="C1606" t="s">
        <v>1691</v>
      </c>
      <c r="D1606" t="s">
        <v>1692</v>
      </c>
      <c r="E1606" t="s">
        <v>78</v>
      </c>
      <c r="F1606" t="s">
        <v>252</v>
      </c>
      <c r="G1606">
        <v>8.0944000000000003</v>
      </c>
      <c r="H1606">
        <v>-74.7761</v>
      </c>
      <c r="I1606" t="s">
        <v>1693</v>
      </c>
      <c r="J1606">
        <v>11</v>
      </c>
      <c r="M1606">
        <v>137</v>
      </c>
      <c r="N1606">
        <v>34</v>
      </c>
      <c r="O1606">
        <v>16</v>
      </c>
      <c r="P1606">
        <v>30</v>
      </c>
      <c r="Q1606">
        <v>31</v>
      </c>
      <c r="R1606">
        <v>24</v>
      </c>
    </row>
    <row r="1607" spans="1:18" x14ac:dyDescent="0.25">
      <c r="A1607" t="s">
        <v>1710</v>
      </c>
      <c r="B1607" t="s">
        <v>55</v>
      </c>
      <c r="C1607" t="s">
        <v>1691</v>
      </c>
      <c r="D1607" t="s">
        <v>1692</v>
      </c>
      <c r="E1607" t="s">
        <v>78</v>
      </c>
      <c r="F1607" t="s">
        <v>252</v>
      </c>
      <c r="G1607">
        <v>8.0944000000000003</v>
      </c>
      <c r="H1607">
        <v>-74.7761</v>
      </c>
      <c r="I1607" t="s">
        <v>1693</v>
      </c>
      <c r="J1607">
        <v>11</v>
      </c>
      <c r="M1607">
        <v>135</v>
      </c>
      <c r="N1607">
        <v>34</v>
      </c>
      <c r="O1607">
        <v>22</v>
      </c>
      <c r="P1607">
        <v>30</v>
      </c>
      <c r="Q1607">
        <v>26</v>
      </c>
      <c r="R1607">
        <v>15</v>
      </c>
    </row>
    <row r="1608" spans="1:18" x14ac:dyDescent="0.25">
      <c r="A1608" t="s">
        <v>1711</v>
      </c>
      <c r="B1608" t="s">
        <v>55</v>
      </c>
      <c r="C1608" t="s">
        <v>1691</v>
      </c>
      <c r="D1608" t="s">
        <v>1692</v>
      </c>
      <c r="E1608" t="s">
        <v>78</v>
      </c>
      <c r="F1608" t="s">
        <v>252</v>
      </c>
      <c r="G1608">
        <v>8.0944000000000003</v>
      </c>
      <c r="H1608">
        <v>-74.7761</v>
      </c>
      <c r="I1608" t="s">
        <v>1693</v>
      </c>
      <c r="J1608">
        <v>11</v>
      </c>
      <c r="M1608">
        <v>135</v>
      </c>
      <c r="N1608">
        <v>22</v>
      </c>
      <c r="O1608">
        <v>42</v>
      </c>
      <c r="P1608">
        <v>26</v>
      </c>
      <c r="Q1608">
        <v>21</v>
      </c>
      <c r="R1608">
        <v>18</v>
      </c>
    </row>
    <row r="1609" spans="1:18" x14ac:dyDescent="0.25">
      <c r="A1609" t="s">
        <v>1712</v>
      </c>
      <c r="B1609" t="s">
        <v>55</v>
      </c>
      <c r="C1609" t="s">
        <v>1691</v>
      </c>
      <c r="D1609" t="s">
        <v>1692</v>
      </c>
      <c r="E1609" t="s">
        <v>78</v>
      </c>
      <c r="F1609" t="s">
        <v>252</v>
      </c>
      <c r="G1609">
        <v>8.0944000000000003</v>
      </c>
      <c r="H1609">
        <v>-74.7761</v>
      </c>
      <c r="I1609" t="s">
        <v>1693</v>
      </c>
      <c r="J1609">
        <v>11</v>
      </c>
      <c r="M1609">
        <v>134</v>
      </c>
      <c r="N1609">
        <v>20</v>
      </c>
      <c r="O1609">
        <v>32</v>
      </c>
      <c r="P1609">
        <v>34</v>
      </c>
      <c r="Q1609">
        <v>22</v>
      </c>
      <c r="R1609">
        <v>25</v>
      </c>
    </row>
    <row r="1610" spans="1:18" x14ac:dyDescent="0.25">
      <c r="A1610" t="s">
        <v>1713</v>
      </c>
      <c r="B1610" t="s">
        <v>55</v>
      </c>
      <c r="C1610" t="s">
        <v>1691</v>
      </c>
      <c r="D1610" t="s">
        <v>1692</v>
      </c>
      <c r="E1610" t="s">
        <v>78</v>
      </c>
      <c r="F1610" t="s">
        <v>252</v>
      </c>
      <c r="G1610">
        <v>8.0944000000000003</v>
      </c>
      <c r="H1610">
        <v>-74.7761</v>
      </c>
      <c r="I1610" t="s">
        <v>1693</v>
      </c>
      <c r="J1610">
        <v>11</v>
      </c>
      <c r="M1610">
        <v>133</v>
      </c>
      <c r="N1610">
        <v>27</v>
      </c>
      <c r="O1610">
        <v>16</v>
      </c>
      <c r="P1610">
        <v>32</v>
      </c>
      <c r="Q1610">
        <v>28</v>
      </c>
      <c r="R1610">
        <v>38</v>
      </c>
    </row>
    <row r="1611" spans="1:18" x14ac:dyDescent="0.25">
      <c r="A1611" t="s">
        <v>1714</v>
      </c>
      <c r="B1611" t="s">
        <v>55</v>
      </c>
      <c r="C1611" t="s">
        <v>1691</v>
      </c>
      <c r="D1611" t="s">
        <v>1692</v>
      </c>
      <c r="E1611" t="s">
        <v>78</v>
      </c>
      <c r="F1611" t="s">
        <v>252</v>
      </c>
      <c r="G1611">
        <v>8.0944000000000003</v>
      </c>
      <c r="H1611">
        <v>-74.7761</v>
      </c>
      <c r="I1611" t="s">
        <v>1693</v>
      </c>
      <c r="J1611">
        <v>11</v>
      </c>
      <c r="M1611">
        <v>130</v>
      </c>
      <c r="N1611">
        <v>34</v>
      </c>
      <c r="O1611">
        <v>26</v>
      </c>
      <c r="P1611">
        <v>26</v>
      </c>
      <c r="Q1611">
        <v>16</v>
      </c>
      <c r="R1611">
        <v>33</v>
      </c>
    </row>
    <row r="1612" spans="1:18" x14ac:dyDescent="0.25">
      <c r="A1612" t="s">
        <v>1715</v>
      </c>
      <c r="B1612" t="s">
        <v>55</v>
      </c>
      <c r="C1612" t="s">
        <v>1691</v>
      </c>
      <c r="D1612" t="s">
        <v>1692</v>
      </c>
      <c r="E1612" t="s">
        <v>78</v>
      </c>
      <c r="F1612" t="s">
        <v>252</v>
      </c>
      <c r="G1612">
        <v>8.0944000000000003</v>
      </c>
      <c r="H1612">
        <v>-74.7761</v>
      </c>
      <c r="I1612" t="s">
        <v>1693</v>
      </c>
      <c r="J1612">
        <v>11</v>
      </c>
      <c r="M1612">
        <v>129</v>
      </c>
      <c r="N1612">
        <v>27</v>
      </c>
      <c r="O1612">
        <v>24</v>
      </c>
      <c r="P1612">
        <v>30</v>
      </c>
      <c r="Q1612">
        <v>16</v>
      </c>
      <c r="R1612">
        <v>45</v>
      </c>
    </row>
    <row r="1613" spans="1:18" x14ac:dyDescent="0.25">
      <c r="A1613" t="s">
        <v>1716</v>
      </c>
      <c r="B1613" t="s">
        <v>55</v>
      </c>
      <c r="C1613" t="s">
        <v>1691</v>
      </c>
      <c r="D1613" t="s">
        <v>1692</v>
      </c>
      <c r="E1613" t="s">
        <v>78</v>
      </c>
      <c r="F1613" t="s">
        <v>252</v>
      </c>
      <c r="G1613">
        <v>8.0944000000000003</v>
      </c>
      <c r="H1613">
        <v>-74.7761</v>
      </c>
      <c r="I1613" t="s">
        <v>1693</v>
      </c>
      <c r="J1613">
        <v>11</v>
      </c>
      <c r="M1613">
        <v>126</v>
      </c>
      <c r="N1613">
        <v>27</v>
      </c>
      <c r="O1613">
        <v>24</v>
      </c>
      <c r="P1613">
        <v>28</v>
      </c>
      <c r="Q1613">
        <v>24</v>
      </c>
      <c r="R1613">
        <v>18</v>
      </c>
    </row>
    <row r="1614" spans="1:18" x14ac:dyDescent="0.25">
      <c r="A1614" t="s">
        <v>1717</v>
      </c>
      <c r="B1614" t="s">
        <v>55</v>
      </c>
      <c r="C1614" t="s">
        <v>1691</v>
      </c>
      <c r="D1614" t="s">
        <v>1692</v>
      </c>
      <c r="E1614" t="s">
        <v>78</v>
      </c>
      <c r="F1614" t="s">
        <v>252</v>
      </c>
      <c r="G1614">
        <v>8.0944000000000003</v>
      </c>
      <c r="H1614">
        <v>-74.7761</v>
      </c>
      <c r="I1614" t="s">
        <v>1693</v>
      </c>
      <c r="J1614">
        <v>11</v>
      </c>
      <c r="M1614">
        <v>125</v>
      </c>
      <c r="N1614">
        <v>29</v>
      </c>
      <c r="O1614">
        <v>18</v>
      </c>
      <c r="P1614">
        <v>40</v>
      </c>
      <c r="Q1614">
        <v>14</v>
      </c>
      <c r="R1614">
        <v>22</v>
      </c>
    </row>
    <row r="1615" spans="1:18" x14ac:dyDescent="0.25">
      <c r="A1615" t="s">
        <v>1718</v>
      </c>
      <c r="B1615" t="s">
        <v>55</v>
      </c>
      <c r="C1615" t="s">
        <v>1691</v>
      </c>
      <c r="D1615" t="s">
        <v>1692</v>
      </c>
      <c r="E1615" t="s">
        <v>78</v>
      </c>
      <c r="F1615" t="s">
        <v>252</v>
      </c>
      <c r="G1615">
        <v>8.0944000000000003</v>
      </c>
      <c r="H1615">
        <v>-74.7761</v>
      </c>
      <c r="I1615" t="s">
        <v>1693</v>
      </c>
      <c r="J1615">
        <v>11</v>
      </c>
      <c r="M1615">
        <v>124</v>
      </c>
      <c r="N1615">
        <v>29</v>
      </c>
      <c r="O1615">
        <v>20</v>
      </c>
      <c r="P1615">
        <v>20</v>
      </c>
      <c r="Q1615">
        <v>28</v>
      </c>
      <c r="R1615">
        <v>31</v>
      </c>
    </row>
    <row r="1616" spans="1:18" x14ac:dyDescent="0.25">
      <c r="A1616" t="s">
        <v>1719</v>
      </c>
      <c r="B1616" t="s">
        <v>55</v>
      </c>
      <c r="C1616" t="s">
        <v>1691</v>
      </c>
      <c r="D1616" t="s">
        <v>1692</v>
      </c>
      <c r="E1616" t="s">
        <v>78</v>
      </c>
      <c r="F1616" t="s">
        <v>252</v>
      </c>
      <c r="G1616">
        <v>8.0944000000000003</v>
      </c>
      <c r="H1616">
        <v>-74.7761</v>
      </c>
      <c r="I1616" t="s">
        <v>1693</v>
      </c>
      <c r="J1616">
        <v>11</v>
      </c>
      <c r="M1616">
        <v>123</v>
      </c>
      <c r="N1616">
        <v>34</v>
      </c>
      <c r="O1616">
        <v>26</v>
      </c>
      <c r="P1616">
        <v>24</v>
      </c>
      <c r="Q1616">
        <v>21</v>
      </c>
      <c r="R1616">
        <v>5</v>
      </c>
    </row>
    <row r="1617" spans="1:18" x14ac:dyDescent="0.25">
      <c r="A1617" t="s">
        <v>1720</v>
      </c>
      <c r="B1617" t="s">
        <v>55</v>
      </c>
      <c r="C1617" t="s">
        <v>1691</v>
      </c>
      <c r="D1617" t="s">
        <v>1692</v>
      </c>
      <c r="E1617" t="s">
        <v>78</v>
      </c>
      <c r="F1617" t="s">
        <v>252</v>
      </c>
      <c r="G1617">
        <v>8.0944000000000003</v>
      </c>
      <c r="H1617">
        <v>-74.7761</v>
      </c>
      <c r="I1617" t="s">
        <v>1693</v>
      </c>
      <c r="J1617">
        <v>11</v>
      </c>
      <c r="M1617">
        <v>122</v>
      </c>
      <c r="N1617">
        <v>34</v>
      </c>
      <c r="O1617">
        <v>26</v>
      </c>
      <c r="P1617">
        <v>18</v>
      </c>
      <c r="Q1617">
        <v>17</v>
      </c>
      <c r="R1617">
        <v>31</v>
      </c>
    </row>
    <row r="1618" spans="1:18" x14ac:dyDescent="0.25">
      <c r="A1618" t="s">
        <v>1721</v>
      </c>
      <c r="B1618" t="s">
        <v>55</v>
      </c>
      <c r="C1618" t="s">
        <v>1691</v>
      </c>
      <c r="D1618" t="s">
        <v>1692</v>
      </c>
      <c r="E1618" t="s">
        <v>78</v>
      </c>
      <c r="F1618" t="s">
        <v>252</v>
      </c>
      <c r="G1618">
        <v>8.0944000000000003</v>
      </c>
      <c r="H1618">
        <v>-74.7761</v>
      </c>
      <c r="I1618" t="s">
        <v>1693</v>
      </c>
      <c r="J1618">
        <v>11</v>
      </c>
      <c r="M1618">
        <v>118</v>
      </c>
      <c r="N1618">
        <v>39</v>
      </c>
      <c r="O1618">
        <v>14</v>
      </c>
      <c r="P1618">
        <v>16</v>
      </c>
      <c r="Q1618">
        <v>28</v>
      </c>
      <c r="R1618">
        <v>16</v>
      </c>
    </row>
    <row r="1619" spans="1:18" x14ac:dyDescent="0.25">
      <c r="A1619" t="s">
        <v>1722</v>
      </c>
      <c r="B1619" t="s">
        <v>55</v>
      </c>
      <c r="C1619" t="s">
        <v>1691</v>
      </c>
      <c r="D1619" t="s">
        <v>1692</v>
      </c>
      <c r="E1619" t="s">
        <v>78</v>
      </c>
      <c r="F1619" t="s">
        <v>252</v>
      </c>
      <c r="G1619">
        <v>8.0944000000000003</v>
      </c>
      <c r="H1619">
        <v>-74.7761</v>
      </c>
      <c r="I1619" t="s">
        <v>1693</v>
      </c>
      <c r="J1619">
        <v>11</v>
      </c>
      <c r="M1619">
        <v>111</v>
      </c>
      <c r="N1619">
        <v>17</v>
      </c>
      <c r="O1619">
        <v>18</v>
      </c>
      <c r="P1619">
        <v>32</v>
      </c>
      <c r="Q1619">
        <v>22</v>
      </c>
      <c r="R1619">
        <v>20</v>
      </c>
    </row>
    <row r="1620" spans="1:18" x14ac:dyDescent="0.25">
      <c r="A1620" t="s">
        <v>1723</v>
      </c>
      <c r="B1620" t="s">
        <v>55</v>
      </c>
      <c r="C1620" t="s">
        <v>1691</v>
      </c>
      <c r="D1620" t="s">
        <v>1692</v>
      </c>
      <c r="E1620" t="s">
        <v>78</v>
      </c>
      <c r="F1620" t="s">
        <v>252</v>
      </c>
      <c r="G1620">
        <v>8.0944000000000003</v>
      </c>
      <c r="H1620">
        <v>-74.7761</v>
      </c>
      <c r="I1620" t="s">
        <v>1693</v>
      </c>
      <c r="J1620">
        <v>11</v>
      </c>
      <c r="M1620">
        <v>110</v>
      </c>
      <c r="N1620">
        <v>29</v>
      </c>
      <c r="O1620">
        <v>22</v>
      </c>
      <c r="P1620">
        <v>18</v>
      </c>
      <c r="Q1620">
        <v>21</v>
      </c>
      <c r="R1620">
        <v>16</v>
      </c>
    </row>
    <row r="1621" spans="1:18" x14ac:dyDescent="0.25">
      <c r="A1621" t="s">
        <v>1724</v>
      </c>
      <c r="B1621" t="s">
        <v>55</v>
      </c>
      <c r="C1621" t="s">
        <v>1691</v>
      </c>
      <c r="D1621" t="s">
        <v>1692</v>
      </c>
      <c r="E1621" t="s">
        <v>78</v>
      </c>
      <c r="F1621" t="s">
        <v>252</v>
      </c>
      <c r="G1621">
        <v>8.0944000000000003</v>
      </c>
      <c r="H1621">
        <v>-74.7761</v>
      </c>
      <c r="I1621" t="s">
        <v>1693</v>
      </c>
      <c r="J1621">
        <v>11</v>
      </c>
      <c r="M1621">
        <v>108</v>
      </c>
      <c r="N1621">
        <v>24</v>
      </c>
      <c r="O1621">
        <v>18</v>
      </c>
      <c r="P1621">
        <v>22</v>
      </c>
      <c r="Q1621">
        <v>21</v>
      </c>
      <c r="R1621">
        <v>25</v>
      </c>
    </row>
    <row r="1622" spans="1:18" x14ac:dyDescent="0.25">
      <c r="A1622" t="s">
        <v>1725</v>
      </c>
      <c r="B1622" t="s">
        <v>55</v>
      </c>
      <c r="C1622" t="s">
        <v>1691</v>
      </c>
      <c r="D1622" t="s">
        <v>1692</v>
      </c>
      <c r="E1622" t="s">
        <v>78</v>
      </c>
      <c r="F1622" t="s">
        <v>252</v>
      </c>
      <c r="G1622">
        <v>8.0944000000000003</v>
      </c>
      <c r="H1622">
        <v>-74.7761</v>
      </c>
      <c r="I1622" t="s">
        <v>1693</v>
      </c>
      <c r="J1622">
        <v>11</v>
      </c>
      <c r="M1622">
        <v>96</v>
      </c>
      <c r="N1622">
        <v>24</v>
      </c>
      <c r="O1622">
        <v>8</v>
      </c>
      <c r="P1622">
        <v>22</v>
      </c>
      <c r="Q1622">
        <v>21</v>
      </c>
      <c r="R1622">
        <v>25</v>
      </c>
    </row>
    <row r="1623" spans="1:18" x14ac:dyDescent="0.25">
      <c r="A1623" t="s">
        <v>1726</v>
      </c>
      <c r="B1623" t="s">
        <v>55</v>
      </c>
      <c r="C1623" t="s">
        <v>1691</v>
      </c>
      <c r="D1623" t="s">
        <v>1692</v>
      </c>
      <c r="E1623" t="s">
        <v>78</v>
      </c>
      <c r="F1623" t="s">
        <v>252</v>
      </c>
      <c r="G1623">
        <v>8.0944000000000003</v>
      </c>
      <c r="H1623">
        <v>-74.7761</v>
      </c>
      <c r="I1623" t="s">
        <v>1693</v>
      </c>
      <c r="J1623">
        <v>11</v>
      </c>
      <c r="M1623">
        <v>90</v>
      </c>
      <c r="N1623">
        <v>22</v>
      </c>
      <c r="O1623">
        <v>12</v>
      </c>
      <c r="P1623">
        <v>22</v>
      </c>
      <c r="Q1623">
        <v>17</v>
      </c>
      <c r="R1623">
        <v>15</v>
      </c>
    </row>
    <row r="1624" spans="1:18" x14ac:dyDescent="0.25">
      <c r="A1624" t="s">
        <v>1727</v>
      </c>
      <c r="B1624" t="s">
        <v>55</v>
      </c>
      <c r="C1624" t="s">
        <v>1691</v>
      </c>
      <c r="D1624" t="s">
        <v>1692</v>
      </c>
      <c r="E1624" t="s">
        <v>78</v>
      </c>
      <c r="F1624" t="s">
        <v>252</v>
      </c>
      <c r="G1624">
        <v>8.0944000000000003</v>
      </c>
      <c r="H1624">
        <v>-74.7761</v>
      </c>
      <c r="I1624" t="s">
        <v>1693</v>
      </c>
      <c r="J1624">
        <v>11</v>
      </c>
      <c r="M1624">
        <v>85</v>
      </c>
      <c r="N1624">
        <v>34</v>
      </c>
      <c r="O1624">
        <v>14</v>
      </c>
      <c r="P1624">
        <v>10</v>
      </c>
      <c r="Q1624">
        <v>16</v>
      </c>
      <c r="R1624">
        <v>0</v>
      </c>
    </row>
    <row r="1625" spans="1:18" x14ac:dyDescent="0.25">
      <c r="A1625" t="s">
        <v>1728</v>
      </c>
      <c r="B1625" t="s">
        <v>55</v>
      </c>
      <c r="C1625" t="s">
        <v>1729</v>
      </c>
      <c r="D1625" t="s">
        <v>1730</v>
      </c>
      <c r="E1625" t="s">
        <v>78</v>
      </c>
      <c r="F1625" t="s">
        <v>252</v>
      </c>
      <c r="G1625">
        <v>7.0735999999999999</v>
      </c>
      <c r="H1625">
        <v>-75.148099999999999</v>
      </c>
      <c r="I1625" t="s">
        <v>222</v>
      </c>
      <c r="J1625">
        <v>11</v>
      </c>
      <c r="M1625">
        <v>246</v>
      </c>
      <c r="N1625">
        <v>56</v>
      </c>
      <c r="O1625">
        <v>36</v>
      </c>
      <c r="P1625">
        <v>68</v>
      </c>
      <c r="Q1625">
        <v>24</v>
      </c>
      <c r="R1625">
        <v>87</v>
      </c>
    </row>
    <row r="1626" spans="1:18" x14ac:dyDescent="0.25">
      <c r="A1626" t="s">
        <v>1731</v>
      </c>
      <c r="B1626" t="s">
        <v>55</v>
      </c>
      <c r="C1626" t="s">
        <v>1729</v>
      </c>
      <c r="D1626" t="s">
        <v>1730</v>
      </c>
      <c r="E1626" t="s">
        <v>78</v>
      </c>
      <c r="F1626" t="s">
        <v>252</v>
      </c>
      <c r="G1626">
        <v>7.0735999999999999</v>
      </c>
      <c r="H1626">
        <v>-75.148099999999999</v>
      </c>
      <c r="I1626" t="s">
        <v>222</v>
      </c>
      <c r="J1626">
        <v>11</v>
      </c>
      <c r="M1626">
        <v>229</v>
      </c>
      <c r="N1626">
        <v>59</v>
      </c>
      <c r="O1626">
        <v>38</v>
      </c>
      <c r="P1626">
        <v>60</v>
      </c>
      <c r="Q1626">
        <v>28</v>
      </c>
      <c r="R1626">
        <v>44</v>
      </c>
    </row>
    <row r="1627" spans="1:18" x14ac:dyDescent="0.25">
      <c r="A1627" t="s">
        <v>1732</v>
      </c>
      <c r="B1627" t="s">
        <v>55</v>
      </c>
      <c r="C1627" t="s">
        <v>1729</v>
      </c>
      <c r="D1627" t="s">
        <v>1730</v>
      </c>
      <c r="E1627" t="s">
        <v>78</v>
      </c>
      <c r="F1627" t="s">
        <v>252</v>
      </c>
      <c r="G1627">
        <v>7.0735999999999999</v>
      </c>
      <c r="H1627">
        <v>-75.148099999999999</v>
      </c>
      <c r="I1627" t="s">
        <v>222</v>
      </c>
      <c r="J1627">
        <v>11</v>
      </c>
      <c r="M1627">
        <v>207</v>
      </c>
      <c r="N1627">
        <v>66</v>
      </c>
      <c r="O1627">
        <v>18</v>
      </c>
      <c r="P1627">
        <v>52</v>
      </c>
      <c r="Q1627">
        <v>28</v>
      </c>
      <c r="R1627">
        <v>47</v>
      </c>
    </row>
    <row r="1628" spans="1:18" x14ac:dyDescent="0.25">
      <c r="A1628" t="s">
        <v>1733</v>
      </c>
      <c r="B1628" t="s">
        <v>55</v>
      </c>
      <c r="C1628" t="s">
        <v>1729</v>
      </c>
      <c r="D1628" t="s">
        <v>1730</v>
      </c>
      <c r="E1628" t="s">
        <v>78</v>
      </c>
      <c r="F1628" t="s">
        <v>252</v>
      </c>
      <c r="G1628">
        <v>7.0735999999999999</v>
      </c>
      <c r="H1628">
        <v>-75.148099999999999</v>
      </c>
      <c r="I1628" t="s">
        <v>222</v>
      </c>
      <c r="J1628">
        <v>11</v>
      </c>
      <c r="M1628">
        <v>199</v>
      </c>
      <c r="N1628">
        <v>46</v>
      </c>
      <c r="O1628">
        <v>22</v>
      </c>
      <c r="P1628">
        <v>60</v>
      </c>
      <c r="Q1628">
        <v>29</v>
      </c>
      <c r="R1628">
        <v>45</v>
      </c>
    </row>
    <row r="1629" spans="1:18" x14ac:dyDescent="0.25">
      <c r="A1629" t="s">
        <v>1734</v>
      </c>
      <c r="B1629" t="s">
        <v>55</v>
      </c>
      <c r="C1629" t="s">
        <v>1729</v>
      </c>
      <c r="D1629" t="s">
        <v>1730</v>
      </c>
      <c r="E1629" t="s">
        <v>78</v>
      </c>
      <c r="F1629" t="s">
        <v>252</v>
      </c>
      <c r="G1629">
        <v>7.0735999999999999</v>
      </c>
      <c r="H1629">
        <v>-75.148099999999999</v>
      </c>
      <c r="I1629" t="s">
        <v>222</v>
      </c>
      <c r="J1629">
        <v>11</v>
      </c>
      <c r="M1629">
        <v>199</v>
      </c>
      <c r="N1629">
        <v>34</v>
      </c>
      <c r="O1629">
        <v>34</v>
      </c>
      <c r="P1629">
        <v>44</v>
      </c>
      <c r="Q1629">
        <v>34</v>
      </c>
      <c r="R1629">
        <v>76</v>
      </c>
    </row>
    <row r="1630" spans="1:18" x14ac:dyDescent="0.25">
      <c r="A1630" t="s">
        <v>1735</v>
      </c>
      <c r="B1630" t="s">
        <v>55</v>
      </c>
      <c r="C1630" t="s">
        <v>1729</v>
      </c>
      <c r="D1630" t="s">
        <v>1730</v>
      </c>
      <c r="E1630" t="s">
        <v>78</v>
      </c>
      <c r="F1630" t="s">
        <v>252</v>
      </c>
      <c r="G1630">
        <v>7.0735999999999999</v>
      </c>
      <c r="H1630">
        <v>-75.148099999999999</v>
      </c>
      <c r="I1630" t="s">
        <v>222</v>
      </c>
      <c r="J1630">
        <v>11</v>
      </c>
      <c r="M1630">
        <v>197</v>
      </c>
      <c r="N1630">
        <v>37</v>
      </c>
      <c r="O1630">
        <v>30</v>
      </c>
      <c r="P1630">
        <v>46</v>
      </c>
      <c r="Q1630">
        <v>38</v>
      </c>
      <c r="R1630">
        <v>60</v>
      </c>
    </row>
    <row r="1631" spans="1:18" x14ac:dyDescent="0.25">
      <c r="A1631" t="s">
        <v>1736</v>
      </c>
      <c r="B1631" t="s">
        <v>55</v>
      </c>
      <c r="C1631" t="s">
        <v>1729</v>
      </c>
      <c r="D1631" t="s">
        <v>1730</v>
      </c>
      <c r="E1631" t="s">
        <v>78</v>
      </c>
      <c r="F1631" t="s">
        <v>252</v>
      </c>
      <c r="G1631">
        <v>7.0735999999999999</v>
      </c>
      <c r="H1631">
        <v>-75.148099999999999</v>
      </c>
      <c r="I1631" t="s">
        <v>222</v>
      </c>
      <c r="J1631">
        <v>11</v>
      </c>
      <c r="M1631">
        <v>191</v>
      </c>
      <c r="N1631">
        <v>54</v>
      </c>
      <c r="O1631">
        <v>36</v>
      </c>
      <c r="P1631">
        <v>32</v>
      </c>
      <c r="Q1631">
        <v>26</v>
      </c>
      <c r="R1631">
        <v>55</v>
      </c>
    </row>
    <row r="1632" spans="1:18" x14ac:dyDescent="0.25">
      <c r="A1632" t="s">
        <v>1737</v>
      </c>
      <c r="B1632" t="s">
        <v>55</v>
      </c>
      <c r="C1632" t="s">
        <v>1729</v>
      </c>
      <c r="D1632" t="s">
        <v>1730</v>
      </c>
      <c r="E1632" t="s">
        <v>78</v>
      </c>
      <c r="F1632" t="s">
        <v>252</v>
      </c>
      <c r="G1632">
        <v>7.0735999999999999</v>
      </c>
      <c r="H1632">
        <v>-75.148099999999999</v>
      </c>
      <c r="I1632" t="s">
        <v>222</v>
      </c>
      <c r="J1632">
        <v>11</v>
      </c>
      <c r="M1632">
        <v>188</v>
      </c>
      <c r="N1632">
        <v>39</v>
      </c>
      <c r="O1632">
        <v>34</v>
      </c>
      <c r="P1632">
        <v>54</v>
      </c>
      <c r="Q1632">
        <v>21</v>
      </c>
      <c r="R1632">
        <v>45</v>
      </c>
    </row>
    <row r="1633" spans="1:18" x14ac:dyDescent="0.25">
      <c r="A1633" t="s">
        <v>1738</v>
      </c>
      <c r="B1633" t="s">
        <v>55</v>
      </c>
      <c r="C1633" t="s">
        <v>1729</v>
      </c>
      <c r="D1633" t="s">
        <v>1730</v>
      </c>
      <c r="E1633" t="s">
        <v>78</v>
      </c>
      <c r="F1633" t="s">
        <v>252</v>
      </c>
      <c r="G1633">
        <v>7.0735999999999999</v>
      </c>
      <c r="H1633">
        <v>-75.148099999999999</v>
      </c>
      <c r="I1633" t="s">
        <v>222</v>
      </c>
      <c r="J1633">
        <v>11</v>
      </c>
      <c r="M1633">
        <v>187</v>
      </c>
      <c r="N1633">
        <v>44</v>
      </c>
      <c r="O1633">
        <v>28</v>
      </c>
      <c r="P1633">
        <v>48</v>
      </c>
      <c r="Q1633">
        <v>31</v>
      </c>
      <c r="R1633">
        <v>35</v>
      </c>
    </row>
    <row r="1634" spans="1:18" x14ac:dyDescent="0.25">
      <c r="A1634" t="s">
        <v>1739</v>
      </c>
      <c r="B1634" t="s">
        <v>55</v>
      </c>
      <c r="C1634" t="s">
        <v>1729</v>
      </c>
      <c r="D1634" t="s">
        <v>1730</v>
      </c>
      <c r="E1634" t="s">
        <v>78</v>
      </c>
      <c r="F1634" t="s">
        <v>252</v>
      </c>
      <c r="G1634">
        <v>7.0735999999999999</v>
      </c>
      <c r="H1634">
        <v>-75.148099999999999</v>
      </c>
      <c r="I1634" t="s">
        <v>222</v>
      </c>
      <c r="J1634">
        <v>11</v>
      </c>
      <c r="M1634">
        <v>187</v>
      </c>
      <c r="N1634">
        <v>37</v>
      </c>
      <c r="O1634">
        <v>34</v>
      </c>
      <c r="P1634">
        <v>50</v>
      </c>
      <c r="Q1634">
        <v>33</v>
      </c>
      <c r="R1634">
        <v>27</v>
      </c>
    </row>
    <row r="1635" spans="1:18" x14ac:dyDescent="0.25">
      <c r="A1635" t="s">
        <v>1740</v>
      </c>
      <c r="B1635" t="s">
        <v>55</v>
      </c>
      <c r="C1635" t="s">
        <v>1729</v>
      </c>
      <c r="D1635" t="s">
        <v>1730</v>
      </c>
      <c r="E1635" t="s">
        <v>78</v>
      </c>
      <c r="F1635" t="s">
        <v>252</v>
      </c>
      <c r="G1635">
        <v>7.0735999999999999</v>
      </c>
      <c r="H1635">
        <v>-75.148099999999999</v>
      </c>
      <c r="I1635" t="s">
        <v>222</v>
      </c>
      <c r="J1635">
        <v>11</v>
      </c>
      <c r="M1635">
        <v>187</v>
      </c>
      <c r="N1635">
        <v>34</v>
      </c>
      <c r="O1635">
        <v>28</v>
      </c>
      <c r="P1635">
        <v>44</v>
      </c>
      <c r="Q1635">
        <v>34</v>
      </c>
      <c r="R1635">
        <v>64</v>
      </c>
    </row>
    <row r="1636" spans="1:18" x14ac:dyDescent="0.25">
      <c r="A1636" t="s">
        <v>1741</v>
      </c>
      <c r="B1636" t="s">
        <v>55</v>
      </c>
      <c r="C1636" t="s">
        <v>1729</v>
      </c>
      <c r="D1636" t="s">
        <v>1730</v>
      </c>
      <c r="E1636" t="s">
        <v>78</v>
      </c>
      <c r="F1636" t="s">
        <v>252</v>
      </c>
      <c r="G1636">
        <v>7.0735999999999999</v>
      </c>
      <c r="H1636">
        <v>-75.148099999999999</v>
      </c>
      <c r="I1636" t="s">
        <v>222</v>
      </c>
      <c r="J1636">
        <v>11</v>
      </c>
      <c r="M1636">
        <v>185</v>
      </c>
      <c r="N1636">
        <v>39</v>
      </c>
      <c r="O1636">
        <v>28</v>
      </c>
      <c r="P1636">
        <v>46</v>
      </c>
      <c r="Q1636">
        <v>26</v>
      </c>
      <c r="R1636">
        <v>65</v>
      </c>
    </row>
    <row r="1637" spans="1:18" x14ac:dyDescent="0.25">
      <c r="A1637" t="s">
        <v>1742</v>
      </c>
      <c r="B1637" t="s">
        <v>55</v>
      </c>
      <c r="C1637" t="s">
        <v>1729</v>
      </c>
      <c r="D1637" t="s">
        <v>1730</v>
      </c>
      <c r="E1637" t="s">
        <v>78</v>
      </c>
      <c r="F1637" t="s">
        <v>252</v>
      </c>
      <c r="G1637">
        <v>7.0735999999999999</v>
      </c>
      <c r="H1637">
        <v>-75.148099999999999</v>
      </c>
      <c r="I1637" t="s">
        <v>222</v>
      </c>
      <c r="J1637">
        <v>11</v>
      </c>
      <c r="M1637">
        <v>185</v>
      </c>
      <c r="N1637">
        <v>37</v>
      </c>
      <c r="O1637">
        <v>34</v>
      </c>
      <c r="P1637">
        <v>38</v>
      </c>
      <c r="Q1637">
        <v>29</v>
      </c>
      <c r="R1637">
        <v>67</v>
      </c>
    </row>
    <row r="1638" spans="1:18" x14ac:dyDescent="0.25">
      <c r="A1638" t="s">
        <v>1743</v>
      </c>
      <c r="B1638" t="s">
        <v>55</v>
      </c>
      <c r="C1638" t="s">
        <v>1729</v>
      </c>
      <c r="D1638" t="s">
        <v>1730</v>
      </c>
      <c r="E1638" t="s">
        <v>78</v>
      </c>
      <c r="F1638" t="s">
        <v>252</v>
      </c>
      <c r="G1638">
        <v>7.0735999999999999</v>
      </c>
      <c r="H1638">
        <v>-75.148099999999999</v>
      </c>
      <c r="I1638" t="s">
        <v>222</v>
      </c>
      <c r="J1638">
        <v>11</v>
      </c>
      <c r="M1638">
        <v>181</v>
      </c>
      <c r="N1638">
        <v>51</v>
      </c>
      <c r="O1638">
        <v>16</v>
      </c>
      <c r="P1638">
        <v>36</v>
      </c>
      <c r="Q1638">
        <v>36</v>
      </c>
      <c r="R1638">
        <v>53</v>
      </c>
    </row>
    <row r="1639" spans="1:18" x14ac:dyDescent="0.25">
      <c r="A1639" t="s">
        <v>1744</v>
      </c>
      <c r="B1639" t="s">
        <v>55</v>
      </c>
      <c r="C1639" t="s">
        <v>1729</v>
      </c>
      <c r="D1639" t="s">
        <v>1730</v>
      </c>
      <c r="E1639" t="s">
        <v>78</v>
      </c>
      <c r="F1639" t="s">
        <v>252</v>
      </c>
      <c r="G1639">
        <v>7.0735999999999999</v>
      </c>
      <c r="H1639">
        <v>-75.148099999999999</v>
      </c>
      <c r="I1639" t="s">
        <v>222</v>
      </c>
      <c r="J1639">
        <v>11</v>
      </c>
      <c r="M1639">
        <v>181</v>
      </c>
      <c r="N1639">
        <v>49</v>
      </c>
      <c r="O1639">
        <v>30</v>
      </c>
      <c r="P1639">
        <v>44</v>
      </c>
      <c r="Q1639">
        <v>22</v>
      </c>
      <c r="R1639">
        <v>35</v>
      </c>
    </row>
    <row r="1640" spans="1:18" x14ac:dyDescent="0.25">
      <c r="A1640" t="s">
        <v>1745</v>
      </c>
      <c r="B1640" t="s">
        <v>55</v>
      </c>
      <c r="C1640" t="s">
        <v>1729</v>
      </c>
      <c r="D1640" t="s">
        <v>1730</v>
      </c>
      <c r="E1640" t="s">
        <v>78</v>
      </c>
      <c r="F1640" t="s">
        <v>252</v>
      </c>
      <c r="G1640">
        <v>7.0735999999999999</v>
      </c>
      <c r="H1640">
        <v>-75.148099999999999</v>
      </c>
      <c r="I1640" t="s">
        <v>222</v>
      </c>
      <c r="J1640">
        <v>11</v>
      </c>
      <c r="M1640">
        <v>179</v>
      </c>
      <c r="N1640">
        <v>41</v>
      </c>
      <c r="O1640">
        <v>32</v>
      </c>
      <c r="P1640">
        <v>42</v>
      </c>
      <c r="Q1640">
        <v>24</v>
      </c>
      <c r="R1640">
        <v>45</v>
      </c>
    </row>
    <row r="1641" spans="1:18" x14ac:dyDescent="0.25">
      <c r="A1641" t="s">
        <v>1746</v>
      </c>
      <c r="B1641" t="s">
        <v>55</v>
      </c>
      <c r="C1641" t="s">
        <v>1729</v>
      </c>
      <c r="D1641" t="s">
        <v>1730</v>
      </c>
      <c r="E1641" t="s">
        <v>78</v>
      </c>
      <c r="F1641" t="s">
        <v>252</v>
      </c>
      <c r="G1641">
        <v>7.0735999999999999</v>
      </c>
      <c r="H1641">
        <v>-75.148099999999999</v>
      </c>
      <c r="I1641" t="s">
        <v>222</v>
      </c>
      <c r="J1641">
        <v>11</v>
      </c>
      <c r="M1641">
        <v>178</v>
      </c>
      <c r="N1641">
        <v>39</v>
      </c>
      <c r="O1641">
        <v>28</v>
      </c>
      <c r="P1641">
        <v>38</v>
      </c>
      <c r="Q1641">
        <v>36</v>
      </c>
      <c r="R1641">
        <v>40</v>
      </c>
    </row>
    <row r="1642" spans="1:18" x14ac:dyDescent="0.25">
      <c r="A1642" t="s">
        <v>1747</v>
      </c>
      <c r="B1642" t="s">
        <v>55</v>
      </c>
      <c r="C1642" t="s">
        <v>1729</v>
      </c>
      <c r="D1642" t="s">
        <v>1730</v>
      </c>
      <c r="E1642" t="s">
        <v>78</v>
      </c>
      <c r="F1642" t="s">
        <v>252</v>
      </c>
      <c r="G1642">
        <v>7.0735999999999999</v>
      </c>
      <c r="H1642">
        <v>-75.148099999999999</v>
      </c>
      <c r="I1642" t="s">
        <v>222</v>
      </c>
      <c r="J1642">
        <v>11</v>
      </c>
      <c r="M1642">
        <v>177</v>
      </c>
      <c r="N1642">
        <v>29</v>
      </c>
      <c r="O1642">
        <v>22</v>
      </c>
      <c r="P1642">
        <v>44</v>
      </c>
      <c r="Q1642">
        <v>40</v>
      </c>
      <c r="R1642">
        <v>55</v>
      </c>
    </row>
    <row r="1643" spans="1:18" x14ac:dyDescent="0.25">
      <c r="A1643" t="s">
        <v>1748</v>
      </c>
      <c r="B1643" t="s">
        <v>55</v>
      </c>
      <c r="C1643" t="s">
        <v>1729</v>
      </c>
      <c r="D1643" t="s">
        <v>1730</v>
      </c>
      <c r="E1643" t="s">
        <v>78</v>
      </c>
      <c r="F1643" t="s">
        <v>252</v>
      </c>
      <c r="G1643">
        <v>7.0735999999999999</v>
      </c>
      <c r="H1643">
        <v>-75.148099999999999</v>
      </c>
      <c r="I1643" t="s">
        <v>222</v>
      </c>
      <c r="J1643">
        <v>11</v>
      </c>
      <c r="M1643">
        <v>176</v>
      </c>
      <c r="N1643">
        <v>34</v>
      </c>
      <c r="O1643">
        <v>24</v>
      </c>
      <c r="P1643">
        <v>48</v>
      </c>
      <c r="Q1643">
        <v>29</v>
      </c>
      <c r="R1643">
        <v>51</v>
      </c>
    </row>
    <row r="1644" spans="1:18" x14ac:dyDescent="0.25">
      <c r="A1644" t="s">
        <v>1749</v>
      </c>
      <c r="B1644" t="s">
        <v>55</v>
      </c>
      <c r="C1644" t="s">
        <v>1729</v>
      </c>
      <c r="D1644" t="s">
        <v>1730</v>
      </c>
      <c r="E1644" t="s">
        <v>78</v>
      </c>
      <c r="F1644" t="s">
        <v>252</v>
      </c>
      <c r="G1644">
        <v>7.0735999999999999</v>
      </c>
      <c r="H1644">
        <v>-75.148099999999999</v>
      </c>
      <c r="I1644" t="s">
        <v>222</v>
      </c>
      <c r="J1644">
        <v>11</v>
      </c>
      <c r="M1644">
        <v>171</v>
      </c>
      <c r="N1644">
        <v>29</v>
      </c>
      <c r="O1644">
        <v>24</v>
      </c>
      <c r="P1644">
        <v>52</v>
      </c>
      <c r="Q1644">
        <v>29</v>
      </c>
      <c r="R1644">
        <v>40</v>
      </c>
    </row>
    <row r="1645" spans="1:18" x14ac:dyDescent="0.25">
      <c r="A1645" t="s">
        <v>1750</v>
      </c>
      <c r="B1645" t="s">
        <v>55</v>
      </c>
      <c r="C1645" t="s">
        <v>1729</v>
      </c>
      <c r="D1645" t="s">
        <v>1730</v>
      </c>
      <c r="E1645" t="s">
        <v>78</v>
      </c>
      <c r="F1645" t="s">
        <v>252</v>
      </c>
      <c r="G1645">
        <v>7.0735999999999999</v>
      </c>
      <c r="H1645">
        <v>-75.148099999999999</v>
      </c>
      <c r="I1645" t="s">
        <v>222</v>
      </c>
      <c r="J1645">
        <v>11</v>
      </c>
      <c r="M1645">
        <v>166</v>
      </c>
      <c r="N1645">
        <v>41</v>
      </c>
      <c r="O1645">
        <v>30</v>
      </c>
      <c r="P1645">
        <v>36</v>
      </c>
      <c r="Q1645">
        <v>26</v>
      </c>
      <c r="R1645">
        <v>33</v>
      </c>
    </row>
    <row r="1646" spans="1:18" x14ac:dyDescent="0.25">
      <c r="A1646" t="s">
        <v>1751</v>
      </c>
      <c r="B1646" t="s">
        <v>55</v>
      </c>
      <c r="C1646" t="s">
        <v>1729</v>
      </c>
      <c r="D1646" t="s">
        <v>1730</v>
      </c>
      <c r="E1646" t="s">
        <v>78</v>
      </c>
      <c r="F1646" t="s">
        <v>252</v>
      </c>
      <c r="G1646">
        <v>7.0735999999999999</v>
      </c>
      <c r="H1646">
        <v>-75.148099999999999</v>
      </c>
      <c r="I1646" t="s">
        <v>222</v>
      </c>
      <c r="J1646">
        <v>11</v>
      </c>
      <c r="M1646">
        <v>163</v>
      </c>
      <c r="N1646">
        <v>44</v>
      </c>
      <c r="O1646">
        <v>28</v>
      </c>
      <c r="P1646">
        <v>32</v>
      </c>
      <c r="Q1646">
        <v>21</v>
      </c>
      <c r="R1646">
        <v>49</v>
      </c>
    </row>
    <row r="1647" spans="1:18" x14ac:dyDescent="0.25">
      <c r="A1647" t="s">
        <v>1752</v>
      </c>
      <c r="B1647" t="s">
        <v>55</v>
      </c>
      <c r="C1647" t="s">
        <v>1729</v>
      </c>
      <c r="D1647" t="s">
        <v>1730</v>
      </c>
      <c r="E1647" t="s">
        <v>78</v>
      </c>
      <c r="F1647" t="s">
        <v>252</v>
      </c>
      <c r="G1647">
        <v>7.0735999999999999</v>
      </c>
      <c r="H1647">
        <v>-75.148099999999999</v>
      </c>
      <c r="I1647" t="s">
        <v>222</v>
      </c>
      <c r="J1647">
        <v>11</v>
      </c>
      <c r="M1647">
        <v>162</v>
      </c>
      <c r="N1647">
        <v>29</v>
      </c>
      <c r="O1647">
        <v>26</v>
      </c>
      <c r="P1647">
        <v>42</v>
      </c>
      <c r="Q1647">
        <v>33</v>
      </c>
      <c r="R1647">
        <v>31</v>
      </c>
    </row>
    <row r="1648" spans="1:18" x14ac:dyDescent="0.25">
      <c r="A1648" t="s">
        <v>1753</v>
      </c>
      <c r="B1648" t="s">
        <v>55</v>
      </c>
      <c r="C1648" t="s">
        <v>1729</v>
      </c>
      <c r="D1648" t="s">
        <v>1730</v>
      </c>
      <c r="E1648" t="s">
        <v>78</v>
      </c>
      <c r="F1648" t="s">
        <v>252</v>
      </c>
      <c r="G1648">
        <v>7.0735999999999999</v>
      </c>
      <c r="H1648">
        <v>-75.148099999999999</v>
      </c>
      <c r="I1648" t="s">
        <v>222</v>
      </c>
      <c r="J1648">
        <v>11</v>
      </c>
      <c r="M1648">
        <v>151</v>
      </c>
      <c r="N1648">
        <v>37</v>
      </c>
      <c r="O1648">
        <v>26</v>
      </c>
      <c r="P1648">
        <v>26</v>
      </c>
      <c r="Q1648">
        <v>29</v>
      </c>
      <c r="R1648">
        <v>40</v>
      </c>
    </row>
    <row r="1649" spans="1:18" x14ac:dyDescent="0.25">
      <c r="A1649" t="s">
        <v>1754</v>
      </c>
      <c r="B1649" t="s">
        <v>55</v>
      </c>
      <c r="C1649" t="s">
        <v>1729</v>
      </c>
      <c r="D1649" t="s">
        <v>1730</v>
      </c>
      <c r="E1649" t="s">
        <v>78</v>
      </c>
      <c r="F1649" t="s">
        <v>252</v>
      </c>
      <c r="G1649">
        <v>7.0735999999999999</v>
      </c>
      <c r="H1649">
        <v>-75.148099999999999</v>
      </c>
      <c r="I1649" t="s">
        <v>222</v>
      </c>
      <c r="J1649">
        <v>11</v>
      </c>
      <c r="M1649">
        <v>148</v>
      </c>
      <c r="N1649">
        <v>37</v>
      </c>
      <c r="O1649">
        <v>24</v>
      </c>
      <c r="P1649">
        <v>22</v>
      </c>
      <c r="Q1649">
        <v>33</v>
      </c>
      <c r="R1649">
        <v>38</v>
      </c>
    </row>
    <row r="1650" spans="1:18" x14ac:dyDescent="0.25">
      <c r="A1650" t="s">
        <v>1755</v>
      </c>
      <c r="B1650" t="s">
        <v>55</v>
      </c>
      <c r="C1650" t="s">
        <v>1729</v>
      </c>
      <c r="D1650" t="s">
        <v>1730</v>
      </c>
      <c r="E1650" t="s">
        <v>78</v>
      </c>
      <c r="F1650" t="s">
        <v>252</v>
      </c>
      <c r="G1650">
        <v>7.0735999999999999</v>
      </c>
      <c r="H1650">
        <v>-75.148099999999999</v>
      </c>
      <c r="I1650" t="s">
        <v>222</v>
      </c>
      <c r="J1650">
        <v>11</v>
      </c>
      <c r="M1650">
        <v>147</v>
      </c>
      <c r="N1650">
        <v>32</v>
      </c>
      <c r="O1650">
        <v>18</v>
      </c>
      <c r="P1650">
        <v>34</v>
      </c>
      <c r="Q1650">
        <v>28</v>
      </c>
      <c r="R1650">
        <v>49</v>
      </c>
    </row>
    <row r="1651" spans="1:18" x14ac:dyDescent="0.25">
      <c r="A1651" t="s">
        <v>1756</v>
      </c>
      <c r="B1651" t="s">
        <v>55</v>
      </c>
      <c r="C1651" t="s">
        <v>1729</v>
      </c>
      <c r="D1651" t="s">
        <v>1730</v>
      </c>
      <c r="E1651" t="s">
        <v>78</v>
      </c>
      <c r="F1651" t="s">
        <v>252</v>
      </c>
      <c r="G1651">
        <v>7.0735999999999999</v>
      </c>
      <c r="H1651">
        <v>-75.148099999999999</v>
      </c>
      <c r="I1651" t="s">
        <v>222</v>
      </c>
      <c r="J1651">
        <v>11</v>
      </c>
      <c r="M1651">
        <v>146</v>
      </c>
      <c r="N1651">
        <v>39</v>
      </c>
      <c r="O1651">
        <v>20</v>
      </c>
      <c r="P1651">
        <v>26</v>
      </c>
      <c r="Q1651">
        <v>29</v>
      </c>
      <c r="R1651">
        <v>36</v>
      </c>
    </row>
    <row r="1652" spans="1:18" x14ac:dyDescent="0.25">
      <c r="A1652" t="s">
        <v>1757</v>
      </c>
      <c r="B1652" t="s">
        <v>55</v>
      </c>
      <c r="C1652" t="s">
        <v>1729</v>
      </c>
      <c r="D1652" t="s">
        <v>1730</v>
      </c>
      <c r="E1652" t="s">
        <v>78</v>
      </c>
      <c r="F1652" t="s">
        <v>252</v>
      </c>
      <c r="G1652">
        <v>7.0735999999999999</v>
      </c>
      <c r="H1652">
        <v>-75.148099999999999</v>
      </c>
      <c r="I1652" t="s">
        <v>222</v>
      </c>
      <c r="J1652">
        <v>11</v>
      </c>
      <c r="M1652">
        <v>133</v>
      </c>
      <c r="N1652">
        <v>24</v>
      </c>
      <c r="O1652">
        <v>24</v>
      </c>
      <c r="P1652">
        <v>30</v>
      </c>
      <c r="Q1652">
        <v>24</v>
      </c>
      <c r="R1652">
        <v>38</v>
      </c>
    </row>
    <row r="1653" spans="1:18" x14ac:dyDescent="0.25">
      <c r="A1653" t="s">
        <v>1758</v>
      </c>
      <c r="B1653" t="s">
        <v>55</v>
      </c>
      <c r="C1653" t="s">
        <v>1759</v>
      </c>
      <c r="D1653" t="s">
        <v>1760</v>
      </c>
      <c r="E1653" t="s">
        <v>78</v>
      </c>
      <c r="F1653" t="s">
        <v>252</v>
      </c>
      <c r="G1653">
        <v>6.4913999999999996</v>
      </c>
      <c r="H1653">
        <v>-74.405799999999999</v>
      </c>
      <c r="I1653" t="s">
        <v>1761</v>
      </c>
      <c r="J1653">
        <v>11</v>
      </c>
      <c r="M1653">
        <v>195</v>
      </c>
      <c r="N1653">
        <v>46</v>
      </c>
      <c r="O1653">
        <v>20</v>
      </c>
      <c r="P1653">
        <v>54</v>
      </c>
      <c r="Q1653">
        <v>34</v>
      </c>
      <c r="R1653">
        <v>42</v>
      </c>
    </row>
    <row r="1654" spans="1:18" x14ac:dyDescent="0.25">
      <c r="A1654" t="s">
        <v>1762</v>
      </c>
      <c r="B1654" t="s">
        <v>55</v>
      </c>
      <c r="C1654" t="s">
        <v>1759</v>
      </c>
      <c r="D1654" t="s">
        <v>1760</v>
      </c>
      <c r="E1654" t="s">
        <v>78</v>
      </c>
      <c r="F1654" t="s">
        <v>252</v>
      </c>
      <c r="G1654">
        <v>6.4913999999999996</v>
      </c>
      <c r="H1654">
        <v>-74.405799999999999</v>
      </c>
      <c r="I1654" t="s">
        <v>1761</v>
      </c>
      <c r="J1654">
        <v>11</v>
      </c>
      <c r="M1654">
        <v>192</v>
      </c>
      <c r="N1654">
        <v>51</v>
      </c>
      <c r="O1654">
        <v>24</v>
      </c>
      <c r="P1654">
        <v>44</v>
      </c>
      <c r="Q1654">
        <v>29</v>
      </c>
      <c r="R1654">
        <v>53</v>
      </c>
    </row>
    <row r="1655" spans="1:18" x14ac:dyDescent="0.25">
      <c r="A1655" t="s">
        <v>1763</v>
      </c>
      <c r="B1655" t="s">
        <v>55</v>
      </c>
      <c r="C1655" t="s">
        <v>1759</v>
      </c>
      <c r="D1655" t="s">
        <v>1760</v>
      </c>
      <c r="E1655" t="s">
        <v>78</v>
      </c>
      <c r="F1655" t="s">
        <v>252</v>
      </c>
      <c r="G1655">
        <v>6.4913999999999996</v>
      </c>
      <c r="H1655">
        <v>-74.405799999999999</v>
      </c>
      <c r="I1655" t="s">
        <v>1761</v>
      </c>
      <c r="J1655">
        <v>11</v>
      </c>
      <c r="M1655">
        <v>190</v>
      </c>
      <c r="N1655">
        <v>66</v>
      </c>
      <c r="O1655">
        <v>30</v>
      </c>
      <c r="P1655">
        <v>38</v>
      </c>
      <c r="Q1655">
        <v>17</v>
      </c>
      <c r="R1655">
        <v>42</v>
      </c>
    </row>
    <row r="1656" spans="1:18" x14ac:dyDescent="0.25">
      <c r="A1656" t="s">
        <v>1764</v>
      </c>
      <c r="B1656" t="s">
        <v>55</v>
      </c>
      <c r="C1656" t="s">
        <v>1759</v>
      </c>
      <c r="D1656" t="s">
        <v>1760</v>
      </c>
      <c r="E1656" t="s">
        <v>78</v>
      </c>
      <c r="F1656" t="s">
        <v>252</v>
      </c>
      <c r="G1656">
        <v>6.4913999999999996</v>
      </c>
      <c r="H1656">
        <v>-74.405799999999999</v>
      </c>
      <c r="I1656" t="s">
        <v>1761</v>
      </c>
      <c r="J1656">
        <v>11</v>
      </c>
      <c r="M1656">
        <v>184</v>
      </c>
      <c r="N1656">
        <v>51</v>
      </c>
      <c r="O1656">
        <v>24</v>
      </c>
      <c r="P1656">
        <v>40</v>
      </c>
      <c r="Q1656">
        <v>28</v>
      </c>
      <c r="R1656">
        <v>49</v>
      </c>
    </row>
    <row r="1657" spans="1:18" x14ac:dyDescent="0.25">
      <c r="A1657" t="s">
        <v>1765</v>
      </c>
      <c r="B1657" t="s">
        <v>55</v>
      </c>
      <c r="C1657" t="s">
        <v>1759</v>
      </c>
      <c r="D1657" t="s">
        <v>1760</v>
      </c>
      <c r="E1657" t="s">
        <v>78</v>
      </c>
      <c r="F1657" t="s">
        <v>252</v>
      </c>
      <c r="G1657">
        <v>6.4913999999999996</v>
      </c>
      <c r="H1657">
        <v>-74.405799999999999</v>
      </c>
      <c r="I1657" t="s">
        <v>1761</v>
      </c>
      <c r="J1657">
        <v>11</v>
      </c>
      <c r="M1657">
        <v>176</v>
      </c>
      <c r="N1657">
        <v>49</v>
      </c>
      <c r="O1657">
        <v>16</v>
      </c>
      <c r="P1657">
        <v>38</v>
      </c>
      <c r="Q1657">
        <v>38</v>
      </c>
      <c r="R1657">
        <v>35</v>
      </c>
    </row>
    <row r="1658" spans="1:18" x14ac:dyDescent="0.25">
      <c r="A1658" t="s">
        <v>1766</v>
      </c>
      <c r="B1658" t="s">
        <v>55</v>
      </c>
      <c r="C1658" t="s">
        <v>1759</v>
      </c>
      <c r="D1658" t="s">
        <v>1760</v>
      </c>
      <c r="E1658" t="s">
        <v>78</v>
      </c>
      <c r="F1658" t="s">
        <v>252</v>
      </c>
      <c r="G1658">
        <v>6.4913999999999996</v>
      </c>
      <c r="H1658">
        <v>-74.405799999999999</v>
      </c>
      <c r="I1658" t="s">
        <v>1761</v>
      </c>
      <c r="J1658">
        <v>11</v>
      </c>
      <c r="M1658">
        <v>163</v>
      </c>
      <c r="N1658">
        <v>29</v>
      </c>
      <c r="O1658">
        <v>28</v>
      </c>
      <c r="P1658">
        <v>48</v>
      </c>
      <c r="Q1658">
        <v>22</v>
      </c>
      <c r="R1658">
        <v>42</v>
      </c>
    </row>
    <row r="1659" spans="1:18" x14ac:dyDescent="0.25">
      <c r="A1659" t="s">
        <v>1767</v>
      </c>
      <c r="B1659" t="s">
        <v>55</v>
      </c>
      <c r="C1659" t="s">
        <v>1759</v>
      </c>
      <c r="D1659" t="s">
        <v>1760</v>
      </c>
      <c r="E1659" t="s">
        <v>78</v>
      </c>
      <c r="F1659" t="s">
        <v>252</v>
      </c>
      <c r="G1659">
        <v>6.4913999999999996</v>
      </c>
      <c r="H1659">
        <v>-74.405799999999999</v>
      </c>
      <c r="I1659" t="s">
        <v>1761</v>
      </c>
      <c r="J1659">
        <v>11</v>
      </c>
      <c r="M1659">
        <v>163</v>
      </c>
      <c r="N1659">
        <v>37</v>
      </c>
      <c r="O1659">
        <v>36</v>
      </c>
      <c r="P1659">
        <v>30</v>
      </c>
      <c r="Q1659">
        <v>29</v>
      </c>
      <c r="R1659">
        <v>29</v>
      </c>
    </row>
    <row r="1660" spans="1:18" x14ac:dyDescent="0.25">
      <c r="A1660" t="s">
        <v>1768</v>
      </c>
      <c r="B1660" t="s">
        <v>55</v>
      </c>
      <c r="C1660" t="s">
        <v>1759</v>
      </c>
      <c r="D1660" t="s">
        <v>1760</v>
      </c>
      <c r="E1660" t="s">
        <v>78</v>
      </c>
      <c r="F1660" t="s">
        <v>252</v>
      </c>
      <c r="G1660">
        <v>6.4913999999999996</v>
      </c>
      <c r="H1660">
        <v>-74.405799999999999</v>
      </c>
      <c r="I1660" t="s">
        <v>1761</v>
      </c>
      <c r="J1660">
        <v>11</v>
      </c>
      <c r="M1660">
        <v>158</v>
      </c>
      <c r="N1660">
        <v>29</v>
      </c>
      <c r="O1660">
        <v>28</v>
      </c>
      <c r="P1660">
        <v>36</v>
      </c>
      <c r="Q1660">
        <v>33</v>
      </c>
      <c r="R1660">
        <v>33</v>
      </c>
    </row>
    <row r="1661" spans="1:18" x14ac:dyDescent="0.25">
      <c r="A1661" t="s">
        <v>1769</v>
      </c>
      <c r="B1661" t="s">
        <v>55</v>
      </c>
      <c r="C1661" t="s">
        <v>1759</v>
      </c>
      <c r="D1661" t="s">
        <v>1760</v>
      </c>
      <c r="E1661" t="s">
        <v>78</v>
      </c>
      <c r="F1661" t="s">
        <v>252</v>
      </c>
      <c r="G1661">
        <v>6.4913999999999996</v>
      </c>
      <c r="H1661">
        <v>-74.405799999999999</v>
      </c>
      <c r="I1661" t="s">
        <v>1761</v>
      </c>
      <c r="J1661">
        <v>11</v>
      </c>
      <c r="M1661">
        <v>151</v>
      </c>
      <c r="N1661">
        <v>34</v>
      </c>
      <c r="O1661">
        <v>28</v>
      </c>
      <c r="P1661">
        <v>30</v>
      </c>
      <c r="Q1661">
        <v>26</v>
      </c>
      <c r="R1661">
        <v>38</v>
      </c>
    </row>
    <row r="1662" spans="1:18" x14ac:dyDescent="0.25">
      <c r="A1662" t="s">
        <v>1770</v>
      </c>
      <c r="B1662" t="s">
        <v>55</v>
      </c>
      <c r="C1662" t="s">
        <v>1759</v>
      </c>
      <c r="D1662" t="s">
        <v>1760</v>
      </c>
      <c r="E1662" t="s">
        <v>78</v>
      </c>
      <c r="F1662" t="s">
        <v>252</v>
      </c>
      <c r="G1662">
        <v>6.4913999999999996</v>
      </c>
      <c r="H1662">
        <v>-74.405799999999999</v>
      </c>
      <c r="I1662" t="s">
        <v>1761</v>
      </c>
      <c r="J1662">
        <v>11</v>
      </c>
      <c r="M1662">
        <v>149</v>
      </c>
      <c r="N1662">
        <v>32</v>
      </c>
      <c r="O1662">
        <v>30</v>
      </c>
      <c r="P1662">
        <v>38</v>
      </c>
      <c r="Q1662">
        <v>22</v>
      </c>
      <c r="R1662">
        <v>22</v>
      </c>
    </row>
    <row r="1663" spans="1:18" x14ac:dyDescent="0.25">
      <c r="A1663" t="s">
        <v>1771</v>
      </c>
      <c r="B1663" t="s">
        <v>55</v>
      </c>
      <c r="C1663" t="s">
        <v>1759</v>
      </c>
      <c r="D1663" t="s">
        <v>1760</v>
      </c>
      <c r="E1663" t="s">
        <v>78</v>
      </c>
      <c r="F1663" t="s">
        <v>252</v>
      </c>
      <c r="G1663">
        <v>6.4913999999999996</v>
      </c>
      <c r="H1663">
        <v>-74.405799999999999</v>
      </c>
      <c r="I1663" t="s">
        <v>1761</v>
      </c>
      <c r="J1663">
        <v>11</v>
      </c>
      <c r="M1663">
        <v>149</v>
      </c>
      <c r="N1663">
        <v>44</v>
      </c>
      <c r="O1663">
        <v>22</v>
      </c>
      <c r="P1663">
        <v>22</v>
      </c>
      <c r="Q1663">
        <v>31</v>
      </c>
      <c r="R1663">
        <v>31</v>
      </c>
    </row>
    <row r="1664" spans="1:18" x14ac:dyDescent="0.25">
      <c r="A1664" t="s">
        <v>1772</v>
      </c>
      <c r="B1664" t="s">
        <v>55</v>
      </c>
      <c r="C1664" t="s">
        <v>1759</v>
      </c>
      <c r="D1664" t="s">
        <v>1760</v>
      </c>
      <c r="E1664" t="s">
        <v>78</v>
      </c>
      <c r="F1664" t="s">
        <v>252</v>
      </c>
      <c r="G1664">
        <v>6.4913999999999996</v>
      </c>
      <c r="H1664">
        <v>-74.405799999999999</v>
      </c>
      <c r="I1664" t="s">
        <v>1761</v>
      </c>
      <c r="J1664">
        <v>11</v>
      </c>
      <c r="M1664">
        <v>149</v>
      </c>
      <c r="N1664">
        <v>32</v>
      </c>
      <c r="O1664">
        <v>32</v>
      </c>
      <c r="P1664">
        <v>28</v>
      </c>
      <c r="Q1664">
        <v>21</v>
      </c>
      <c r="R1664">
        <v>49</v>
      </c>
    </row>
    <row r="1665" spans="1:18" x14ac:dyDescent="0.25">
      <c r="A1665" t="s">
        <v>1773</v>
      </c>
      <c r="B1665" t="s">
        <v>55</v>
      </c>
      <c r="C1665" t="s">
        <v>1759</v>
      </c>
      <c r="D1665" t="s">
        <v>1760</v>
      </c>
      <c r="E1665" t="s">
        <v>78</v>
      </c>
      <c r="F1665" t="s">
        <v>252</v>
      </c>
      <c r="G1665">
        <v>6.4913999999999996</v>
      </c>
      <c r="H1665">
        <v>-74.405799999999999</v>
      </c>
      <c r="I1665" t="s">
        <v>1761</v>
      </c>
      <c r="J1665">
        <v>11</v>
      </c>
      <c r="M1665">
        <v>141</v>
      </c>
      <c r="N1665">
        <v>22</v>
      </c>
      <c r="O1665">
        <v>40</v>
      </c>
      <c r="P1665">
        <v>28</v>
      </c>
      <c r="Q1665">
        <v>22</v>
      </c>
      <c r="R1665">
        <v>29</v>
      </c>
    </row>
    <row r="1666" spans="1:18" x14ac:dyDescent="0.25">
      <c r="A1666" t="s">
        <v>1774</v>
      </c>
      <c r="B1666" t="s">
        <v>55</v>
      </c>
      <c r="C1666" t="s">
        <v>1759</v>
      </c>
      <c r="D1666" t="s">
        <v>1760</v>
      </c>
      <c r="E1666" t="s">
        <v>78</v>
      </c>
      <c r="F1666" t="s">
        <v>252</v>
      </c>
      <c r="G1666">
        <v>6.4913999999999996</v>
      </c>
      <c r="H1666">
        <v>-74.405799999999999</v>
      </c>
      <c r="I1666" t="s">
        <v>1761</v>
      </c>
      <c r="J1666">
        <v>11</v>
      </c>
      <c r="M1666">
        <v>141</v>
      </c>
      <c r="N1666">
        <v>17</v>
      </c>
      <c r="O1666">
        <v>34</v>
      </c>
      <c r="P1666">
        <v>26</v>
      </c>
      <c r="Q1666">
        <v>34</v>
      </c>
      <c r="R1666">
        <v>31</v>
      </c>
    </row>
    <row r="1667" spans="1:18" x14ac:dyDescent="0.25">
      <c r="A1667" t="s">
        <v>1775</v>
      </c>
      <c r="B1667" t="s">
        <v>55</v>
      </c>
      <c r="C1667" t="s">
        <v>1759</v>
      </c>
      <c r="D1667" t="s">
        <v>1760</v>
      </c>
      <c r="E1667" t="s">
        <v>78</v>
      </c>
      <c r="F1667" t="s">
        <v>252</v>
      </c>
      <c r="G1667">
        <v>6.4913999999999996</v>
      </c>
      <c r="H1667">
        <v>-74.405799999999999</v>
      </c>
      <c r="I1667" t="s">
        <v>1761</v>
      </c>
      <c r="J1667">
        <v>11</v>
      </c>
      <c r="M1667">
        <v>139</v>
      </c>
      <c r="N1667">
        <v>27</v>
      </c>
      <c r="O1667">
        <v>16</v>
      </c>
      <c r="P1667">
        <v>34</v>
      </c>
      <c r="Q1667">
        <v>31</v>
      </c>
      <c r="R1667">
        <v>38</v>
      </c>
    </row>
    <row r="1668" spans="1:18" x14ac:dyDescent="0.25">
      <c r="A1668" t="s">
        <v>1776</v>
      </c>
      <c r="B1668" t="s">
        <v>55</v>
      </c>
      <c r="C1668" t="s">
        <v>1759</v>
      </c>
      <c r="D1668" t="s">
        <v>1760</v>
      </c>
      <c r="E1668" t="s">
        <v>78</v>
      </c>
      <c r="F1668" t="s">
        <v>252</v>
      </c>
      <c r="G1668">
        <v>6.4913999999999996</v>
      </c>
      <c r="H1668">
        <v>-74.405799999999999</v>
      </c>
      <c r="I1668" t="s">
        <v>1761</v>
      </c>
      <c r="J1668">
        <v>11</v>
      </c>
      <c r="M1668">
        <v>139</v>
      </c>
      <c r="N1668">
        <v>17</v>
      </c>
      <c r="O1668">
        <v>34</v>
      </c>
      <c r="P1668">
        <v>38</v>
      </c>
      <c r="Q1668">
        <v>24</v>
      </c>
      <c r="R1668">
        <v>22</v>
      </c>
    </row>
    <row r="1669" spans="1:18" x14ac:dyDescent="0.25">
      <c r="A1669" t="s">
        <v>1777</v>
      </c>
      <c r="B1669" t="s">
        <v>55</v>
      </c>
      <c r="C1669" t="s">
        <v>1759</v>
      </c>
      <c r="D1669" t="s">
        <v>1760</v>
      </c>
      <c r="E1669" t="s">
        <v>78</v>
      </c>
      <c r="F1669" t="s">
        <v>252</v>
      </c>
      <c r="G1669">
        <v>6.4913999999999996</v>
      </c>
      <c r="H1669">
        <v>-74.405799999999999</v>
      </c>
      <c r="I1669" t="s">
        <v>1761</v>
      </c>
      <c r="J1669">
        <v>11</v>
      </c>
      <c r="M1669">
        <v>138</v>
      </c>
      <c r="N1669">
        <v>32</v>
      </c>
      <c r="O1669">
        <v>28</v>
      </c>
      <c r="P1669">
        <v>26</v>
      </c>
      <c r="Q1669">
        <v>22</v>
      </c>
      <c r="R1669">
        <v>35</v>
      </c>
    </row>
    <row r="1670" spans="1:18" x14ac:dyDescent="0.25">
      <c r="A1670" t="s">
        <v>1778</v>
      </c>
      <c r="B1670" t="s">
        <v>55</v>
      </c>
      <c r="C1670" t="s">
        <v>1759</v>
      </c>
      <c r="D1670" t="s">
        <v>1760</v>
      </c>
      <c r="E1670" t="s">
        <v>78</v>
      </c>
      <c r="F1670" t="s">
        <v>252</v>
      </c>
      <c r="G1670">
        <v>6.4913999999999996</v>
      </c>
      <c r="H1670">
        <v>-74.405799999999999</v>
      </c>
      <c r="I1670" t="s">
        <v>1761</v>
      </c>
      <c r="J1670">
        <v>11</v>
      </c>
      <c r="M1670">
        <v>137</v>
      </c>
      <c r="N1670">
        <v>27</v>
      </c>
      <c r="O1670">
        <v>28</v>
      </c>
      <c r="P1670">
        <v>22</v>
      </c>
      <c r="Q1670">
        <v>31</v>
      </c>
      <c r="R1670">
        <v>33</v>
      </c>
    </row>
    <row r="1671" spans="1:18" x14ac:dyDescent="0.25">
      <c r="A1671" t="s">
        <v>1779</v>
      </c>
      <c r="B1671" t="s">
        <v>55</v>
      </c>
      <c r="C1671" t="s">
        <v>1759</v>
      </c>
      <c r="D1671" t="s">
        <v>1760</v>
      </c>
      <c r="E1671" t="s">
        <v>78</v>
      </c>
      <c r="F1671" t="s">
        <v>252</v>
      </c>
      <c r="G1671">
        <v>6.4913999999999996</v>
      </c>
      <c r="H1671">
        <v>-74.405799999999999</v>
      </c>
      <c r="I1671" t="s">
        <v>1761</v>
      </c>
      <c r="J1671">
        <v>11</v>
      </c>
      <c r="M1671">
        <v>137</v>
      </c>
      <c r="N1671">
        <v>44</v>
      </c>
      <c r="O1671">
        <v>20</v>
      </c>
      <c r="P1671">
        <v>24</v>
      </c>
      <c r="Q1671">
        <v>24</v>
      </c>
      <c r="R1671">
        <v>20</v>
      </c>
    </row>
    <row r="1672" spans="1:18" x14ac:dyDescent="0.25">
      <c r="A1672" t="s">
        <v>1780</v>
      </c>
      <c r="B1672" t="s">
        <v>55</v>
      </c>
      <c r="C1672" t="s">
        <v>1759</v>
      </c>
      <c r="D1672" t="s">
        <v>1760</v>
      </c>
      <c r="E1672" t="s">
        <v>78</v>
      </c>
      <c r="F1672" t="s">
        <v>252</v>
      </c>
      <c r="G1672">
        <v>6.4913999999999996</v>
      </c>
      <c r="H1672">
        <v>-74.405799999999999</v>
      </c>
      <c r="I1672" t="s">
        <v>1761</v>
      </c>
      <c r="J1672">
        <v>11</v>
      </c>
      <c r="M1672">
        <v>137</v>
      </c>
      <c r="N1672">
        <v>29</v>
      </c>
      <c r="O1672">
        <v>34</v>
      </c>
      <c r="P1672">
        <v>26</v>
      </c>
      <c r="Q1672">
        <v>22</v>
      </c>
      <c r="R1672">
        <v>20</v>
      </c>
    </row>
    <row r="1673" spans="1:18" x14ac:dyDescent="0.25">
      <c r="A1673" t="s">
        <v>1781</v>
      </c>
      <c r="B1673" t="s">
        <v>55</v>
      </c>
      <c r="C1673" t="s">
        <v>1759</v>
      </c>
      <c r="D1673" t="s">
        <v>1760</v>
      </c>
      <c r="E1673" t="s">
        <v>78</v>
      </c>
      <c r="F1673" t="s">
        <v>252</v>
      </c>
      <c r="G1673">
        <v>6.4913999999999996</v>
      </c>
      <c r="H1673">
        <v>-74.405799999999999</v>
      </c>
      <c r="I1673" t="s">
        <v>1761</v>
      </c>
      <c r="J1673">
        <v>11</v>
      </c>
      <c r="M1673">
        <v>135</v>
      </c>
      <c r="N1673">
        <v>44</v>
      </c>
      <c r="O1673">
        <v>22</v>
      </c>
      <c r="P1673">
        <v>20</v>
      </c>
      <c r="Q1673">
        <v>22</v>
      </c>
      <c r="R1673">
        <v>25</v>
      </c>
    </row>
    <row r="1674" spans="1:18" x14ac:dyDescent="0.25">
      <c r="A1674" t="s">
        <v>1782</v>
      </c>
      <c r="B1674" t="s">
        <v>55</v>
      </c>
      <c r="C1674" t="s">
        <v>1759</v>
      </c>
      <c r="D1674" t="s">
        <v>1760</v>
      </c>
      <c r="E1674" t="s">
        <v>78</v>
      </c>
      <c r="F1674" t="s">
        <v>252</v>
      </c>
      <c r="G1674">
        <v>6.4913999999999996</v>
      </c>
      <c r="H1674">
        <v>-74.405799999999999</v>
      </c>
      <c r="I1674" t="s">
        <v>1761</v>
      </c>
      <c r="J1674">
        <v>11</v>
      </c>
      <c r="M1674">
        <v>130</v>
      </c>
      <c r="N1674">
        <v>27</v>
      </c>
      <c r="O1674">
        <v>38</v>
      </c>
      <c r="P1674">
        <v>22</v>
      </c>
      <c r="Q1674">
        <v>19</v>
      </c>
      <c r="R1674">
        <v>22</v>
      </c>
    </row>
    <row r="1675" spans="1:18" x14ac:dyDescent="0.25">
      <c r="A1675" t="s">
        <v>1783</v>
      </c>
      <c r="B1675" t="s">
        <v>55</v>
      </c>
      <c r="C1675" t="s">
        <v>1759</v>
      </c>
      <c r="D1675" t="s">
        <v>1760</v>
      </c>
      <c r="E1675" t="s">
        <v>78</v>
      </c>
      <c r="F1675" t="s">
        <v>252</v>
      </c>
      <c r="G1675">
        <v>6.4913999999999996</v>
      </c>
      <c r="H1675">
        <v>-74.405799999999999</v>
      </c>
      <c r="I1675" t="s">
        <v>1761</v>
      </c>
      <c r="J1675">
        <v>11</v>
      </c>
      <c r="M1675">
        <v>130</v>
      </c>
      <c r="N1675">
        <v>29</v>
      </c>
      <c r="O1675">
        <v>26</v>
      </c>
      <c r="P1675">
        <v>26</v>
      </c>
      <c r="Q1675">
        <v>21</v>
      </c>
      <c r="R1675">
        <v>33</v>
      </c>
    </row>
    <row r="1676" spans="1:18" x14ac:dyDescent="0.25">
      <c r="A1676" t="s">
        <v>1784</v>
      </c>
      <c r="B1676" t="s">
        <v>55</v>
      </c>
      <c r="C1676" t="s">
        <v>1759</v>
      </c>
      <c r="D1676" t="s">
        <v>1760</v>
      </c>
      <c r="E1676" t="s">
        <v>78</v>
      </c>
      <c r="F1676" t="s">
        <v>252</v>
      </c>
      <c r="G1676">
        <v>6.4913999999999996</v>
      </c>
      <c r="H1676">
        <v>-74.405799999999999</v>
      </c>
      <c r="I1676" t="s">
        <v>1761</v>
      </c>
      <c r="J1676">
        <v>11</v>
      </c>
      <c r="M1676">
        <v>122</v>
      </c>
      <c r="N1676">
        <v>22</v>
      </c>
      <c r="O1676">
        <v>24</v>
      </c>
      <c r="P1676">
        <v>34</v>
      </c>
      <c r="Q1676">
        <v>14</v>
      </c>
      <c r="R1676">
        <v>36</v>
      </c>
    </row>
    <row r="1677" spans="1:18" x14ac:dyDescent="0.25">
      <c r="A1677" t="s">
        <v>1785</v>
      </c>
      <c r="B1677" t="s">
        <v>55</v>
      </c>
      <c r="C1677" t="s">
        <v>1759</v>
      </c>
      <c r="D1677" t="s">
        <v>1760</v>
      </c>
      <c r="E1677" t="s">
        <v>78</v>
      </c>
      <c r="F1677" t="s">
        <v>252</v>
      </c>
      <c r="G1677">
        <v>6.4913999999999996</v>
      </c>
      <c r="H1677">
        <v>-74.405799999999999</v>
      </c>
      <c r="I1677" t="s">
        <v>1761</v>
      </c>
      <c r="J1677">
        <v>11</v>
      </c>
      <c r="M1677">
        <v>120</v>
      </c>
      <c r="N1677">
        <v>20</v>
      </c>
      <c r="O1677">
        <v>30</v>
      </c>
      <c r="P1677">
        <v>26</v>
      </c>
      <c r="Q1677">
        <v>21</v>
      </c>
      <c r="R1677">
        <v>24</v>
      </c>
    </row>
    <row r="1678" spans="1:18" x14ac:dyDescent="0.25">
      <c r="A1678" t="s">
        <v>1786</v>
      </c>
      <c r="B1678" t="s">
        <v>55</v>
      </c>
      <c r="C1678" t="s">
        <v>1759</v>
      </c>
      <c r="D1678" t="s">
        <v>1760</v>
      </c>
      <c r="E1678" t="s">
        <v>78</v>
      </c>
      <c r="F1678" t="s">
        <v>252</v>
      </c>
      <c r="G1678">
        <v>6.4913999999999996</v>
      </c>
      <c r="H1678">
        <v>-74.405799999999999</v>
      </c>
      <c r="I1678" t="s">
        <v>1761</v>
      </c>
      <c r="J1678">
        <v>11</v>
      </c>
      <c r="M1678">
        <v>118</v>
      </c>
      <c r="N1678">
        <v>29</v>
      </c>
      <c r="O1678">
        <v>26</v>
      </c>
      <c r="P1678">
        <v>18</v>
      </c>
      <c r="Q1678">
        <v>21</v>
      </c>
      <c r="R1678">
        <v>25</v>
      </c>
    </row>
    <row r="1679" spans="1:18" x14ac:dyDescent="0.25">
      <c r="A1679" t="s">
        <v>1787</v>
      </c>
      <c r="B1679" t="s">
        <v>55</v>
      </c>
      <c r="C1679" t="s">
        <v>1759</v>
      </c>
      <c r="D1679" t="s">
        <v>1760</v>
      </c>
      <c r="E1679" t="s">
        <v>78</v>
      </c>
      <c r="F1679" t="s">
        <v>252</v>
      </c>
      <c r="G1679">
        <v>6.4913999999999996</v>
      </c>
      <c r="H1679">
        <v>-74.405799999999999</v>
      </c>
      <c r="I1679" t="s">
        <v>1761</v>
      </c>
      <c r="J1679">
        <v>11</v>
      </c>
      <c r="M1679">
        <v>114</v>
      </c>
      <c r="N1679">
        <v>34</v>
      </c>
      <c r="O1679">
        <v>26</v>
      </c>
      <c r="P1679">
        <v>18</v>
      </c>
      <c r="Q1679">
        <v>10</v>
      </c>
      <c r="R1679">
        <v>31</v>
      </c>
    </row>
    <row r="1680" spans="1:18" x14ac:dyDescent="0.25">
      <c r="A1680" t="s">
        <v>1788</v>
      </c>
      <c r="B1680" t="s">
        <v>55</v>
      </c>
      <c r="C1680" t="s">
        <v>1759</v>
      </c>
      <c r="D1680" t="s">
        <v>1760</v>
      </c>
      <c r="E1680" t="s">
        <v>78</v>
      </c>
      <c r="F1680" t="s">
        <v>252</v>
      </c>
      <c r="G1680">
        <v>6.4913999999999996</v>
      </c>
      <c r="H1680">
        <v>-74.405799999999999</v>
      </c>
      <c r="I1680" t="s">
        <v>1761</v>
      </c>
      <c r="J1680">
        <v>11</v>
      </c>
      <c r="M1680">
        <v>114</v>
      </c>
      <c r="N1680">
        <v>12</v>
      </c>
      <c r="O1680">
        <v>26</v>
      </c>
      <c r="P1680">
        <v>20</v>
      </c>
      <c r="Q1680">
        <v>29</v>
      </c>
      <c r="R1680">
        <v>33</v>
      </c>
    </row>
    <row r="1681" spans="1:18" x14ac:dyDescent="0.25">
      <c r="A1681" t="s">
        <v>1789</v>
      </c>
      <c r="B1681" t="s">
        <v>55</v>
      </c>
      <c r="C1681" t="s">
        <v>1759</v>
      </c>
      <c r="D1681" t="s">
        <v>1760</v>
      </c>
      <c r="E1681" t="s">
        <v>78</v>
      </c>
      <c r="F1681" t="s">
        <v>252</v>
      </c>
      <c r="G1681">
        <v>6.4913999999999996</v>
      </c>
      <c r="H1681">
        <v>-74.405799999999999</v>
      </c>
      <c r="I1681" t="s">
        <v>1761</v>
      </c>
      <c r="J1681">
        <v>11</v>
      </c>
      <c r="M1681">
        <v>95</v>
      </c>
      <c r="N1681">
        <v>17</v>
      </c>
      <c r="O1681">
        <v>8</v>
      </c>
      <c r="P1681">
        <v>22</v>
      </c>
      <c r="Q1681">
        <v>22</v>
      </c>
      <c r="R1681">
        <v>38</v>
      </c>
    </row>
    <row r="1682" spans="1:18" x14ac:dyDescent="0.25">
      <c r="A1682" t="s">
        <v>1790</v>
      </c>
      <c r="B1682" t="s">
        <v>55</v>
      </c>
      <c r="C1682" t="s">
        <v>1759</v>
      </c>
      <c r="D1682" t="s">
        <v>1760</v>
      </c>
      <c r="E1682" t="s">
        <v>78</v>
      </c>
      <c r="F1682" t="s">
        <v>252</v>
      </c>
      <c r="G1682">
        <v>6.4913999999999996</v>
      </c>
      <c r="H1682">
        <v>-74.405799999999999</v>
      </c>
      <c r="I1682" t="s">
        <v>1761</v>
      </c>
      <c r="J1682">
        <v>11</v>
      </c>
      <c r="M1682">
        <v>92</v>
      </c>
      <c r="N1682">
        <v>27</v>
      </c>
      <c r="O1682">
        <v>10</v>
      </c>
      <c r="P1682">
        <v>26</v>
      </c>
      <c r="Q1682">
        <v>17</v>
      </c>
      <c r="R1682">
        <v>0</v>
      </c>
    </row>
    <row r="1683" spans="1:18" x14ac:dyDescent="0.25">
      <c r="A1683" t="s">
        <v>1791</v>
      </c>
      <c r="B1683" t="s">
        <v>55</v>
      </c>
      <c r="C1683" t="s">
        <v>1759</v>
      </c>
      <c r="D1683" t="s">
        <v>1760</v>
      </c>
      <c r="E1683" t="s">
        <v>78</v>
      </c>
      <c r="F1683" t="s">
        <v>252</v>
      </c>
      <c r="G1683">
        <v>6.4913999999999996</v>
      </c>
      <c r="H1683">
        <v>-74.405799999999999</v>
      </c>
      <c r="I1683" t="s">
        <v>1761</v>
      </c>
      <c r="J1683">
        <v>11</v>
      </c>
      <c r="M1683">
        <v>89</v>
      </c>
      <c r="N1683">
        <v>37</v>
      </c>
      <c r="O1683">
        <v>18</v>
      </c>
      <c r="P1683">
        <v>16</v>
      </c>
      <c r="Q1683">
        <v>7</v>
      </c>
      <c r="R1683">
        <v>0</v>
      </c>
    </row>
    <row r="1684" spans="1:18" x14ac:dyDescent="0.25">
      <c r="A1684" t="s">
        <v>1792</v>
      </c>
      <c r="B1684" t="s">
        <v>55</v>
      </c>
      <c r="C1684" t="s">
        <v>1759</v>
      </c>
      <c r="D1684" t="s">
        <v>1760</v>
      </c>
      <c r="E1684" t="s">
        <v>78</v>
      </c>
      <c r="F1684" t="s">
        <v>252</v>
      </c>
      <c r="G1684">
        <v>6.4913999999999996</v>
      </c>
      <c r="H1684">
        <v>-74.405799999999999</v>
      </c>
      <c r="I1684" t="s">
        <v>1761</v>
      </c>
      <c r="J1684">
        <v>11</v>
      </c>
      <c r="M1684">
        <v>75</v>
      </c>
      <c r="N1684">
        <v>29</v>
      </c>
      <c r="O1684">
        <v>14</v>
      </c>
      <c r="P1684">
        <v>8</v>
      </c>
      <c r="Q1684">
        <v>14</v>
      </c>
      <c r="R1684">
        <v>0</v>
      </c>
    </row>
    <row r="1685" spans="1:18" x14ac:dyDescent="0.25">
      <c r="A1685" t="s">
        <v>1793</v>
      </c>
      <c r="B1685" t="s">
        <v>55</v>
      </c>
      <c r="C1685" t="s">
        <v>1759</v>
      </c>
      <c r="D1685" t="s">
        <v>1760</v>
      </c>
      <c r="E1685" t="s">
        <v>78</v>
      </c>
      <c r="F1685" t="s">
        <v>252</v>
      </c>
      <c r="G1685">
        <v>6.4913999999999996</v>
      </c>
      <c r="H1685">
        <v>-74.405799999999999</v>
      </c>
      <c r="I1685" t="s">
        <v>1761</v>
      </c>
      <c r="J1685">
        <v>11</v>
      </c>
      <c r="M1685">
        <v>60</v>
      </c>
      <c r="N1685">
        <v>22</v>
      </c>
      <c r="O1685">
        <v>12</v>
      </c>
      <c r="P1685">
        <v>8</v>
      </c>
      <c r="Q1685">
        <v>10</v>
      </c>
      <c r="R1685">
        <v>0</v>
      </c>
    </row>
    <row r="1686" spans="1:18" x14ac:dyDescent="0.25">
      <c r="A1686" t="s">
        <v>1794</v>
      </c>
      <c r="B1686" t="s">
        <v>55</v>
      </c>
      <c r="C1686" t="s">
        <v>1759</v>
      </c>
      <c r="D1686" t="s">
        <v>1760</v>
      </c>
      <c r="E1686" t="s">
        <v>78</v>
      </c>
      <c r="F1686" t="s">
        <v>252</v>
      </c>
      <c r="G1686">
        <v>6.4913999999999996</v>
      </c>
      <c r="H1686">
        <v>-74.405799999999999</v>
      </c>
      <c r="I1686" t="s">
        <v>1761</v>
      </c>
      <c r="J1686">
        <v>11</v>
      </c>
      <c r="M1686">
        <v>51</v>
      </c>
      <c r="N1686">
        <v>0</v>
      </c>
      <c r="O1686">
        <v>8</v>
      </c>
      <c r="P1686">
        <v>12</v>
      </c>
      <c r="Q1686">
        <v>7</v>
      </c>
      <c r="R1686">
        <v>53</v>
      </c>
    </row>
    <row r="1687" spans="1:18" x14ac:dyDescent="0.25">
      <c r="A1687" t="s">
        <v>1795</v>
      </c>
      <c r="B1687" t="s">
        <v>55</v>
      </c>
      <c r="C1687" t="s">
        <v>1796</v>
      </c>
      <c r="D1687" t="s">
        <v>1797</v>
      </c>
      <c r="E1687" t="s">
        <v>78</v>
      </c>
      <c r="F1687" t="s">
        <v>252</v>
      </c>
      <c r="G1687">
        <v>7.1108000000000002</v>
      </c>
      <c r="H1687">
        <v>-75.551100000000005</v>
      </c>
      <c r="I1687" t="s">
        <v>1798</v>
      </c>
      <c r="J1687">
        <v>11</v>
      </c>
      <c r="M1687">
        <v>242</v>
      </c>
      <c r="N1687">
        <v>59</v>
      </c>
      <c r="O1687">
        <v>34</v>
      </c>
      <c r="P1687">
        <v>56</v>
      </c>
      <c r="Q1687">
        <v>43</v>
      </c>
      <c r="R1687">
        <v>55</v>
      </c>
    </row>
    <row r="1688" spans="1:18" x14ac:dyDescent="0.25">
      <c r="A1688" t="s">
        <v>1799</v>
      </c>
      <c r="B1688" t="s">
        <v>55</v>
      </c>
      <c r="C1688" t="s">
        <v>1796</v>
      </c>
      <c r="D1688" t="s">
        <v>1797</v>
      </c>
      <c r="E1688" t="s">
        <v>78</v>
      </c>
      <c r="F1688" t="s">
        <v>252</v>
      </c>
      <c r="G1688">
        <v>7.1108000000000002</v>
      </c>
      <c r="H1688">
        <v>-75.551100000000005</v>
      </c>
      <c r="I1688" t="s">
        <v>1798</v>
      </c>
      <c r="J1688">
        <v>11</v>
      </c>
      <c r="M1688">
        <v>229</v>
      </c>
      <c r="N1688">
        <v>49</v>
      </c>
      <c r="O1688">
        <v>38</v>
      </c>
      <c r="P1688">
        <v>60</v>
      </c>
      <c r="Q1688">
        <v>36</v>
      </c>
      <c r="R1688">
        <v>47</v>
      </c>
    </row>
    <row r="1689" spans="1:18" x14ac:dyDescent="0.25">
      <c r="A1689" t="s">
        <v>1800</v>
      </c>
      <c r="B1689" t="s">
        <v>55</v>
      </c>
      <c r="C1689" t="s">
        <v>1796</v>
      </c>
      <c r="D1689" t="s">
        <v>1797</v>
      </c>
      <c r="E1689" t="s">
        <v>78</v>
      </c>
      <c r="F1689" t="s">
        <v>252</v>
      </c>
      <c r="G1689">
        <v>7.1108000000000002</v>
      </c>
      <c r="H1689">
        <v>-75.551100000000005</v>
      </c>
      <c r="I1689" t="s">
        <v>1798</v>
      </c>
      <c r="J1689">
        <v>11</v>
      </c>
      <c r="M1689">
        <v>206</v>
      </c>
      <c r="N1689">
        <v>51</v>
      </c>
      <c r="O1689">
        <v>32</v>
      </c>
      <c r="P1689">
        <v>48</v>
      </c>
      <c r="Q1689">
        <v>34</v>
      </c>
      <c r="R1689">
        <v>38</v>
      </c>
    </row>
    <row r="1690" spans="1:18" x14ac:dyDescent="0.25">
      <c r="A1690" t="s">
        <v>1801</v>
      </c>
      <c r="B1690" t="s">
        <v>55</v>
      </c>
      <c r="C1690" t="s">
        <v>1796</v>
      </c>
      <c r="D1690" t="s">
        <v>1797</v>
      </c>
      <c r="E1690" t="s">
        <v>78</v>
      </c>
      <c r="F1690" t="s">
        <v>252</v>
      </c>
      <c r="G1690">
        <v>7.1108000000000002</v>
      </c>
      <c r="H1690">
        <v>-75.551100000000005</v>
      </c>
      <c r="I1690" t="s">
        <v>1798</v>
      </c>
      <c r="J1690">
        <v>11</v>
      </c>
      <c r="M1690">
        <v>185</v>
      </c>
      <c r="N1690">
        <v>37</v>
      </c>
      <c r="O1690">
        <v>38</v>
      </c>
      <c r="P1690">
        <v>50</v>
      </c>
      <c r="Q1690">
        <v>24</v>
      </c>
      <c r="R1690">
        <v>35</v>
      </c>
    </row>
    <row r="1691" spans="1:18" x14ac:dyDescent="0.25">
      <c r="A1691" t="s">
        <v>1802</v>
      </c>
      <c r="B1691" t="s">
        <v>55</v>
      </c>
      <c r="C1691" t="s">
        <v>1796</v>
      </c>
      <c r="D1691" t="s">
        <v>1797</v>
      </c>
      <c r="E1691" t="s">
        <v>78</v>
      </c>
      <c r="F1691" t="s">
        <v>252</v>
      </c>
      <c r="G1691">
        <v>7.1108000000000002</v>
      </c>
      <c r="H1691">
        <v>-75.551100000000005</v>
      </c>
      <c r="I1691" t="s">
        <v>1798</v>
      </c>
      <c r="J1691">
        <v>11</v>
      </c>
      <c r="M1691">
        <v>184</v>
      </c>
      <c r="N1691">
        <v>34</v>
      </c>
      <c r="O1691">
        <v>28</v>
      </c>
      <c r="P1691">
        <v>58</v>
      </c>
      <c r="Q1691">
        <v>31</v>
      </c>
      <c r="R1691">
        <v>25</v>
      </c>
    </row>
    <row r="1692" spans="1:18" x14ac:dyDescent="0.25">
      <c r="A1692" t="s">
        <v>1803</v>
      </c>
      <c r="B1692" t="s">
        <v>55</v>
      </c>
      <c r="C1692" t="s">
        <v>1796</v>
      </c>
      <c r="D1692" t="s">
        <v>1797</v>
      </c>
      <c r="E1692" t="s">
        <v>78</v>
      </c>
      <c r="F1692" t="s">
        <v>252</v>
      </c>
      <c r="G1692">
        <v>7.1108000000000002</v>
      </c>
      <c r="H1692">
        <v>-75.551100000000005</v>
      </c>
      <c r="I1692" t="s">
        <v>1798</v>
      </c>
      <c r="J1692">
        <v>11</v>
      </c>
      <c r="M1692">
        <v>183</v>
      </c>
      <c r="N1692">
        <v>41</v>
      </c>
      <c r="O1692">
        <v>22</v>
      </c>
      <c r="P1692">
        <v>44</v>
      </c>
      <c r="Q1692">
        <v>36</v>
      </c>
      <c r="R1692">
        <v>44</v>
      </c>
    </row>
    <row r="1693" spans="1:18" x14ac:dyDescent="0.25">
      <c r="A1693" t="s">
        <v>1804</v>
      </c>
      <c r="B1693" t="s">
        <v>55</v>
      </c>
      <c r="C1693" t="s">
        <v>1796</v>
      </c>
      <c r="D1693" t="s">
        <v>1797</v>
      </c>
      <c r="E1693" t="s">
        <v>78</v>
      </c>
      <c r="F1693" t="s">
        <v>252</v>
      </c>
      <c r="G1693">
        <v>7.1108000000000002</v>
      </c>
      <c r="H1693">
        <v>-75.551100000000005</v>
      </c>
      <c r="I1693" t="s">
        <v>1798</v>
      </c>
      <c r="J1693">
        <v>11</v>
      </c>
      <c r="M1693">
        <v>183</v>
      </c>
      <c r="N1693">
        <v>44</v>
      </c>
      <c r="O1693">
        <v>28</v>
      </c>
      <c r="P1693">
        <v>40</v>
      </c>
      <c r="Q1693">
        <v>29</v>
      </c>
      <c r="R1693">
        <v>51</v>
      </c>
    </row>
    <row r="1694" spans="1:18" x14ac:dyDescent="0.25">
      <c r="A1694" t="s">
        <v>1805</v>
      </c>
      <c r="B1694" t="s">
        <v>55</v>
      </c>
      <c r="C1694" t="s">
        <v>1796</v>
      </c>
      <c r="D1694" t="s">
        <v>1797</v>
      </c>
      <c r="E1694" t="s">
        <v>78</v>
      </c>
      <c r="F1694" t="s">
        <v>252</v>
      </c>
      <c r="G1694">
        <v>7.1108000000000002</v>
      </c>
      <c r="H1694">
        <v>-75.551100000000005</v>
      </c>
      <c r="I1694" t="s">
        <v>1798</v>
      </c>
      <c r="J1694">
        <v>11</v>
      </c>
      <c r="M1694">
        <v>180</v>
      </c>
      <c r="N1694">
        <v>44</v>
      </c>
      <c r="O1694">
        <v>28</v>
      </c>
      <c r="P1694">
        <v>44</v>
      </c>
      <c r="Q1694">
        <v>29</v>
      </c>
      <c r="R1694">
        <v>33</v>
      </c>
    </row>
    <row r="1695" spans="1:18" x14ac:dyDescent="0.25">
      <c r="A1695" t="s">
        <v>1806</v>
      </c>
      <c r="B1695" t="s">
        <v>55</v>
      </c>
      <c r="C1695" t="s">
        <v>1796</v>
      </c>
      <c r="D1695" t="s">
        <v>1797</v>
      </c>
      <c r="E1695" t="s">
        <v>78</v>
      </c>
      <c r="F1695" t="s">
        <v>252</v>
      </c>
      <c r="G1695">
        <v>7.1108000000000002</v>
      </c>
      <c r="H1695">
        <v>-75.551100000000005</v>
      </c>
      <c r="I1695" t="s">
        <v>1798</v>
      </c>
      <c r="J1695">
        <v>11</v>
      </c>
      <c r="M1695">
        <v>178</v>
      </c>
      <c r="N1695">
        <v>39</v>
      </c>
      <c r="O1695">
        <v>34</v>
      </c>
      <c r="P1695">
        <v>34</v>
      </c>
      <c r="Q1695">
        <v>38</v>
      </c>
      <c r="R1695">
        <v>27</v>
      </c>
    </row>
    <row r="1696" spans="1:18" x14ac:dyDescent="0.25">
      <c r="A1696" t="s">
        <v>1807</v>
      </c>
      <c r="B1696" t="s">
        <v>55</v>
      </c>
      <c r="C1696" t="s">
        <v>1796</v>
      </c>
      <c r="D1696" t="s">
        <v>1797</v>
      </c>
      <c r="E1696" t="s">
        <v>78</v>
      </c>
      <c r="F1696" t="s">
        <v>252</v>
      </c>
      <c r="G1696">
        <v>7.1108000000000002</v>
      </c>
      <c r="H1696">
        <v>-75.551100000000005</v>
      </c>
      <c r="I1696" t="s">
        <v>1798</v>
      </c>
      <c r="J1696">
        <v>11</v>
      </c>
      <c r="M1696">
        <v>175</v>
      </c>
      <c r="N1696">
        <v>39</v>
      </c>
      <c r="O1696">
        <v>26</v>
      </c>
      <c r="P1696">
        <v>38</v>
      </c>
      <c r="Q1696">
        <v>38</v>
      </c>
      <c r="R1696">
        <v>33</v>
      </c>
    </row>
    <row r="1697" spans="1:18" x14ac:dyDescent="0.25">
      <c r="A1697" t="s">
        <v>1808</v>
      </c>
      <c r="B1697" t="s">
        <v>55</v>
      </c>
      <c r="C1697" t="s">
        <v>1796</v>
      </c>
      <c r="D1697" t="s">
        <v>1797</v>
      </c>
      <c r="E1697" t="s">
        <v>78</v>
      </c>
      <c r="F1697" t="s">
        <v>252</v>
      </c>
      <c r="G1697">
        <v>7.1108000000000002</v>
      </c>
      <c r="H1697">
        <v>-75.551100000000005</v>
      </c>
      <c r="I1697" t="s">
        <v>1798</v>
      </c>
      <c r="J1697">
        <v>11</v>
      </c>
      <c r="M1697">
        <v>174</v>
      </c>
      <c r="N1697">
        <v>41</v>
      </c>
      <c r="O1697">
        <v>20</v>
      </c>
      <c r="P1697">
        <v>42</v>
      </c>
      <c r="Q1697">
        <v>38</v>
      </c>
      <c r="R1697">
        <v>29</v>
      </c>
    </row>
    <row r="1698" spans="1:18" x14ac:dyDescent="0.25">
      <c r="A1698" t="s">
        <v>1809</v>
      </c>
      <c r="B1698" t="s">
        <v>55</v>
      </c>
      <c r="C1698" t="s">
        <v>1796</v>
      </c>
      <c r="D1698" t="s">
        <v>1797</v>
      </c>
      <c r="E1698" t="s">
        <v>78</v>
      </c>
      <c r="F1698" t="s">
        <v>252</v>
      </c>
      <c r="G1698">
        <v>7.1108000000000002</v>
      </c>
      <c r="H1698">
        <v>-75.551100000000005</v>
      </c>
      <c r="I1698" t="s">
        <v>1798</v>
      </c>
      <c r="J1698">
        <v>11</v>
      </c>
      <c r="M1698">
        <v>173</v>
      </c>
      <c r="N1698">
        <v>44</v>
      </c>
      <c r="O1698">
        <v>22</v>
      </c>
      <c r="P1698">
        <v>44</v>
      </c>
      <c r="Q1698">
        <v>26</v>
      </c>
      <c r="R1698">
        <v>42</v>
      </c>
    </row>
    <row r="1699" spans="1:18" x14ac:dyDescent="0.25">
      <c r="A1699" t="s">
        <v>1810</v>
      </c>
      <c r="B1699" t="s">
        <v>55</v>
      </c>
      <c r="C1699" t="s">
        <v>1796</v>
      </c>
      <c r="D1699" t="s">
        <v>1797</v>
      </c>
      <c r="E1699" t="s">
        <v>78</v>
      </c>
      <c r="F1699" t="s">
        <v>252</v>
      </c>
      <c r="G1699">
        <v>7.1108000000000002</v>
      </c>
      <c r="H1699">
        <v>-75.551100000000005</v>
      </c>
      <c r="I1699" t="s">
        <v>1798</v>
      </c>
      <c r="J1699">
        <v>11</v>
      </c>
      <c r="M1699">
        <v>171</v>
      </c>
      <c r="N1699">
        <v>41</v>
      </c>
      <c r="O1699">
        <v>32</v>
      </c>
      <c r="P1699">
        <v>34</v>
      </c>
      <c r="Q1699">
        <v>29</v>
      </c>
      <c r="R1699">
        <v>35</v>
      </c>
    </row>
    <row r="1700" spans="1:18" x14ac:dyDescent="0.25">
      <c r="A1700" t="s">
        <v>1811</v>
      </c>
      <c r="B1700" t="s">
        <v>55</v>
      </c>
      <c r="C1700" t="s">
        <v>1796</v>
      </c>
      <c r="D1700" t="s">
        <v>1797</v>
      </c>
      <c r="E1700" t="s">
        <v>78</v>
      </c>
      <c r="F1700" t="s">
        <v>252</v>
      </c>
      <c r="G1700">
        <v>7.1108000000000002</v>
      </c>
      <c r="H1700">
        <v>-75.551100000000005</v>
      </c>
      <c r="I1700" t="s">
        <v>1798</v>
      </c>
      <c r="J1700">
        <v>11</v>
      </c>
      <c r="M1700">
        <v>170</v>
      </c>
      <c r="N1700">
        <v>34</v>
      </c>
      <c r="O1700">
        <v>22</v>
      </c>
      <c r="P1700">
        <v>52</v>
      </c>
      <c r="Q1700">
        <v>29</v>
      </c>
      <c r="R1700">
        <v>31</v>
      </c>
    </row>
    <row r="1701" spans="1:18" x14ac:dyDescent="0.25">
      <c r="A1701" t="s">
        <v>1812</v>
      </c>
      <c r="B1701" t="s">
        <v>55</v>
      </c>
      <c r="C1701" t="s">
        <v>1796</v>
      </c>
      <c r="D1701" t="s">
        <v>1797</v>
      </c>
      <c r="E1701" t="s">
        <v>78</v>
      </c>
      <c r="F1701" t="s">
        <v>252</v>
      </c>
      <c r="G1701">
        <v>7.1108000000000002</v>
      </c>
      <c r="H1701">
        <v>-75.551100000000005</v>
      </c>
      <c r="I1701" t="s">
        <v>1798</v>
      </c>
      <c r="J1701">
        <v>11</v>
      </c>
      <c r="M1701">
        <v>169</v>
      </c>
      <c r="N1701">
        <v>22</v>
      </c>
      <c r="O1701">
        <v>34</v>
      </c>
      <c r="P1701">
        <v>36</v>
      </c>
      <c r="Q1701">
        <v>40</v>
      </c>
      <c r="R1701">
        <v>45</v>
      </c>
    </row>
    <row r="1702" spans="1:18" x14ac:dyDescent="0.25">
      <c r="A1702" t="s">
        <v>1813</v>
      </c>
      <c r="B1702" t="s">
        <v>55</v>
      </c>
      <c r="C1702" t="s">
        <v>1796</v>
      </c>
      <c r="D1702" t="s">
        <v>1797</v>
      </c>
      <c r="E1702" t="s">
        <v>78</v>
      </c>
      <c r="F1702" t="s">
        <v>252</v>
      </c>
      <c r="G1702">
        <v>7.1108000000000002</v>
      </c>
      <c r="H1702">
        <v>-75.551100000000005</v>
      </c>
      <c r="I1702" t="s">
        <v>1798</v>
      </c>
      <c r="J1702">
        <v>11</v>
      </c>
      <c r="M1702">
        <v>169</v>
      </c>
      <c r="N1702">
        <v>39</v>
      </c>
      <c r="O1702">
        <v>28</v>
      </c>
      <c r="P1702">
        <v>38</v>
      </c>
      <c r="Q1702">
        <v>29</v>
      </c>
      <c r="R1702">
        <v>36</v>
      </c>
    </row>
    <row r="1703" spans="1:18" x14ac:dyDescent="0.25">
      <c r="A1703" t="s">
        <v>1814</v>
      </c>
      <c r="B1703" t="s">
        <v>55</v>
      </c>
      <c r="C1703" t="s">
        <v>1796</v>
      </c>
      <c r="D1703" t="s">
        <v>1797</v>
      </c>
      <c r="E1703" t="s">
        <v>78</v>
      </c>
      <c r="F1703" t="s">
        <v>252</v>
      </c>
      <c r="G1703">
        <v>7.1108000000000002</v>
      </c>
      <c r="H1703">
        <v>-75.551100000000005</v>
      </c>
      <c r="I1703" t="s">
        <v>1798</v>
      </c>
      <c r="J1703">
        <v>11</v>
      </c>
      <c r="M1703">
        <v>169</v>
      </c>
      <c r="N1703">
        <v>39</v>
      </c>
      <c r="O1703">
        <v>26</v>
      </c>
      <c r="P1703">
        <v>40</v>
      </c>
      <c r="Q1703">
        <v>31</v>
      </c>
      <c r="R1703">
        <v>31</v>
      </c>
    </row>
    <row r="1704" spans="1:18" x14ac:dyDescent="0.25">
      <c r="A1704" t="s">
        <v>1815</v>
      </c>
      <c r="B1704" t="s">
        <v>55</v>
      </c>
      <c r="C1704" t="s">
        <v>1796</v>
      </c>
      <c r="D1704" t="s">
        <v>1797</v>
      </c>
      <c r="E1704" t="s">
        <v>78</v>
      </c>
      <c r="F1704" t="s">
        <v>252</v>
      </c>
      <c r="G1704">
        <v>7.1108000000000002</v>
      </c>
      <c r="H1704">
        <v>-75.551100000000005</v>
      </c>
      <c r="I1704" t="s">
        <v>1798</v>
      </c>
      <c r="J1704">
        <v>11</v>
      </c>
      <c r="M1704">
        <v>168</v>
      </c>
      <c r="N1704">
        <v>34</v>
      </c>
      <c r="O1704">
        <v>22</v>
      </c>
      <c r="P1704">
        <v>42</v>
      </c>
      <c r="Q1704">
        <v>36</v>
      </c>
      <c r="R1704">
        <v>33</v>
      </c>
    </row>
    <row r="1705" spans="1:18" x14ac:dyDescent="0.25">
      <c r="A1705" t="s">
        <v>1816</v>
      </c>
      <c r="B1705" t="s">
        <v>55</v>
      </c>
      <c r="C1705" t="s">
        <v>1796</v>
      </c>
      <c r="D1705" t="s">
        <v>1797</v>
      </c>
      <c r="E1705" t="s">
        <v>78</v>
      </c>
      <c r="F1705" t="s">
        <v>252</v>
      </c>
      <c r="G1705">
        <v>7.1108000000000002</v>
      </c>
      <c r="H1705">
        <v>-75.551100000000005</v>
      </c>
      <c r="I1705" t="s">
        <v>1798</v>
      </c>
      <c r="J1705">
        <v>11</v>
      </c>
      <c r="M1705">
        <v>166</v>
      </c>
      <c r="N1705">
        <v>46</v>
      </c>
      <c r="O1705">
        <v>22</v>
      </c>
      <c r="P1705">
        <v>40</v>
      </c>
      <c r="Q1705">
        <v>26</v>
      </c>
      <c r="R1705">
        <v>29</v>
      </c>
    </row>
    <row r="1706" spans="1:18" x14ac:dyDescent="0.25">
      <c r="A1706" t="s">
        <v>1817</v>
      </c>
      <c r="B1706" t="s">
        <v>55</v>
      </c>
      <c r="C1706" t="s">
        <v>1796</v>
      </c>
      <c r="D1706" t="s">
        <v>1797</v>
      </c>
      <c r="E1706" t="s">
        <v>78</v>
      </c>
      <c r="F1706" t="s">
        <v>252</v>
      </c>
      <c r="G1706">
        <v>7.1108000000000002</v>
      </c>
      <c r="H1706">
        <v>-75.551100000000005</v>
      </c>
      <c r="I1706" t="s">
        <v>1798</v>
      </c>
      <c r="J1706">
        <v>11</v>
      </c>
      <c r="M1706">
        <v>153</v>
      </c>
      <c r="N1706">
        <v>41</v>
      </c>
      <c r="O1706">
        <v>22</v>
      </c>
      <c r="P1706">
        <v>36</v>
      </c>
      <c r="Q1706">
        <v>26</v>
      </c>
      <c r="R1706">
        <v>22</v>
      </c>
    </row>
    <row r="1707" spans="1:18" x14ac:dyDescent="0.25">
      <c r="A1707" t="s">
        <v>1818</v>
      </c>
      <c r="B1707" t="s">
        <v>55</v>
      </c>
      <c r="C1707" t="s">
        <v>1796</v>
      </c>
      <c r="D1707" t="s">
        <v>1797</v>
      </c>
      <c r="E1707" t="s">
        <v>78</v>
      </c>
      <c r="F1707" t="s">
        <v>252</v>
      </c>
      <c r="G1707">
        <v>7.1108000000000002</v>
      </c>
      <c r="H1707">
        <v>-75.551100000000005</v>
      </c>
      <c r="I1707" t="s">
        <v>1798</v>
      </c>
      <c r="J1707">
        <v>11</v>
      </c>
      <c r="M1707">
        <v>153</v>
      </c>
      <c r="N1707">
        <v>34</v>
      </c>
      <c r="O1707">
        <v>30</v>
      </c>
      <c r="P1707">
        <v>36</v>
      </c>
      <c r="Q1707">
        <v>21</v>
      </c>
      <c r="R1707">
        <v>35</v>
      </c>
    </row>
    <row r="1708" spans="1:18" x14ac:dyDescent="0.25">
      <c r="A1708" t="s">
        <v>1819</v>
      </c>
      <c r="B1708" t="s">
        <v>55</v>
      </c>
      <c r="C1708" t="s">
        <v>1796</v>
      </c>
      <c r="D1708" t="s">
        <v>1797</v>
      </c>
      <c r="E1708" t="s">
        <v>78</v>
      </c>
      <c r="F1708" t="s">
        <v>252</v>
      </c>
      <c r="G1708">
        <v>7.1108000000000002</v>
      </c>
      <c r="H1708">
        <v>-75.551100000000005</v>
      </c>
      <c r="I1708" t="s">
        <v>1798</v>
      </c>
      <c r="J1708">
        <v>11</v>
      </c>
      <c r="M1708">
        <v>152</v>
      </c>
      <c r="N1708">
        <v>34</v>
      </c>
      <c r="O1708">
        <v>20</v>
      </c>
      <c r="P1708">
        <v>40</v>
      </c>
      <c r="Q1708">
        <v>28</v>
      </c>
      <c r="R1708">
        <v>29</v>
      </c>
    </row>
    <row r="1709" spans="1:18" x14ac:dyDescent="0.25">
      <c r="A1709" t="s">
        <v>1820</v>
      </c>
      <c r="B1709" t="s">
        <v>55</v>
      </c>
      <c r="C1709" t="s">
        <v>1796</v>
      </c>
      <c r="D1709" t="s">
        <v>1797</v>
      </c>
      <c r="E1709" t="s">
        <v>78</v>
      </c>
      <c r="F1709" t="s">
        <v>252</v>
      </c>
      <c r="G1709">
        <v>7.1108000000000002</v>
      </c>
      <c r="H1709">
        <v>-75.551100000000005</v>
      </c>
      <c r="I1709" t="s">
        <v>1798</v>
      </c>
      <c r="J1709">
        <v>11</v>
      </c>
      <c r="M1709">
        <v>150</v>
      </c>
      <c r="N1709">
        <v>37</v>
      </c>
      <c r="O1709">
        <v>22</v>
      </c>
      <c r="P1709">
        <v>36</v>
      </c>
      <c r="Q1709">
        <v>22</v>
      </c>
      <c r="R1709">
        <v>40</v>
      </c>
    </row>
    <row r="1710" spans="1:18" x14ac:dyDescent="0.25">
      <c r="A1710" t="s">
        <v>1821</v>
      </c>
      <c r="B1710" t="s">
        <v>55</v>
      </c>
      <c r="C1710" t="s">
        <v>1796</v>
      </c>
      <c r="D1710" t="s">
        <v>1797</v>
      </c>
      <c r="E1710" t="s">
        <v>78</v>
      </c>
      <c r="F1710" t="s">
        <v>252</v>
      </c>
      <c r="G1710">
        <v>7.1108000000000002</v>
      </c>
      <c r="H1710">
        <v>-75.551100000000005</v>
      </c>
      <c r="I1710" t="s">
        <v>1798</v>
      </c>
      <c r="J1710">
        <v>11</v>
      </c>
      <c r="M1710">
        <v>149</v>
      </c>
      <c r="N1710">
        <v>29</v>
      </c>
      <c r="O1710">
        <v>20</v>
      </c>
      <c r="P1710">
        <v>40</v>
      </c>
      <c r="Q1710">
        <v>29</v>
      </c>
      <c r="R1710">
        <v>33</v>
      </c>
    </row>
    <row r="1711" spans="1:18" x14ac:dyDescent="0.25">
      <c r="A1711" t="s">
        <v>1822</v>
      </c>
      <c r="B1711" t="s">
        <v>55</v>
      </c>
      <c r="C1711" t="s">
        <v>1796</v>
      </c>
      <c r="D1711" t="s">
        <v>1797</v>
      </c>
      <c r="E1711" t="s">
        <v>78</v>
      </c>
      <c r="F1711" t="s">
        <v>252</v>
      </c>
      <c r="G1711">
        <v>7.1108000000000002</v>
      </c>
      <c r="H1711">
        <v>-75.551100000000005</v>
      </c>
      <c r="I1711" t="s">
        <v>1798</v>
      </c>
      <c r="J1711">
        <v>11</v>
      </c>
      <c r="M1711">
        <v>146</v>
      </c>
      <c r="N1711">
        <v>27</v>
      </c>
      <c r="O1711">
        <v>34</v>
      </c>
      <c r="P1711">
        <v>34</v>
      </c>
      <c r="Q1711">
        <v>19</v>
      </c>
      <c r="R1711">
        <v>38</v>
      </c>
    </row>
    <row r="1712" spans="1:18" x14ac:dyDescent="0.25">
      <c r="A1712" t="s">
        <v>1823</v>
      </c>
      <c r="B1712" t="s">
        <v>55</v>
      </c>
      <c r="C1712" t="s">
        <v>1796</v>
      </c>
      <c r="D1712" t="s">
        <v>1797</v>
      </c>
      <c r="E1712" t="s">
        <v>78</v>
      </c>
      <c r="F1712" t="s">
        <v>252</v>
      </c>
      <c r="G1712">
        <v>7.1108000000000002</v>
      </c>
      <c r="H1712">
        <v>-75.551100000000005</v>
      </c>
      <c r="I1712" t="s">
        <v>1798</v>
      </c>
      <c r="J1712">
        <v>11</v>
      </c>
      <c r="M1712">
        <v>145</v>
      </c>
      <c r="N1712">
        <v>29</v>
      </c>
      <c r="O1712">
        <v>24</v>
      </c>
      <c r="P1712">
        <v>30</v>
      </c>
      <c r="Q1712">
        <v>29</v>
      </c>
      <c r="R1712">
        <v>38</v>
      </c>
    </row>
    <row r="1713" spans="1:18" x14ac:dyDescent="0.25">
      <c r="A1713" t="s">
        <v>1824</v>
      </c>
      <c r="B1713" t="s">
        <v>55</v>
      </c>
      <c r="C1713" t="s">
        <v>1796</v>
      </c>
      <c r="D1713" t="s">
        <v>1797</v>
      </c>
      <c r="E1713" t="s">
        <v>78</v>
      </c>
      <c r="F1713" t="s">
        <v>252</v>
      </c>
      <c r="G1713">
        <v>7.1108000000000002</v>
      </c>
      <c r="H1713">
        <v>-75.551100000000005</v>
      </c>
      <c r="I1713" t="s">
        <v>1798</v>
      </c>
      <c r="J1713">
        <v>11</v>
      </c>
      <c r="M1713">
        <v>143</v>
      </c>
      <c r="N1713">
        <v>32</v>
      </c>
      <c r="O1713">
        <v>24</v>
      </c>
      <c r="P1713">
        <v>28</v>
      </c>
      <c r="Q1713">
        <v>33</v>
      </c>
      <c r="R1713">
        <v>24</v>
      </c>
    </row>
    <row r="1714" spans="1:18" x14ac:dyDescent="0.25">
      <c r="A1714" t="s">
        <v>1825</v>
      </c>
      <c r="B1714" t="s">
        <v>55</v>
      </c>
      <c r="C1714" t="s">
        <v>1796</v>
      </c>
      <c r="D1714" t="s">
        <v>1797</v>
      </c>
      <c r="E1714" t="s">
        <v>78</v>
      </c>
      <c r="F1714" t="s">
        <v>252</v>
      </c>
      <c r="G1714">
        <v>7.1108000000000002</v>
      </c>
      <c r="H1714">
        <v>-75.551100000000005</v>
      </c>
      <c r="I1714" t="s">
        <v>1798</v>
      </c>
      <c r="J1714">
        <v>11</v>
      </c>
      <c r="M1714">
        <v>142</v>
      </c>
      <c r="N1714">
        <v>32</v>
      </c>
      <c r="O1714">
        <v>18</v>
      </c>
      <c r="P1714">
        <v>32</v>
      </c>
      <c r="Q1714">
        <v>29</v>
      </c>
      <c r="R1714">
        <v>36</v>
      </c>
    </row>
    <row r="1715" spans="1:18" x14ac:dyDescent="0.25">
      <c r="A1715" t="s">
        <v>1826</v>
      </c>
      <c r="B1715" t="s">
        <v>55</v>
      </c>
      <c r="C1715" t="s">
        <v>1796</v>
      </c>
      <c r="D1715" t="s">
        <v>1797</v>
      </c>
      <c r="E1715" t="s">
        <v>78</v>
      </c>
      <c r="F1715" t="s">
        <v>252</v>
      </c>
      <c r="G1715">
        <v>7.1108000000000002</v>
      </c>
      <c r="H1715">
        <v>-75.551100000000005</v>
      </c>
      <c r="I1715" t="s">
        <v>1798</v>
      </c>
      <c r="J1715">
        <v>11</v>
      </c>
      <c r="M1715">
        <v>141</v>
      </c>
      <c r="N1715">
        <v>39</v>
      </c>
      <c r="O1715">
        <v>14</v>
      </c>
      <c r="P1715">
        <v>24</v>
      </c>
      <c r="Q1715">
        <v>31</v>
      </c>
      <c r="R1715">
        <v>44</v>
      </c>
    </row>
    <row r="1716" spans="1:18" x14ac:dyDescent="0.25">
      <c r="A1716" t="s">
        <v>1827</v>
      </c>
      <c r="B1716" t="s">
        <v>55</v>
      </c>
      <c r="C1716" t="s">
        <v>1796</v>
      </c>
      <c r="D1716" t="s">
        <v>1797</v>
      </c>
      <c r="E1716" t="s">
        <v>78</v>
      </c>
      <c r="F1716" t="s">
        <v>252</v>
      </c>
      <c r="G1716">
        <v>7.1108000000000002</v>
      </c>
      <c r="H1716">
        <v>-75.551100000000005</v>
      </c>
      <c r="I1716" t="s">
        <v>1798</v>
      </c>
      <c r="J1716">
        <v>11</v>
      </c>
      <c r="M1716">
        <v>138</v>
      </c>
      <c r="N1716">
        <v>29</v>
      </c>
      <c r="O1716">
        <v>24</v>
      </c>
      <c r="P1716">
        <v>24</v>
      </c>
      <c r="Q1716">
        <v>28</v>
      </c>
      <c r="R1716">
        <v>45</v>
      </c>
    </row>
    <row r="1717" spans="1:18" x14ac:dyDescent="0.25">
      <c r="A1717" t="s">
        <v>1828</v>
      </c>
      <c r="B1717" t="s">
        <v>55</v>
      </c>
      <c r="C1717" t="s">
        <v>1796</v>
      </c>
      <c r="D1717" t="s">
        <v>1797</v>
      </c>
      <c r="E1717" t="s">
        <v>78</v>
      </c>
      <c r="F1717" t="s">
        <v>252</v>
      </c>
      <c r="G1717">
        <v>7.1108000000000002</v>
      </c>
      <c r="H1717">
        <v>-75.551100000000005</v>
      </c>
      <c r="I1717" t="s">
        <v>1798</v>
      </c>
      <c r="J1717">
        <v>11</v>
      </c>
      <c r="M1717">
        <v>138</v>
      </c>
      <c r="N1717">
        <v>39</v>
      </c>
      <c r="O1717">
        <v>14</v>
      </c>
      <c r="P1717">
        <v>30</v>
      </c>
      <c r="Q1717">
        <v>26</v>
      </c>
      <c r="R1717">
        <v>31</v>
      </c>
    </row>
    <row r="1718" spans="1:18" x14ac:dyDescent="0.25">
      <c r="A1718" t="s">
        <v>1829</v>
      </c>
      <c r="B1718" t="s">
        <v>55</v>
      </c>
      <c r="C1718" t="s">
        <v>1796</v>
      </c>
      <c r="D1718" t="s">
        <v>1797</v>
      </c>
      <c r="E1718" t="s">
        <v>78</v>
      </c>
      <c r="F1718" t="s">
        <v>252</v>
      </c>
      <c r="G1718">
        <v>7.1108000000000002</v>
      </c>
      <c r="H1718">
        <v>-75.551100000000005</v>
      </c>
      <c r="I1718" t="s">
        <v>1798</v>
      </c>
      <c r="J1718">
        <v>11</v>
      </c>
      <c r="M1718">
        <v>138</v>
      </c>
      <c r="N1718">
        <v>46</v>
      </c>
      <c r="O1718">
        <v>22</v>
      </c>
      <c r="P1718">
        <v>24</v>
      </c>
      <c r="Q1718">
        <v>19</v>
      </c>
      <c r="R1718">
        <v>24</v>
      </c>
    </row>
    <row r="1719" spans="1:18" x14ac:dyDescent="0.25">
      <c r="A1719" t="s">
        <v>1830</v>
      </c>
      <c r="B1719" t="s">
        <v>55</v>
      </c>
      <c r="C1719" t="s">
        <v>1796</v>
      </c>
      <c r="D1719" t="s">
        <v>1797</v>
      </c>
      <c r="E1719" t="s">
        <v>78</v>
      </c>
      <c r="F1719" t="s">
        <v>252</v>
      </c>
      <c r="G1719">
        <v>7.1108000000000002</v>
      </c>
      <c r="H1719">
        <v>-75.551100000000005</v>
      </c>
      <c r="I1719" t="s">
        <v>1798</v>
      </c>
      <c r="J1719">
        <v>11</v>
      </c>
      <c r="M1719">
        <v>136</v>
      </c>
      <c r="N1719">
        <v>39</v>
      </c>
      <c r="O1719">
        <v>20</v>
      </c>
      <c r="P1719">
        <v>30</v>
      </c>
      <c r="Q1719">
        <v>19</v>
      </c>
      <c r="R1719">
        <v>31</v>
      </c>
    </row>
    <row r="1720" spans="1:18" x14ac:dyDescent="0.25">
      <c r="A1720" t="s">
        <v>1831</v>
      </c>
      <c r="B1720" t="s">
        <v>55</v>
      </c>
      <c r="C1720" t="s">
        <v>1832</v>
      </c>
      <c r="D1720" t="s">
        <v>1833</v>
      </c>
      <c r="E1720" t="s">
        <v>78</v>
      </c>
      <c r="F1720" t="s">
        <v>252</v>
      </c>
      <c r="G1720">
        <v>6.3457999999999997</v>
      </c>
      <c r="H1720">
        <v>-75.856899999999996</v>
      </c>
      <c r="I1720" t="s">
        <v>1834</v>
      </c>
      <c r="J1720">
        <v>11</v>
      </c>
      <c r="M1720">
        <v>232</v>
      </c>
      <c r="N1720">
        <v>41</v>
      </c>
      <c r="O1720">
        <v>44</v>
      </c>
      <c r="P1720">
        <v>58</v>
      </c>
      <c r="Q1720">
        <v>33</v>
      </c>
      <c r="R1720">
        <v>75</v>
      </c>
    </row>
    <row r="1721" spans="1:18" x14ac:dyDescent="0.25">
      <c r="A1721" t="s">
        <v>1835</v>
      </c>
      <c r="B1721" t="s">
        <v>55</v>
      </c>
      <c r="C1721" t="s">
        <v>1832</v>
      </c>
      <c r="D1721" t="s">
        <v>1833</v>
      </c>
      <c r="E1721" t="s">
        <v>78</v>
      </c>
      <c r="F1721" t="s">
        <v>252</v>
      </c>
      <c r="G1721">
        <v>6.3457999999999997</v>
      </c>
      <c r="H1721">
        <v>-75.856899999999996</v>
      </c>
      <c r="I1721" t="s">
        <v>1834</v>
      </c>
      <c r="J1721">
        <v>11</v>
      </c>
      <c r="M1721">
        <v>224</v>
      </c>
      <c r="N1721">
        <v>63</v>
      </c>
      <c r="O1721">
        <v>34</v>
      </c>
      <c r="P1721">
        <v>46</v>
      </c>
      <c r="Q1721">
        <v>33</v>
      </c>
      <c r="R1721">
        <v>53</v>
      </c>
    </row>
    <row r="1722" spans="1:18" x14ac:dyDescent="0.25">
      <c r="A1722" t="s">
        <v>1836</v>
      </c>
      <c r="B1722" t="s">
        <v>55</v>
      </c>
      <c r="C1722" t="s">
        <v>1832</v>
      </c>
      <c r="D1722" t="s">
        <v>1833</v>
      </c>
      <c r="E1722" t="s">
        <v>78</v>
      </c>
      <c r="F1722" t="s">
        <v>252</v>
      </c>
      <c r="G1722">
        <v>6.3457999999999997</v>
      </c>
      <c r="H1722">
        <v>-75.856899999999996</v>
      </c>
      <c r="I1722" t="s">
        <v>1834</v>
      </c>
      <c r="J1722">
        <v>11</v>
      </c>
      <c r="M1722">
        <v>206</v>
      </c>
      <c r="N1722">
        <v>41</v>
      </c>
      <c r="O1722">
        <v>26</v>
      </c>
      <c r="P1722">
        <v>58</v>
      </c>
      <c r="Q1722">
        <v>22</v>
      </c>
      <c r="R1722">
        <v>91</v>
      </c>
    </row>
    <row r="1723" spans="1:18" x14ac:dyDescent="0.25">
      <c r="A1723" t="s">
        <v>1837</v>
      </c>
      <c r="B1723" t="s">
        <v>55</v>
      </c>
      <c r="C1723" t="s">
        <v>1832</v>
      </c>
      <c r="D1723" t="s">
        <v>1833</v>
      </c>
      <c r="E1723" t="s">
        <v>78</v>
      </c>
      <c r="F1723" t="s">
        <v>252</v>
      </c>
      <c r="G1723">
        <v>6.3457999999999997</v>
      </c>
      <c r="H1723">
        <v>-75.856899999999996</v>
      </c>
      <c r="I1723" t="s">
        <v>1834</v>
      </c>
      <c r="J1723">
        <v>11</v>
      </c>
      <c r="M1723">
        <v>185</v>
      </c>
      <c r="N1723">
        <v>39</v>
      </c>
      <c r="O1723">
        <v>26</v>
      </c>
      <c r="P1723">
        <v>48</v>
      </c>
      <c r="Q1723">
        <v>29</v>
      </c>
      <c r="R1723">
        <v>53</v>
      </c>
    </row>
    <row r="1724" spans="1:18" x14ac:dyDescent="0.25">
      <c r="A1724" t="s">
        <v>1838</v>
      </c>
      <c r="B1724" t="s">
        <v>55</v>
      </c>
      <c r="C1724" t="s">
        <v>1832</v>
      </c>
      <c r="D1724" t="s">
        <v>1833</v>
      </c>
      <c r="E1724" t="s">
        <v>78</v>
      </c>
      <c r="F1724" t="s">
        <v>252</v>
      </c>
      <c r="G1724">
        <v>6.3457999999999997</v>
      </c>
      <c r="H1724">
        <v>-75.856899999999996</v>
      </c>
      <c r="I1724" t="s">
        <v>1834</v>
      </c>
      <c r="J1724">
        <v>11</v>
      </c>
      <c r="M1724">
        <v>183</v>
      </c>
      <c r="N1724">
        <v>46</v>
      </c>
      <c r="O1724">
        <v>20</v>
      </c>
      <c r="P1724">
        <v>48</v>
      </c>
      <c r="Q1724">
        <v>28</v>
      </c>
      <c r="R1724">
        <v>51</v>
      </c>
    </row>
    <row r="1725" spans="1:18" x14ac:dyDescent="0.25">
      <c r="A1725" t="s">
        <v>1839</v>
      </c>
      <c r="B1725" t="s">
        <v>55</v>
      </c>
      <c r="C1725" t="s">
        <v>1832</v>
      </c>
      <c r="D1725" t="s">
        <v>1833</v>
      </c>
      <c r="E1725" t="s">
        <v>78</v>
      </c>
      <c r="F1725" t="s">
        <v>252</v>
      </c>
      <c r="G1725">
        <v>6.3457999999999997</v>
      </c>
      <c r="H1725">
        <v>-75.856899999999996</v>
      </c>
      <c r="I1725" t="s">
        <v>1834</v>
      </c>
      <c r="J1725">
        <v>11</v>
      </c>
      <c r="M1725">
        <v>180</v>
      </c>
      <c r="N1725">
        <v>32</v>
      </c>
      <c r="O1725">
        <v>26</v>
      </c>
      <c r="P1725">
        <v>46</v>
      </c>
      <c r="Q1725">
        <v>26</v>
      </c>
      <c r="R1725">
        <v>80</v>
      </c>
    </row>
    <row r="1726" spans="1:18" x14ac:dyDescent="0.25">
      <c r="A1726" t="s">
        <v>1840</v>
      </c>
      <c r="B1726" t="s">
        <v>55</v>
      </c>
      <c r="C1726" t="s">
        <v>1832</v>
      </c>
      <c r="D1726" t="s">
        <v>1833</v>
      </c>
      <c r="E1726" t="s">
        <v>78</v>
      </c>
      <c r="F1726" t="s">
        <v>252</v>
      </c>
      <c r="G1726">
        <v>6.3457999999999997</v>
      </c>
      <c r="H1726">
        <v>-75.856899999999996</v>
      </c>
      <c r="I1726" t="s">
        <v>1834</v>
      </c>
      <c r="J1726">
        <v>11</v>
      </c>
      <c r="M1726">
        <v>177</v>
      </c>
      <c r="N1726">
        <v>37</v>
      </c>
      <c r="O1726">
        <v>22</v>
      </c>
      <c r="P1726">
        <v>48</v>
      </c>
      <c r="Q1726">
        <v>38</v>
      </c>
      <c r="R1726">
        <v>27</v>
      </c>
    </row>
    <row r="1727" spans="1:18" x14ac:dyDescent="0.25">
      <c r="A1727" t="s">
        <v>1841</v>
      </c>
      <c r="B1727" t="s">
        <v>55</v>
      </c>
      <c r="C1727" t="s">
        <v>1832</v>
      </c>
      <c r="D1727" t="s">
        <v>1833</v>
      </c>
      <c r="E1727" t="s">
        <v>78</v>
      </c>
      <c r="F1727" t="s">
        <v>252</v>
      </c>
      <c r="G1727">
        <v>6.3457999999999997</v>
      </c>
      <c r="H1727">
        <v>-75.856899999999996</v>
      </c>
      <c r="I1727" t="s">
        <v>1834</v>
      </c>
      <c r="J1727">
        <v>11</v>
      </c>
      <c r="M1727">
        <v>175</v>
      </c>
      <c r="N1727">
        <v>46</v>
      </c>
      <c r="O1727">
        <v>30</v>
      </c>
      <c r="P1727">
        <v>32</v>
      </c>
      <c r="Q1727">
        <v>31</v>
      </c>
      <c r="R1727">
        <v>36</v>
      </c>
    </row>
    <row r="1728" spans="1:18" x14ac:dyDescent="0.25">
      <c r="A1728" t="s">
        <v>1842</v>
      </c>
      <c r="B1728" t="s">
        <v>55</v>
      </c>
      <c r="C1728" t="s">
        <v>1832</v>
      </c>
      <c r="D1728" t="s">
        <v>1833</v>
      </c>
      <c r="E1728" t="s">
        <v>78</v>
      </c>
      <c r="F1728" t="s">
        <v>252</v>
      </c>
      <c r="G1728">
        <v>6.3457999999999997</v>
      </c>
      <c r="H1728">
        <v>-75.856899999999996</v>
      </c>
      <c r="I1728" t="s">
        <v>1834</v>
      </c>
      <c r="J1728">
        <v>11</v>
      </c>
      <c r="M1728">
        <v>170</v>
      </c>
      <c r="N1728">
        <v>44</v>
      </c>
      <c r="O1728">
        <v>22</v>
      </c>
      <c r="P1728">
        <v>36</v>
      </c>
      <c r="Q1728">
        <v>29</v>
      </c>
      <c r="R1728">
        <v>47</v>
      </c>
    </row>
    <row r="1729" spans="1:18" x14ac:dyDescent="0.25">
      <c r="A1729" t="s">
        <v>1843</v>
      </c>
      <c r="B1729" t="s">
        <v>55</v>
      </c>
      <c r="C1729" t="s">
        <v>1832</v>
      </c>
      <c r="D1729" t="s">
        <v>1833</v>
      </c>
      <c r="E1729" t="s">
        <v>78</v>
      </c>
      <c r="F1729" t="s">
        <v>252</v>
      </c>
      <c r="G1729">
        <v>6.3457999999999997</v>
      </c>
      <c r="H1729">
        <v>-75.856899999999996</v>
      </c>
      <c r="I1729" t="s">
        <v>1834</v>
      </c>
      <c r="J1729">
        <v>11</v>
      </c>
      <c r="M1729">
        <v>167</v>
      </c>
      <c r="N1729">
        <v>34</v>
      </c>
      <c r="O1729">
        <v>26</v>
      </c>
      <c r="P1729">
        <v>42</v>
      </c>
      <c r="Q1729">
        <v>29</v>
      </c>
      <c r="R1729">
        <v>40</v>
      </c>
    </row>
    <row r="1730" spans="1:18" x14ac:dyDescent="0.25">
      <c r="A1730" t="s">
        <v>1844</v>
      </c>
      <c r="B1730" t="s">
        <v>55</v>
      </c>
      <c r="C1730" t="s">
        <v>1832</v>
      </c>
      <c r="D1730" t="s">
        <v>1833</v>
      </c>
      <c r="E1730" t="s">
        <v>78</v>
      </c>
      <c r="F1730" t="s">
        <v>252</v>
      </c>
      <c r="G1730">
        <v>6.3457999999999997</v>
      </c>
      <c r="H1730">
        <v>-75.856899999999996</v>
      </c>
      <c r="I1730" t="s">
        <v>1834</v>
      </c>
      <c r="J1730">
        <v>11</v>
      </c>
      <c r="M1730">
        <v>159</v>
      </c>
      <c r="N1730">
        <v>32</v>
      </c>
      <c r="O1730">
        <v>22</v>
      </c>
      <c r="P1730">
        <v>42</v>
      </c>
      <c r="Q1730">
        <v>26</v>
      </c>
      <c r="R1730">
        <v>49</v>
      </c>
    </row>
    <row r="1731" spans="1:18" x14ac:dyDescent="0.25">
      <c r="A1731" t="s">
        <v>1845</v>
      </c>
      <c r="B1731" t="s">
        <v>55</v>
      </c>
      <c r="C1731" t="s">
        <v>1832</v>
      </c>
      <c r="D1731" t="s">
        <v>1833</v>
      </c>
      <c r="E1731" t="s">
        <v>78</v>
      </c>
      <c r="F1731" t="s">
        <v>252</v>
      </c>
      <c r="G1731">
        <v>6.3457999999999997</v>
      </c>
      <c r="H1731">
        <v>-75.856899999999996</v>
      </c>
      <c r="I1731" t="s">
        <v>1834</v>
      </c>
      <c r="J1731">
        <v>11</v>
      </c>
      <c r="M1731">
        <v>157</v>
      </c>
      <c r="N1731">
        <v>44</v>
      </c>
      <c r="O1731">
        <v>32</v>
      </c>
      <c r="P1731">
        <v>24</v>
      </c>
      <c r="Q1731">
        <v>21</v>
      </c>
      <c r="R1731">
        <v>47</v>
      </c>
    </row>
    <row r="1732" spans="1:18" x14ac:dyDescent="0.25">
      <c r="A1732" t="s">
        <v>1846</v>
      </c>
      <c r="B1732" t="s">
        <v>55</v>
      </c>
      <c r="C1732" t="s">
        <v>1832</v>
      </c>
      <c r="D1732" t="s">
        <v>1833</v>
      </c>
      <c r="E1732" t="s">
        <v>78</v>
      </c>
      <c r="F1732" t="s">
        <v>252</v>
      </c>
      <c r="G1732">
        <v>6.3457999999999997</v>
      </c>
      <c r="H1732">
        <v>-75.856899999999996</v>
      </c>
      <c r="I1732" t="s">
        <v>1834</v>
      </c>
      <c r="J1732">
        <v>11</v>
      </c>
      <c r="M1732">
        <v>157</v>
      </c>
      <c r="N1732">
        <v>44</v>
      </c>
      <c r="O1732">
        <v>20</v>
      </c>
      <c r="P1732">
        <v>36</v>
      </c>
      <c r="Q1732">
        <v>22</v>
      </c>
      <c r="R1732">
        <v>42</v>
      </c>
    </row>
    <row r="1733" spans="1:18" x14ac:dyDescent="0.25">
      <c r="A1733" t="s">
        <v>1847</v>
      </c>
      <c r="B1733" t="s">
        <v>55</v>
      </c>
      <c r="C1733" t="s">
        <v>1832</v>
      </c>
      <c r="D1733" t="s">
        <v>1833</v>
      </c>
      <c r="E1733" t="s">
        <v>78</v>
      </c>
      <c r="F1733" t="s">
        <v>252</v>
      </c>
      <c r="G1733">
        <v>6.3457999999999997</v>
      </c>
      <c r="H1733">
        <v>-75.856899999999996</v>
      </c>
      <c r="I1733" t="s">
        <v>1834</v>
      </c>
      <c r="J1733">
        <v>11</v>
      </c>
      <c r="M1733">
        <v>156</v>
      </c>
      <c r="N1733">
        <v>41</v>
      </c>
      <c r="O1733">
        <v>22</v>
      </c>
      <c r="P1733">
        <v>36</v>
      </c>
      <c r="Q1733">
        <v>26</v>
      </c>
      <c r="R1733">
        <v>31</v>
      </c>
    </row>
    <row r="1734" spans="1:18" x14ac:dyDescent="0.25">
      <c r="A1734" t="s">
        <v>1848</v>
      </c>
      <c r="B1734" t="s">
        <v>55</v>
      </c>
      <c r="C1734" t="s">
        <v>1832</v>
      </c>
      <c r="D1734" t="s">
        <v>1833</v>
      </c>
      <c r="E1734" t="s">
        <v>78</v>
      </c>
      <c r="F1734" t="s">
        <v>252</v>
      </c>
      <c r="G1734">
        <v>6.3457999999999997</v>
      </c>
      <c r="H1734">
        <v>-75.856899999999996</v>
      </c>
      <c r="I1734" t="s">
        <v>1834</v>
      </c>
      <c r="J1734">
        <v>11</v>
      </c>
      <c r="M1734">
        <v>153</v>
      </c>
      <c r="N1734">
        <v>34</v>
      </c>
      <c r="O1734">
        <v>28</v>
      </c>
      <c r="P1734">
        <v>38</v>
      </c>
      <c r="Q1734">
        <v>26</v>
      </c>
      <c r="R1734">
        <v>20</v>
      </c>
    </row>
    <row r="1735" spans="1:18" x14ac:dyDescent="0.25">
      <c r="A1735" t="s">
        <v>1849</v>
      </c>
      <c r="B1735" t="s">
        <v>55</v>
      </c>
      <c r="C1735" t="s">
        <v>1832</v>
      </c>
      <c r="D1735" t="s">
        <v>1833</v>
      </c>
      <c r="E1735" t="s">
        <v>78</v>
      </c>
      <c r="F1735" t="s">
        <v>252</v>
      </c>
      <c r="G1735">
        <v>6.3457999999999997</v>
      </c>
      <c r="H1735">
        <v>-75.856899999999996</v>
      </c>
      <c r="I1735" t="s">
        <v>1834</v>
      </c>
      <c r="J1735">
        <v>11</v>
      </c>
      <c r="M1735">
        <v>151</v>
      </c>
      <c r="N1735">
        <v>37</v>
      </c>
      <c r="O1735">
        <v>26</v>
      </c>
      <c r="P1735">
        <v>40</v>
      </c>
      <c r="Q1735">
        <v>21</v>
      </c>
      <c r="R1735">
        <v>22</v>
      </c>
    </row>
    <row r="1736" spans="1:18" x14ac:dyDescent="0.25">
      <c r="A1736" t="s">
        <v>1850</v>
      </c>
      <c r="B1736" t="s">
        <v>55</v>
      </c>
      <c r="C1736" t="s">
        <v>1832</v>
      </c>
      <c r="D1736" t="s">
        <v>1833</v>
      </c>
      <c r="E1736" t="s">
        <v>78</v>
      </c>
      <c r="F1736" t="s">
        <v>252</v>
      </c>
      <c r="G1736">
        <v>6.3457999999999997</v>
      </c>
      <c r="H1736">
        <v>-75.856899999999996</v>
      </c>
      <c r="I1736" t="s">
        <v>1834</v>
      </c>
      <c r="J1736">
        <v>11</v>
      </c>
      <c r="M1736">
        <v>150</v>
      </c>
      <c r="N1736">
        <v>37</v>
      </c>
      <c r="O1736">
        <v>28</v>
      </c>
      <c r="P1736">
        <v>30</v>
      </c>
      <c r="Q1736">
        <v>24</v>
      </c>
      <c r="R1736">
        <v>33</v>
      </c>
    </row>
    <row r="1737" spans="1:18" x14ac:dyDescent="0.25">
      <c r="A1737" t="s">
        <v>1851</v>
      </c>
      <c r="B1737" t="s">
        <v>55</v>
      </c>
      <c r="C1737" t="s">
        <v>1832</v>
      </c>
      <c r="D1737" t="s">
        <v>1833</v>
      </c>
      <c r="E1737" t="s">
        <v>78</v>
      </c>
      <c r="F1737" t="s">
        <v>252</v>
      </c>
      <c r="G1737">
        <v>6.3457999999999997</v>
      </c>
      <c r="H1737">
        <v>-75.856899999999996</v>
      </c>
      <c r="I1737" t="s">
        <v>1834</v>
      </c>
      <c r="J1737">
        <v>11</v>
      </c>
      <c r="M1737">
        <v>149</v>
      </c>
      <c r="N1737">
        <v>29</v>
      </c>
      <c r="O1737">
        <v>16</v>
      </c>
      <c r="P1737">
        <v>38</v>
      </c>
      <c r="Q1737">
        <v>29</v>
      </c>
      <c r="R1737">
        <v>51</v>
      </c>
    </row>
    <row r="1738" spans="1:18" x14ac:dyDescent="0.25">
      <c r="A1738" t="s">
        <v>1852</v>
      </c>
      <c r="B1738" t="s">
        <v>55</v>
      </c>
      <c r="C1738" t="s">
        <v>1832</v>
      </c>
      <c r="D1738" t="s">
        <v>1833</v>
      </c>
      <c r="E1738" t="s">
        <v>78</v>
      </c>
      <c r="F1738" t="s">
        <v>252</v>
      </c>
      <c r="G1738">
        <v>6.3457999999999997</v>
      </c>
      <c r="H1738">
        <v>-75.856899999999996</v>
      </c>
      <c r="I1738" t="s">
        <v>1834</v>
      </c>
      <c r="J1738">
        <v>11</v>
      </c>
      <c r="M1738">
        <v>149</v>
      </c>
      <c r="N1738">
        <v>32</v>
      </c>
      <c r="O1738">
        <v>24</v>
      </c>
      <c r="P1738">
        <v>34</v>
      </c>
      <c r="Q1738">
        <v>28</v>
      </c>
      <c r="R1738">
        <v>36</v>
      </c>
    </row>
    <row r="1739" spans="1:18" x14ac:dyDescent="0.25">
      <c r="A1739" t="s">
        <v>1853</v>
      </c>
      <c r="B1739" t="s">
        <v>55</v>
      </c>
      <c r="C1739" t="s">
        <v>1832</v>
      </c>
      <c r="D1739" t="s">
        <v>1833</v>
      </c>
      <c r="E1739" t="s">
        <v>78</v>
      </c>
      <c r="F1739" t="s">
        <v>252</v>
      </c>
      <c r="G1739">
        <v>6.3457999999999997</v>
      </c>
      <c r="H1739">
        <v>-75.856899999999996</v>
      </c>
      <c r="I1739" t="s">
        <v>1834</v>
      </c>
      <c r="J1739">
        <v>11</v>
      </c>
      <c r="M1739">
        <v>146</v>
      </c>
      <c r="N1739">
        <v>32</v>
      </c>
      <c r="O1739">
        <v>28</v>
      </c>
      <c r="P1739">
        <v>30</v>
      </c>
      <c r="Q1739">
        <v>21</v>
      </c>
      <c r="R1739">
        <v>49</v>
      </c>
    </row>
    <row r="1740" spans="1:18" x14ac:dyDescent="0.25">
      <c r="A1740" t="s">
        <v>1854</v>
      </c>
      <c r="B1740" t="s">
        <v>55</v>
      </c>
      <c r="C1740" t="s">
        <v>1832</v>
      </c>
      <c r="D1740" t="s">
        <v>1833</v>
      </c>
      <c r="E1740" t="s">
        <v>78</v>
      </c>
      <c r="F1740" t="s">
        <v>252</v>
      </c>
      <c r="G1740">
        <v>6.3457999999999997</v>
      </c>
      <c r="H1740">
        <v>-75.856899999999996</v>
      </c>
      <c r="I1740" t="s">
        <v>1834</v>
      </c>
      <c r="J1740">
        <v>11</v>
      </c>
      <c r="M1740">
        <v>145</v>
      </c>
      <c r="N1740">
        <v>27</v>
      </c>
      <c r="O1740">
        <v>26</v>
      </c>
      <c r="P1740">
        <v>34</v>
      </c>
      <c r="Q1740">
        <v>29</v>
      </c>
      <c r="R1740">
        <v>29</v>
      </c>
    </row>
    <row r="1741" spans="1:18" x14ac:dyDescent="0.25">
      <c r="A1741" t="s">
        <v>1855</v>
      </c>
      <c r="B1741" t="s">
        <v>55</v>
      </c>
      <c r="C1741" t="s">
        <v>1832</v>
      </c>
      <c r="D1741" t="s">
        <v>1833</v>
      </c>
      <c r="E1741" t="s">
        <v>78</v>
      </c>
      <c r="F1741" t="s">
        <v>252</v>
      </c>
      <c r="G1741">
        <v>6.3457999999999997</v>
      </c>
      <c r="H1741">
        <v>-75.856899999999996</v>
      </c>
      <c r="I1741" t="s">
        <v>1834</v>
      </c>
      <c r="J1741">
        <v>11</v>
      </c>
      <c r="M1741">
        <v>144</v>
      </c>
      <c r="N1741">
        <v>34</v>
      </c>
      <c r="O1741">
        <v>20</v>
      </c>
      <c r="P1741">
        <v>38</v>
      </c>
      <c r="Q1741">
        <v>19</v>
      </c>
      <c r="R1741">
        <v>42</v>
      </c>
    </row>
    <row r="1742" spans="1:18" x14ac:dyDescent="0.25">
      <c r="A1742" t="s">
        <v>1856</v>
      </c>
      <c r="B1742" t="s">
        <v>55</v>
      </c>
      <c r="C1742" t="s">
        <v>1832</v>
      </c>
      <c r="D1742" t="s">
        <v>1833</v>
      </c>
      <c r="E1742" t="s">
        <v>78</v>
      </c>
      <c r="F1742" t="s">
        <v>252</v>
      </c>
      <c r="G1742">
        <v>6.3457999999999997</v>
      </c>
      <c r="H1742">
        <v>-75.856899999999996</v>
      </c>
      <c r="I1742" t="s">
        <v>1834</v>
      </c>
      <c r="J1742">
        <v>11</v>
      </c>
      <c r="M1742">
        <v>142</v>
      </c>
      <c r="N1742">
        <v>49</v>
      </c>
      <c r="O1742">
        <v>16</v>
      </c>
      <c r="P1742">
        <v>26</v>
      </c>
      <c r="Q1742">
        <v>22</v>
      </c>
      <c r="R1742">
        <v>31</v>
      </c>
    </row>
    <row r="1743" spans="1:18" x14ac:dyDescent="0.25">
      <c r="A1743" t="s">
        <v>1857</v>
      </c>
      <c r="B1743" t="s">
        <v>55</v>
      </c>
      <c r="C1743" t="s">
        <v>1832</v>
      </c>
      <c r="D1743" t="s">
        <v>1833</v>
      </c>
      <c r="E1743" t="s">
        <v>78</v>
      </c>
      <c r="F1743" t="s">
        <v>252</v>
      </c>
      <c r="G1743">
        <v>6.3457999999999997</v>
      </c>
      <c r="H1743">
        <v>-75.856899999999996</v>
      </c>
      <c r="I1743" t="s">
        <v>1834</v>
      </c>
      <c r="J1743">
        <v>11</v>
      </c>
      <c r="M1743">
        <v>140</v>
      </c>
      <c r="N1743">
        <v>20</v>
      </c>
      <c r="O1743">
        <v>28</v>
      </c>
      <c r="P1743">
        <v>42</v>
      </c>
      <c r="Q1743">
        <v>19</v>
      </c>
      <c r="R1743">
        <v>38</v>
      </c>
    </row>
    <row r="1744" spans="1:18" x14ac:dyDescent="0.25">
      <c r="A1744" t="s">
        <v>1858</v>
      </c>
      <c r="B1744" t="s">
        <v>55</v>
      </c>
      <c r="C1744" t="s">
        <v>1832</v>
      </c>
      <c r="D1744" t="s">
        <v>1833</v>
      </c>
      <c r="E1744" t="s">
        <v>78</v>
      </c>
      <c r="F1744" t="s">
        <v>252</v>
      </c>
      <c r="G1744">
        <v>6.3457999999999997</v>
      </c>
      <c r="H1744">
        <v>-75.856899999999996</v>
      </c>
      <c r="I1744" t="s">
        <v>1834</v>
      </c>
      <c r="J1744">
        <v>11</v>
      </c>
      <c r="M1744">
        <v>139</v>
      </c>
      <c r="N1744">
        <v>39</v>
      </c>
      <c r="O1744">
        <v>28</v>
      </c>
      <c r="P1744">
        <v>16</v>
      </c>
      <c r="Q1744">
        <v>24</v>
      </c>
      <c r="R1744">
        <v>40</v>
      </c>
    </row>
    <row r="1745" spans="1:18" x14ac:dyDescent="0.25">
      <c r="A1745" t="s">
        <v>1859</v>
      </c>
      <c r="B1745" t="s">
        <v>55</v>
      </c>
      <c r="C1745" t="s">
        <v>1832</v>
      </c>
      <c r="D1745" t="s">
        <v>1833</v>
      </c>
      <c r="E1745" t="s">
        <v>78</v>
      </c>
      <c r="F1745" t="s">
        <v>252</v>
      </c>
      <c r="G1745">
        <v>6.3457999999999997</v>
      </c>
      <c r="H1745">
        <v>-75.856899999999996</v>
      </c>
      <c r="I1745" t="s">
        <v>1834</v>
      </c>
      <c r="J1745">
        <v>11</v>
      </c>
      <c r="M1745">
        <v>139</v>
      </c>
      <c r="N1745">
        <v>34</v>
      </c>
      <c r="O1745">
        <v>12</v>
      </c>
      <c r="P1745">
        <v>32</v>
      </c>
      <c r="Q1745">
        <v>31</v>
      </c>
      <c r="R1745">
        <v>33</v>
      </c>
    </row>
    <row r="1746" spans="1:18" x14ac:dyDescent="0.25">
      <c r="A1746" t="s">
        <v>1860</v>
      </c>
      <c r="B1746" t="s">
        <v>55</v>
      </c>
      <c r="C1746" t="s">
        <v>1832</v>
      </c>
      <c r="D1746" t="s">
        <v>1833</v>
      </c>
      <c r="E1746" t="s">
        <v>78</v>
      </c>
      <c r="F1746" t="s">
        <v>252</v>
      </c>
      <c r="G1746">
        <v>6.3457999999999997</v>
      </c>
      <c r="H1746">
        <v>-75.856899999999996</v>
      </c>
      <c r="I1746" t="s">
        <v>1834</v>
      </c>
      <c r="J1746">
        <v>11</v>
      </c>
      <c r="M1746">
        <v>138</v>
      </c>
      <c r="N1746">
        <v>24</v>
      </c>
      <c r="O1746">
        <v>32</v>
      </c>
      <c r="P1746">
        <v>22</v>
      </c>
      <c r="Q1746">
        <v>28</v>
      </c>
      <c r="R1746">
        <v>40</v>
      </c>
    </row>
    <row r="1747" spans="1:18" x14ac:dyDescent="0.25">
      <c r="A1747" t="s">
        <v>1861</v>
      </c>
      <c r="B1747" t="s">
        <v>55</v>
      </c>
      <c r="C1747" t="s">
        <v>1832</v>
      </c>
      <c r="D1747" t="s">
        <v>1833</v>
      </c>
      <c r="E1747" t="s">
        <v>78</v>
      </c>
      <c r="F1747" t="s">
        <v>252</v>
      </c>
      <c r="G1747">
        <v>6.3457999999999997</v>
      </c>
      <c r="H1747">
        <v>-75.856899999999996</v>
      </c>
      <c r="I1747" t="s">
        <v>1834</v>
      </c>
      <c r="J1747">
        <v>11</v>
      </c>
      <c r="M1747">
        <v>134</v>
      </c>
      <c r="N1747">
        <v>24</v>
      </c>
      <c r="O1747">
        <v>26</v>
      </c>
      <c r="P1747">
        <v>26</v>
      </c>
      <c r="Q1747">
        <v>24</v>
      </c>
      <c r="R1747">
        <v>47</v>
      </c>
    </row>
    <row r="1748" spans="1:18" x14ac:dyDescent="0.25">
      <c r="A1748" t="s">
        <v>1862</v>
      </c>
      <c r="B1748" t="s">
        <v>55</v>
      </c>
      <c r="C1748" t="s">
        <v>1832</v>
      </c>
      <c r="D1748" t="s">
        <v>1833</v>
      </c>
      <c r="E1748" t="s">
        <v>78</v>
      </c>
      <c r="F1748" t="s">
        <v>252</v>
      </c>
      <c r="G1748">
        <v>6.3457999999999997</v>
      </c>
      <c r="H1748">
        <v>-75.856899999999996</v>
      </c>
      <c r="I1748" t="s">
        <v>1834</v>
      </c>
      <c r="J1748">
        <v>11</v>
      </c>
      <c r="M1748">
        <v>122</v>
      </c>
      <c r="N1748">
        <v>22</v>
      </c>
      <c r="O1748">
        <v>24</v>
      </c>
      <c r="P1748">
        <v>28</v>
      </c>
      <c r="Q1748">
        <v>21</v>
      </c>
      <c r="R1748">
        <v>35</v>
      </c>
    </row>
    <row r="1749" spans="1:18" x14ac:dyDescent="0.25">
      <c r="A1749" t="s">
        <v>1863</v>
      </c>
      <c r="B1749" t="s">
        <v>55</v>
      </c>
      <c r="C1749" t="s">
        <v>1832</v>
      </c>
      <c r="D1749" t="s">
        <v>1833</v>
      </c>
      <c r="E1749" t="s">
        <v>78</v>
      </c>
      <c r="F1749" t="s">
        <v>252</v>
      </c>
      <c r="G1749">
        <v>6.3457999999999997</v>
      </c>
      <c r="H1749">
        <v>-75.856899999999996</v>
      </c>
      <c r="I1749" t="s">
        <v>1834</v>
      </c>
      <c r="J1749">
        <v>11</v>
      </c>
      <c r="M1749">
        <v>94</v>
      </c>
      <c r="N1749">
        <v>41</v>
      </c>
      <c r="O1749">
        <v>12</v>
      </c>
      <c r="P1749">
        <v>16</v>
      </c>
      <c r="Q1749">
        <v>12</v>
      </c>
      <c r="R1749">
        <v>0</v>
      </c>
    </row>
    <row r="1750" spans="1:18" x14ac:dyDescent="0.25">
      <c r="A1750" t="s">
        <v>1864</v>
      </c>
      <c r="B1750" t="s">
        <v>55</v>
      </c>
      <c r="C1750" t="s">
        <v>1832</v>
      </c>
      <c r="D1750" t="s">
        <v>1833</v>
      </c>
      <c r="E1750" t="s">
        <v>78</v>
      </c>
      <c r="F1750" t="s">
        <v>252</v>
      </c>
      <c r="G1750">
        <v>6.3457999999999997</v>
      </c>
      <c r="H1750">
        <v>-75.856899999999996</v>
      </c>
      <c r="I1750" t="s">
        <v>1834</v>
      </c>
      <c r="J1750">
        <v>11</v>
      </c>
      <c r="M1750">
        <v>69</v>
      </c>
      <c r="N1750">
        <v>22</v>
      </c>
      <c r="O1750">
        <v>14</v>
      </c>
      <c r="P1750">
        <v>12</v>
      </c>
      <c r="Q1750">
        <v>12</v>
      </c>
      <c r="R1750">
        <v>0</v>
      </c>
    </row>
    <row r="1751" spans="1:18" x14ac:dyDescent="0.25">
      <c r="A1751" t="s">
        <v>1865</v>
      </c>
      <c r="B1751" t="s">
        <v>55</v>
      </c>
      <c r="C1751" t="s">
        <v>1866</v>
      </c>
      <c r="D1751" t="s">
        <v>1867</v>
      </c>
      <c r="E1751" t="s">
        <v>78</v>
      </c>
      <c r="F1751" t="s">
        <v>252</v>
      </c>
      <c r="G1751">
        <v>8.2750000000000004</v>
      </c>
      <c r="H1751">
        <v>-76.369</v>
      </c>
      <c r="I1751" t="s">
        <v>1868</v>
      </c>
      <c r="J1751">
        <v>11</v>
      </c>
      <c r="M1751">
        <v>271</v>
      </c>
      <c r="N1751">
        <v>61</v>
      </c>
      <c r="O1751">
        <v>36</v>
      </c>
      <c r="P1751">
        <v>72</v>
      </c>
      <c r="Q1751">
        <v>45</v>
      </c>
      <c r="R1751">
        <v>64</v>
      </c>
    </row>
    <row r="1752" spans="1:18" x14ac:dyDescent="0.25">
      <c r="A1752" t="s">
        <v>1869</v>
      </c>
      <c r="B1752" t="s">
        <v>55</v>
      </c>
      <c r="C1752" t="s">
        <v>1866</v>
      </c>
      <c r="D1752" t="s">
        <v>1867</v>
      </c>
      <c r="E1752" t="s">
        <v>78</v>
      </c>
      <c r="F1752" t="s">
        <v>252</v>
      </c>
      <c r="G1752">
        <v>8.2750000000000004</v>
      </c>
      <c r="H1752">
        <v>-76.369</v>
      </c>
      <c r="I1752" t="s">
        <v>1868</v>
      </c>
      <c r="J1752">
        <v>11</v>
      </c>
      <c r="M1752">
        <v>268</v>
      </c>
      <c r="N1752">
        <v>59</v>
      </c>
      <c r="O1752">
        <v>48</v>
      </c>
      <c r="P1752">
        <v>56</v>
      </c>
      <c r="Q1752">
        <v>41</v>
      </c>
      <c r="R1752">
        <v>85</v>
      </c>
    </row>
    <row r="1753" spans="1:18" x14ac:dyDescent="0.25">
      <c r="A1753" t="s">
        <v>1870</v>
      </c>
      <c r="B1753" t="s">
        <v>55</v>
      </c>
      <c r="C1753" t="s">
        <v>1866</v>
      </c>
      <c r="D1753" t="s">
        <v>1867</v>
      </c>
      <c r="E1753" t="s">
        <v>78</v>
      </c>
      <c r="F1753" t="s">
        <v>252</v>
      </c>
      <c r="G1753">
        <v>8.2750000000000004</v>
      </c>
      <c r="H1753">
        <v>-76.369</v>
      </c>
      <c r="I1753" t="s">
        <v>1868</v>
      </c>
      <c r="J1753">
        <v>11</v>
      </c>
      <c r="M1753">
        <v>265</v>
      </c>
      <c r="N1753">
        <v>71</v>
      </c>
      <c r="O1753">
        <v>32</v>
      </c>
      <c r="P1753">
        <v>58</v>
      </c>
      <c r="Q1753">
        <v>40</v>
      </c>
      <c r="R1753">
        <v>89</v>
      </c>
    </row>
    <row r="1754" spans="1:18" x14ac:dyDescent="0.25">
      <c r="A1754" t="s">
        <v>1871</v>
      </c>
      <c r="B1754" t="s">
        <v>55</v>
      </c>
      <c r="C1754" t="s">
        <v>1866</v>
      </c>
      <c r="D1754" t="s">
        <v>1867</v>
      </c>
      <c r="E1754" t="s">
        <v>78</v>
      </c>
      <c r="F1754" t="s">
        <v>252</v>
      </c>
      <c r="G1754">
        <v>8.2750000000000004</v>
      </c>
      <c r="H1754">
        <v>-76.369</v>
      </c>
      <c r="I1754" t="s">
        <v>1868</v>
      </c>
      <c r="J1754">
        <v>11</v>
      </c>
      <c r="M1754">
        <v>246</v>
      </c>
      <c r="N1754">
        <v>54</v>
      </c>
      <c r="O1754">
        <v>30</v>
      </c>
      <c r="P1754">
        <v>60</v>
      </c>
      <c r="Q1754">
        <v>50</v>
      </c>
      <c r="R1754">
        <v>58</v>
      </c>
    </row>
    <row r="1755" spans="1:18" x14ac:dyDescent="0.25">
      <c r="A1755" t="s">
        <v>1872</v>
      </c>
      <c r="B1755" t="s">
        <v>55</v>
      </c>
      <c r="C1755" t="s">
        <v>1866</v>
      </c>
      <c r="D1755" t="s">
        <v>1867</v>
      </c>
      <c r="E1755" t="s">
        <v>78</v>
      </c>
      <c r="F1755" t="s">
        <v>252</v>
      </c>
      <c r="G1755">
        <v>8.2750000000000004</v>
      </c>
      <c r="H1755">
        <v>-76.369</v>
      </c>
      <c r="I1755" t="s">
        <v>1868</v>
      </c>
      <c r="J1755">
        <v>11</v>
      </c>
      <c r="M1755">
        <v>240</v>
      </c>
      <c r="N1755">
        <v>49</v>
      </c>
      <c r="O1755">
        <v>42</v>
      </c>
      <c r="P1755">
        <v>64</v>
      </c>
      <c r="Q1755">
        <v>38</v>
      </c>
      <c r="R1755">
        <v>45</v>
      </c>
    </row>
    <row r="1756" spans="1:18" x14ac:dyDescent="0.25">
      <c r="A1756" t="s">
        <v>1873</v>
      </c>
      <c r="B1756" t="s">
        <v>55</v>
      </c>
      <c r="C1756" t="s">
        <v>1866</v>
      </c>
      <c r="D1756" t="s">
        <v>1867</v>
      </c>
      <c r="E1756" t="s">
        <v>78</v>
      </c>
      <c r="F1756" t="s">
        <v>252</v>
      </c>
      <c r="G1756">
        <v>8.2750000000000004</v>
      </c>
      <c r="H1756">
        <v>-76.369</v>
      </c>
      <c r="I1756" t="s">
        <v>1868</v>
      </c>
      <c r="J1756">
        <v>11</v>
      </c>
      <c r="M1756">
        <v>232</v>
      </c>
      <c r="N1756">
        <v>46</v>
      </c>
      <c r="O1756">
        <v>40</v>
      </c>
      <c r="P1756">
        <v>58</v>
      </c>
      <c r="Q1756">
        <v>41</v>
      </c>
      <c r="R1756">
        <v>47</v>
      </c>
    </row>
    <row r="1757" spans="1:18" x14ac:dyDescent="0.25">
      <c r="A1757" t="s">
        <v>1874</v>
      </c>
      <c r="B1757" t="s">
        <v>55</v>
      </c>
      <c r="C1757" t="s">
        <v>1866</v>
      </c>
      <c r="D1757" t="s">
        <v>1867</v>
      </c>
      <c r="E1757" t="s">
        <v>78</v>
      </c>
      <c r="F1757" t="s">
        <v>252</v>
      </c>
      <c r="G1757">
        <v>8.2750000000000004</v>
      </c>
      <c r="H1757">
        <v>-76.369</v>
      </c>
      <c r="I1757" t="s">
        <v>1868</v>
      </c>
      <c r="J1757">
        <v>11</v>
      </c>
      <c r="M1757">
        <v>229</v>
      </c>
      <c r="N1757">
        <v>51</v>
      </c>
      <c r="O1757">
        <v>34</v>
      </c>
      <c r="P1757">
        <v>54</v>
      </c>
      <c r="Q1757">
        <v>40</v>
      </c>
      <c r="R1757">
        <v>58</v>
      </c>
    </row>
    <row r="1758" spans="1:18" x14ac:dyDescent="0.25">
      <c r="A1758" t="s">
        <v>1875</v>
      </c>
      <c r="B1758" t="s">
        <v>55</v>
      </c>
      <c r="C1758" t="s">
        <v>1866</v>
      </c>
      <c r="D1758" t="s">
        <v>1867</v>
      </c>
      <c r="E1758" t="s">
        <v>78</v>
      </c>
      <c r="F1758" t="s">
        <v>252</v>
      </c>
      <c r="G1758">
        <v>8.2750000000000004</v>
      </c>
      <c r="H1758">
        <v>-76.369</v>
      </c>
      <c r="I1758" t="s">
        <v>1868</v>
      </c>
      <c r="J1758">
        <v>11</v>
      </c>
      <c r="M1758">
        <v>227</v>
      </c>
      <c r="N1758">
        <v>56</v>
      </c>
      <c r="O1758">
        <v>30</v>
      </c>
      <c r="P1758">
        <v>56</v>
      </c>
      <c r="Q1758">
        <v>41</v>
      </c>
      <c r="R1758">
        <v>40</v>
      </c>
    </row>
    <row r="1759" spans="1:18" x14ac:dyDescent="0.25">
      <c r="A1759" t="s">
        <v>1876</v>
      </c>
      <c r="B1759" t="s">
        <v>55</v>
      </c>
      <c r="C1759" t="s">
        <v>1866</v>
      </c>
      <c r="D1759" t="s">
        <v>1867</v>
      </c>
      <c r="E1759" t="s">
        <v>78</v>
      </c>
      <c r="F1759" t="s">
        <v>252</v>
      </c>
      <c r="G1759">
        <v>8.2750000000000004</v>
      </c>
      <c r="H1759">
        <v>-76.369</v>
      </c>
      <c r="I1759" t="s">
        <v>1868</v>
      </c>
      <c r="J1759">
        <v>11</v>
      </c>
      <c r="M1759">
        <v>226</v>
      </c>
      <c r="N1759">
        <v>54</v>
      </c>
      <c r="O1759">
        <v>24</v>
      </c>
      <c r="P1759">
        <v>62</v>
      </c>
      <c r="Q1759">
        <v>33</v>
      </c>
      <c r="R1759">
        <v>69</v>
      </c>
    </row>
    <row r="1760" spans="1:18" x14ac:dyDescent="0.25">
      <c r="A1760" t="s">
        <v>1877</v>
      </c>
      <c r="B1760" t="s">
        <v>55</v>
      </c>
      <c r="C1760" t="s">
        <v>1866</v>
      </c>
      <c r="D1760" t="s">
        <v>1867</v>
      </c>
      <c r="E1760" t="s">
        <v>78</v>
      </c>
      <c r="F1760" t="s">
        <v>252</v>
      </c>
      <c r="G1760">
        <v>8.2750000000000004</v>
      </c>
      <c r="H1760">
        <v>-76.369</v>
      </c>
      <c r="I1760" t="s">
        <v>1868</v>
      </c>
      <c r="J1760">
        <v>11</v>
      </c>
      <c r="M1760">
        <v>221</v>
      </c>
      <c r="N1760">
        <v>61</v>
      </c>
      <c r="O1760">
        <v>28</v>
      </c>
      <c r="P1760">
        <v>64</v>
      </c>
      <c r="Q1760">
        <v>24</v>
      </c>
      <c r="R1760">
        <v>44</v>
      </c>
    </row>
    <row r="1761" spans="1:18" x14ac:dyDescent="0.25">
      <c r="A1761" t="s">
        <v>1878</v>
      </c>
      <c r="B1761" t="s">
        <v>55</v>
      </c>
      <c r="C1761" t="s">
        <v>1866</v>
      </c>
      <c r="D1761" t="s">
        <v>1867</v>
      </c>
      <c r="E1761" t="s">
        <v>78</v>
      </c>
      <c r="F1761" t="s">
        <v>252</v>
      </c>
      <c r="G1761">
        <v>8.2750000000000004</v>
      </c>
      <c r="H1761">
        <v>-76.369</v>
      </c>
      <c r="I1761" t="s">
        <v>1868</v>
      </c>
      <c r="J1761">
        <v>11</v>
      </c>
      <c r="M1761">
        <v>207</v>
      </c>
      <c r="N1761">
        <v>46</v>
      </c>
      <c r="O1761">
        <v>26</v>
      </c>
      <c r="P1761">
        <v>54</v>
      </c>
      <c r="Q1761">
        <v>38</v>
      </c>
      <c r="R1761">
        <v>45</v>
      </c>
    </row>
    <row r="1762" spans="1:18" x14ac:dyDescent="0.25">
      <c r="A1762" t="s">
        <v>1879</v>
      </c>
      <c r="B1762" t="s">
        <v>55</v>
      </c>
      <c r="C1762" t="s">
        <v>1866</v>
      </c>
      <c r="D1762" t="s">
        <v>1867</v>
      </c>
      <c r="E1762" t="s">
        <v>78</v>
      </c>
      <c r="F1762" t="s">
        <v>252</v>
      </c>
      <c r="G1762">
        <v>8.2750000000000004</v>
      </c>
      <c r="H1762">
        <v>-76.369</v>
      </c>
      <c r="I1762" t="s">
        <v>1868</v>
      </c>
      <c r="J1762">
        <v>11</v>
      </c>
      <c r="M1762">
        <v>206</v>
      </c>
      <c r="N1762">
        <v>51</v>
      </c>
      <c r="O1762">
        <v>26</v>
      </c>
      <c r="P1762">
        <v>46</v>
      </c>
      <c r="Q1762">
        <v>40</v>
      </c>
      <c r="R1762">
        <v>47</v>
      </c>
    </row>
    <row r="1763" spans="1:18" x14ac:dyDescent="0.25">
      <c r="A1763" t="s">
        <v>1880</v>
      </c>
      <c r="B1763" t="s">
        <v>55</v>
      </c>
      <c r="C1763" t="s">
        <v>1866</v>
      </c>
      <c r="D1763" t="s">
        <v>1867</v>
      </c>
      <c r="E1763" t="s">
        <v>78</v>
      </c>
      <c r="F1763" t="s">
        <v>252</v>
      </c>
      <c r="G1763">
        <v>8.2750000000000004</v>
      </c>
      <c r="H1763">
        <v>-76.369</v>
      </c>
      <c r="I1763" t="s">
        <v>1868</v>
      </c>
      <c r="J1763">
        <v>11</v>
      </c>
      <c r="M1763">
        <v>206</v>
      </c>
      <c r="N1763">
        <v>46</v>
      </c>
      <c r="O1763">
        <v>22</v>
      </c>
      <c r="P1763">
        <v>50</v>
      </c>
      <c r="Q1763">
        <v>43</v>
      </c>
      <c r="R1763">
        <v>51</v>
      </c>
    </row>
    <row r="1764" spans="1:18" x14ac:dyDescent="0.25">
      <c r="A1764" t="s">
        <v>1881</v>
      </c>
      <c r="B1764" t="s">
        <v>55</v>
      </c>
      <c r="C1764" t="s">
        <v>1866</v>
      </c>
      <c r="D1764" t="s">
        <v>1867</v>
      </c>
      <c r="E1764" t="s">
        <v>78</v>
      </c>
      <c r="F1764" t="s">
        <v>252</v>
      </c>
      <c r="G1764">
        <v>8.2750000000000004</v>
      </c>
      <c r="H1764">
        <v>-76.369</v>
      </c>
      <c r="I1764" t="s">
        <v>1868</v>
      </c>
      <c r="J1764">
        <v>11</v>
      </c>
      <c r="M1764">
        <v>201</v>
      </c>
      <c r="N1764">
        <v>46</v>
      </c>
      <c r="O1764">
        <v>32</v>
      </c>
      <c r="P1764">
        <v>58</v>
      </c>
      <c r="Q1764">
        <v>21</v>
      </c>
      <c r="R1764">
        <v>53</v>
      </c>
    </row>
    <row r="1765" spans="1:18" x14ac:dyDescent="0.25">
      <c r="A1765" t="s">
        <v>1882</v>
      </c>
      <c r="B1765" t="s">
        <v>55</v>
      </c>
      <c r="C1765" t="s">
        <v>1866</v>
      </c>
      <c r="D1765" t="s">
        <v>1867</v>
      </c>
      <c r="E1765" t="s">
        <v>78</v>
      </c>
      <c r="F1765" t="s">
        <v>252</v>
      </c>
      <c r="G1765">
        <v>8.2750000000000004</v>
      </c>
      <c r="H1765">
        <v>-76.369</v>
      </c>
      <c r="I1765" t="s">
        <v>1868</v>
      </c>
      <c r="J1765">
        <v>11</v>
      </c>
      <c r="M1765">
        <v>199</v>
      </c>
      <c r="N1765">
        <v>39</v>
      </c>
      <c r="O1765">
        <v>30</v>
      </c>
      <c r="P1765">
        <v>46</v>
      </c>
      <c r="Q1765">
        <v>41</v>
      </c>
      <c r="R1765">
        <v>47</v>
      </c>
    </row>
    <row r="1766" spans="1:18" x14ac:dyDescent="0.25">
      <c r="A1766" t="s">
        <v>1883</v>
      </c>
      <c r="B1766" t="s">
        <v>55</v>
      </c>
      <c r="C1766" t="s">
        <v>1866</v>
      </c>
      <c r="D1766" t="s">
        <v>1867</v>
      </c>
      <c r="E1766" t="s">
        <v>78</v>
      </c>
      <c r="F1766" t="s">
        <v>252</v>
      </c>
      <c r="G1766">
        <v>8.2750000000000004</v>
      </c>
      <c r="H1766">
        <v>-76.369</v>
      </c>
      <c r="I1766" t="s">
        <v>1868</v>
      </c>
      <c r="J1766">
        <v>11</v>
      </c>
      <c r="M1766">
        <v>198</v>
      </c>
      <c r="N1766">
        <v>49</v>
      </c>
      <c r="O1766">
        <v>26</v>
      </c>
      <c r="P1766">
        <v>44</v>
      </c>
      <c r="Q1766">
        <v>36</v>
      </c>
      <c r="R1766">
        <v>51</v>
      </c>
    </row>
    <row r="1767" spans="1:18" x14ac:dyDescent="0.25">
      <c r="A1767" t="s">
        <v>1884</v>
      </c>
      <c r="B1767" t="s">
        <v>55</v>
      </c>
      <c r="C1767" t="s">
        <v>1866</v>
      </c>
      <c r="D1767" t="s">
        <v>1867</v>
      </c>
      <c r="E1767" t="s">
        <v>78</v>
      </c>
      <c r="F1767" t="s">
        <v>252</v>
      </c>
      <c r="G1767">
        <v>8.2750000000000004</v>
      </c>
      <c r="H1767">
        <v>-76.369</v>
      </c>
      <c r="I1767" t="s">
        <v>1868</v>
      </c>
      <c r="J1767">
        <v>11</v>
      </c>
      <c r="M1767">
        <v>192</v>
      </c>
      <c r="N1767">
        <v>41</v>
      </c>
      <c r="O1767">
        <v>28</v>
      </c>
      <c r="P1767">
        <v>54</v>
      </c>
      <c r="Q1767">
        <v>33</v>
      </c>
      <c r="R1767">
        <v>31</v>
      </c>
    </row>
    <row r="1768" spans="1:18" x14ac:dyDescent="0.25">
      <c r="A1768" t="s">
        <v>1885</v>
      </c>
      <c r="B1768" t="s">
        <v>55</v>
      </c>
      <c r="C1768" t="s">
        <v>1866</v>
      </c>
      <c r="D1768" t="s">
        <v>1867</v>
      </c>
      <c r="E1768" t="s">
        <v>78</v>
      </c>
      <c r="F1768" t="s">
        <v>252</v>
      </c>
      <c r="G1768">
        <v>8.2750000000000004</v>
      </c>
      <c r="H1768">
        <v>-76.369</v>
      </c>
      <c r="I1768" t="s">
        <v>1868</v>
      </c>
      <c r="J1768">
        <v>11</v>
      </c>
      <c r="M1768">
        <v>191</v>
      </c>
      <c r="N1768">
        <v>39</v>
      </c>
      <c r="O1768">
        <v>26</v>
      </c>
      <c r="P1768">
        <v>52</v>
      </c>
      <c r="Q1768">
        <v>29</v>
      </c>
      <c r="R1768">
        <v>58</v>
      </c>
    </row>
    <row r="1769" spans="1:18" x14ac:dyDescent="0.25">
      <c r="A1769" t="s">
        <v>1886</v>
      </c>
      <c r="B1769" t="s">
        <v>55</v>
      </c>
      <c r="C1769" t="s">
        <v>1866</v>
      </c>
      <c r="D1769" t="s">
        <v>1867</v>
      </c>
      <c r="E1769" t="s">
        <v>78</v>
      </c>
      <c r="F1769" t="s">
        <v>252</v>
      </c>
      <c r="G1769">
        <v>8.2750000000000004</v>
      </c>
      <c r="H1769">
        <v>-76.369</v>
      </c>
      <c r="I1769" t="s">
        <v>1868</v>
      </c>
      <c r="J1769">
        <v>11</v>
      </c>
      <c r="M1769">
        <v>191</v>
      </c>
      <c r="N1769">
        <v>49</v>
      </c>
      <c r="O1769">
        <v>26</v>
      </c>
      <c r="P1769">
        <v>54</v>
      </c>
      <c r="Q1769">
        <v>26</v>
      </c>
      <c r="R1769">
        <v>33</v>
      </c>
    </row>
    <row r="1770" spans="1:18" x14ac:dyDescent="0.25">
      <c r="A1770" t="s">
        <v>1887</v>
      </c>
      <c r="B1770" t="s">
        <v>55</v>
      </c>
      <c r="C1770" t="s">
        <v>1866</v>
      </c>
      <c r="D1770" t="s">
        <v>1867</v>
      </c>
      <c r="E1770" t="s">
        <v>78</v>
      </c>
      <c r="F1770" t="s">
        <v>252</v>
      </c>
      <c r="G1770">
        <v>8.2750000000000004</v>
      </c>
      <c r="H1770">
        <v>-76.369</v>
      </c>
      <c r="I1770" t="s">
        <v>1868</v>
      </c>
      <c r="J1770">
        <v>11</v>
      </c>
      <c r="M1770">
        <v>185</v>
      </c>
      <c r="N1770">
        <v>34</v>
      </c>
      <c r="O1770">
        <v>18</v>
      </c>
      <c r="P1770">
        <v>64</v>
      </c>
      <c r="Q1770">
        <v>29</v>
      </c>
      <c r="R1770">
        <v>45</v>
      </c>
    </row>
    <row r="1771" spans="1:18" x14ac:dyDescent="0.25">
      <c r="A1771" t="s">
        <v>1888</v>
      </c>
      <c r="B1771" t="s">
        <v>55</v>
      </c>
      <c r="C1771" t="s">
        <v>1866</v>
      </c>
      <c r="D1771" t="s">
        <v>1867</v>
      </c>
      <c r="E1771" t="s">
        <v>78</v>
      </c>
      <c r="F1771" t="s">
        <v>252</v>
      </c>
      <c r="G1771">
        <v>8.2750000000000004</v>
      </c>
      <c r="H1771">
        <v>-76.369</v>
      </c>
      <c r="I1771" t="s">
        <v>1868</v>
      </c>
      <c r="J1771">
        <v>11</v>
      </c>
      <c r="M1771">
        <v>185</v>
      </c>
      <c r="N1771">
        <v>41</v>
      </c>
      <c r="O1771">
        <v>18</v>
      </c>
      <c r="P1771">
        <v>50</v>
      </c>
      <c r="Q1771">
        <v>34</v>
      </c>
      <c r="R1771">
        <v>49</v>
      </c>
    </row>
    <row r="1772" spans="1:18" x14ac:dyDescent="0.25">
      <c r="A1772" t="s">
        <v>1889</v>
      </c>
      <c r="B1772" t="s">
        <v>55</v>
      </c>
      <c r="C1772" t="s">
        <v>1866</v>
      </c>
      <c r="D1772" t="s">
        <v>1867</v>
      </c>
      <c r="E1772" t="s">
        <v>78</v>
      </c>
      <c r="F1772" t="s">
        <v>252</v>
      </c>
      <c r="G1772">
        <v>8.2750000000000004</v>
      </c>
      <c r="H1772">
        <v>-76.369</v>
      </c>
      <c r="I1772" t="s">
        <v>1868</v>
      </c>
      <c r="J1772">
        <v>11</v>
      </c>
      <c r="M1772">
        <v>182</v>
      </c>
      <c r="N1772">
        <v>27</v>
      </c>
      <c r="O1772">
        <v>28</v>
      </c>
      <c r="P1772">
        <v>60</v>
      </c>
      <c r="Q1772">
        <v>31</v>
      </c>
      <c r="R1772">
        <v>36</v>
      </c>
    </row>
    <row r="1773" spans="1:18" x14ac:dyDescent="0.25">
      <c r="A1773" t="s">
        <v>1890</v>
      </c>
      <c r="B1773" t="s">
        <v>55</v>
      </c>
      <c r="C1773" t="s">
        <v>1866</v>
      </c>
      <c r="D1773" t="s">
        <v>1867</v>
      </c>
      <c r="E1773" t="s">
        <v>78</v>
      </c>
      <c r="F1773" t="s">
        <v>252</v>
      </c>
      <c r="G1773">
        <v>8.2750000000000004</v>
      </c>
      <c r="H1773">
        <v>-76.369</v>
      </c>
      <c r="I1773" t="s">
        <v>1868</v>
      </c>
      <c r="J1773">
        <v>11</v>
      </c>
      <c r="M1773">
        <v>182</v>
      </c>
      <c r="N1773">
        <v>41</v>
      </c>
      <c r="O1773">
        <v>22</v>
      </c>
      <c r="P1773">
        <v>44</v>
      </c>
      <c r="Q1773">
        <v>33</v>
      </c>
      <c r="R1773">
        <v>53</v>
      </c>
    </row>
    <row r="1774" spans="1:18" x14ac:dyDescent="0.25">
      <c r="A1774" t="s">
        <v>1891</v>
      </c>
      <c r="B1774" t="s">
        <v>55</v>
      </c>
      <c r="C1774" t="s">
        <v>1866</v>
      </c>
      <c r="D1774" t="s">
        <v>1867</v>
      </c>
      <c r="E1774" t="s">
        <v>78</v>
      </c>
      <c r="F1774" t="s">
        <v>252</v>
      </c>
      <c r="G1774">
        <v>8.2750000000000004</v>
      </c>
      <c r="H1774">
        <v>-76.369</v>
      </c>
      <c r="I1774" t="s">
        <v>1868</v>
      </c>
      <c r="J1774">
        <v>11</v>
      </c>
      <c r="M1774">
        <v>182</v>
      </c>
      <c r="N1774">
        <v>44</v>
      </c>
      <c r="O1774">
        <v>32</v>
      </c>
      <c r="P1774">
        <v>40</v>
      </c>
      <c r="Q1774">
        <v>33</v>
      </c>
      <c r="R1774">
        <v>27</v>
      </c>
    </row>
    <row r="1775" spans="1:18" x14ac:dyDescent="0.25">
      <c r="A1775" t="s">
        <v>1892</v>
      </c>
      <c r="B1775" t="s">
        <v>55</v>
      </c>
      <c r="C1775" t="s">
        <v>1866</v>
      </c>
      <c r="D1775" t="s">
        <v>1867</v>
      </c>
      <c r="E1775" t="s">
        <v>78</v>
      </c>
      <c r="F1775" t="s">
        <v>252</v>
      </c>
      <c r="G1775">
        <v>8.2750000000000004</v>
      </c>
      <c r="H1775">
        <v>-76.369</v>
      </c>
      <c r="I1775" t="s">
        <v>1868</v>
      </c>
      <c r="J1775">
        <v>11</v>
      </c>
      <c r="M1775">
        <v>181</v>
      </c>
      <c r="N1775">
        <v>44</v>
      </c>
      <c r="O1775">
        <v>32</v>
      </c>
      <c r="P1775">
        <v>38</v>
      </c>
      <c r="Q1775">
        <v>31</v>
      </c>
      <c r="R1775">
        <v>35</v>
      </c>
    </row>
    <row r="1776" spans="1:18" x14ac:dyDescent="0.25">
      <c r="A1776" t="s">
        <v>1893</v>
      </c>
      <c r="B1776" t="s">
        <v>55</v>
      </c>
      <c r="C1776" t="s">
        <v>1866</v>
      </c>
      <c r="D1776" t="s">
        <v>1867</v>
      </c>
      <c r="E1776" t="s">
        <v>78</v>
      </c>
      <c r="F1776" t="s">
        <v>252</v>
      </c>
      <c r="G1776">
        <v>8.2750000000000004</v>
      </c>
      <c r="H1776">
        <v>-76.369</v>
      </c>
      <c r="I1776" t="s">
        <v>1868</v>
      </c>
      <c r="J1776">
        <v>11</v>
      </c>
      <c r="M1776">
        <v>180</v>
      </c>
      <c r="N1776">
        <v>46</v>
      </c>
      <c r="O1776">
        <v>20</v>
      </c>
      <c r="P1776">
        <v>38</v>
      </c>
      <c r="Q1776">
        <v>41</v>
      </c>
      <c r="R1776">
        <v>31</v>
      </c>
    </row>
    <row r="1777" spans="1:18" x14ac:dyDescent="0.25">
      <c r="A1777" t="s">
        <v>1894</v>
      </c>
      <c r="B1777" t="s">
        <v>55</v>
      </c>
      <c r="C1777" t="s">
        <v>1866</v>
      </c>
      <c r="D1777" t="s">
        <v>1867</v>
      </c>
      <c r="E1777" t="s">
        <v>78</v>
      </c>
      <c r="F1777" t="s">
        <v>252</v>
      </c>
      <c r="G1777">
        <v>8.2750000000000004</v>
      </c>
      <c r="H1777">
        <v>-76.369</v>
      </c>
      <c r="I1777" t="s">
        <v>1868</v>
      </c>
      <c r="J1777">
        <v>11</v>
      </c>
      <c r="M1777">
        <v>179</v>
      </c>
      <c r="N1777">
        <v>46</v>
      </c>
      <c r="O1777">
        <v>24</v>
      </c>
      <c r="P1777">
        <v>50</v>
      </c>
      <c r="Q1777">
        <v>24</v>
      </c>
      <c r="R1777">
        <v>31</v>
      </c>
    </row>
    <row r="1778" spans="1:18" x14ac:dyDescent="0.25">
      <c r="A1778" t="s">
        <v>1895</v>
      </c>
      <c r="B1778" t="s">
        <v>55</v>
      </c>
      <c r="C1778" t="s">
        <v>1866</v>
      </c>
      <c r="D1778" t="s">
        <v>1867</v>
      </c>
      <c r="E1778" t="s">
        <v>78</v>
      </c>
      <c r="F1778" t="s">
        <v>252</v>
      </c>
      <c r="G1778">
        <v>8.2750000000000004</v>
      </c>
      <c r="H1778">
        <v>-76.369</v>
      </c>
      <c r="I1778" t="s">
        <v>1868</v>
      </c>
      <c r="J1778">
        <v>11</v>
      </c>
      <c r="M1778">
        <v>175</v>
      </c>
      <c r="N1778">
        <v>46</v>
      </c>
      <c r="O1778">
        <v>30</v>
      </c>
      <c r="P1778">
        <v>40</v>
      </c>
      <c r="Q1778">
        <v>24</v>
      </c>
      <c r="R1778">
        <v>35</v>
      </c>
    </row>
    <row r="1779" spans="1:18" x14ac:dyDescent="0.25">
      <c r="A1779" t="s">
        <v>1896</v>
      </c>
      <c r="B1779" t="s">
        <v>55</v>
      </c>
      <c r="C1779" t="s">
        <v>1866</v>
      </c>
      <c r="D1779" t="s">
        <v>1867</v>
      </c>
      <c r="E1779" t="s">
        <v>78</v>
      </c>
      <c r="F1779" t="s">
        <v>252</v>
      </c>
      <c r="G1779">
        <v>8.2750000000000004</v>
      </c>
      <c r="H1779">
        <v>-76.369</v>
      </c>
      <c r="I1779" t="s">
        <v>1868</v>
      </c>
      <c r="J1779">
        <v>11</v>
      </c>
      <c r="M1779">
        <v>174</v>
      </c>
      <c r="N1779">
        <v>51</v>
      </c>
      <c r="O1779">
        <v>18</v>
      </c>
      <c r="P1779">
        <v>40</v>
      </c>
      <c r="Q1779">
        <v>24</v>
      </c>
      <c r="R1779">
        <v>53</v>
      </c>
    </row>
    <row r="1780" spans="1:18" x14ac:dyDescent="0.25">
      <c r="A1780" t="s">
        <v>1897</v>
      </c>
      <c r="B1780" t="s">
        <v>55</v>
      </c>
      <c r="C1780" t="s">
        <v>1866</v>
      </c>
      <c r="D1780" t="s">
        <v>1867</v>
      </c>
      <c r="E1780" t="s">
        <v>78</v>
      </c>
      <c r="F1780" t="s">
        <v>252</v>
      </c>
      <c r="G1780">
        <v>8.2750000000000004</v>
      </c>
      <c r="H1780">
        <v>-76.369</v>
      </c>
      <c r="I1780" t="s">
        <v>1868</v>
      </c>
      <c r="J1780">
        <v>11</v>
      </c>
      <c r="M1780">
        <v>171</v>
      </c>
      <c r="N1780">
        <v>29</v>
      </c>
      <c r="O1780">
        <v>30</v>
      </c>
      <c r="P1780">
        <v>32</v>
      </c>
      <c r="Q1780">
        <v>29</v>
      </c>
      <c r="R1780">
        <v>82</v>
      </c>
    </row>
    <row r="1781" spans="1:18" x14ac:dyDescent="0.25">
      <c r="A1781" t="s">
        <v>1898</v>
      </c>
      <c r="B1781" t="s">
        <v>55</v>
      </c>
      <c r="C1781" t="s">
        <v>1866</v>
      </c>
      <c r="D1781" t="s">
        <v>1867</v>
      </c>
      <c r="E1781" t="s">
        <v>78</v>
      </c>
      <c r="F1781" t="s">
        <v>252</v>
      </c>
      <c r="G1781">
        <v>8.2750000000000004</v>
      </c>
      <c r="H1781">
        <v>-76.369</v>
      </c>
      <c r="I1781" t="s">
        <v>1868</v>
      </c>
      <c r="J1781">
        <v>11</v>
      </c>
      <c r="M1781">
        <v>168</v>
      </c>
      <c r="N1781">
        <v>41</v>
      </c>
      <c r="O1781">
        <v>30</v>
      </c>
      <c r="P1781">
        <v>36</v>
      </c>
      <c r="Q1781">
        <v>29</v>
      </c>
      <c r="R1781">
        <v>25</v>
      </c>
    </row>
    <row r="1782" spans="1:18" x14ac:dyDescent="0.25">
      <c r="A1782" t="s">
        <v>1899</v>
      </c>
      <c r="B1782" t="s">
        <v>55</v>
      </c>
      <c r="C1782" t="s">
        <v>1866</v>
      </c>
      <c r="D1782" t="s">
        <v>1867</v>
      </c>
      <c r="E1782" t="s">
        <v>78</v>
      </c>
      <c r="F1782" t="s">
        <v>252</v>
      </c>
      <c r="G1782">
        <v>8.2750000000000004</v>
      </c>
      <c r="H1782">
        <v>-76.369</v>
      </c>
      <c r="I1782" t="s">
        <v>1868</v>
      </c>
      <c r="J1782">
        <v>11</v>
      </c>
      <c r="M1782">
        <v>166</v>
      </c>
      <c r="N1782">
        <v>39</v>
      </c>
      <c r="O1782">
        <v>24</v>
      </c>
      <c r="P1782">
        <v>38</v>
      </c>
      <c r="Q1782">
        <v>33</v>
      </c>
      <c r="R1782">
        <v>31</v>
      </c>
    </row>
    <row r="1783" spans="1:18" x14ac:dyDescent="0.25">
      <c r="A1783" t="s">
        <v>1900</v>
      </c>
      <c r="B1783" t="s">
        <v>55</v>
      </c>
      <c r="C1783" t="s">
        <v>1866</v>
      </c>
      <c r="D1783" t="s">
        <v>1867</v>
      </c>
      <c r="E1783" t="s">
        <v>78</v>
      </c>
      <c r="F1783" t="s">
        <v>252</v>
      </c>
      <c r="G1783">
        <v>8.2750000000000004</v>
      </c>
      <c r="H1783">
        <v>-76.369</v>
      </c>
      <c r="I1783" t="s">
        <v>1868</v>
      </c>
      <c r="J1783">
        <v>11</v>
      </c>
      <c r="M1783">
        <v>165</v>
      </c>
      <c r="N1783">
        <v>29</v>
      </c>
      <c r="O1783">
        <v>30</v>
      </c>
      <c r="P1783">
        <v>40</v>
      </c>
      <c r="Q1783">
        <v>28</v>
      </c>
      <c r="R1783">
        <v>47</v>
      </c>
    </row>
    <row r="1784" spans="1:18" x14ac:dyDescent="0.25">
      <c r="A1784" t="s">
        <v>1901</v>
      </c>
      <c r="B1784" t="s">
        <v>55</v>
      </c>
      <c r="C1784" t="s">
        <v>1866</v>
      </c>
      <c r="D1784" t="s">
        <v>1867</v>
      </c>
      <c r="E1784" t="s">
        <v>78</v>
      </c>
      <c r="F1784" t="s">
        <v>252</v>
      </c>
      <c r="G1784">
        <v>8.2750000000000004</v>
      </c>
      <c r="H1784">
        <v>-76.369</v>
      </c>
      <c r="I1784" t="s">
        <v>1868</v>
      </c>
      <c r="J1784">
        <v>11</v>
      </c>
      <c r="M1784">
        <v>159</v>
      </c>
      <c r="N1784">
        <v>29</v>
      </c>
      <c r="O1784">
        <v>24</v>
      </c>
      <c r="P1784">
        <v>54</v>
      </c>
      <c r="Q1784">
        <v>24</v>
      </c>
      <c r="R1784">
        <v>20</v>
      </c>
    </row>
    <row r="1785" spans="1:18" x14ac:dyDescent="0.25">
      <c r="A1785" t="s">
        <v>1902</v>
      </c>
      <c r="B1785" t="s">
        <v>55</v>
      </c>
      <c r="C1785" t="s">
        <v>1866</v>
      </c>
      <c r="D1785" t="s">
        <v>1867</v>
      </c>
      <c r="E1785" t="s">
        <v>78</v>
      </c>
      <c r="F1785" t="s">
        <v>252</v>
      </c>
      <c r="G1785">
        <v>8.2750000000000004</v>
      </c>
      <c r="H1785">
        <v>-76.369</v>
      </c>
      <c r="I1785" t="s">
        <v>1868</v>
      </c>
      <c r="J1785">
        <v>11</v>
      </c>
      <c r="M1785">
        <v>158</v>
      </c>
      <c r="N1785">
        <v>34</v>
      </c>
      <c r="O1785">
        <v>22</v>
      </c>
      <c r="P1785">
        <v>38</v>
      </c>
      <c r="Q1785">
        <v>33</v>
      </c>
      <c r="R1785">
        <v>31</v>
      </c>
    </row>
    <row r="1786" spans="1:18" x14ac:dyDescent="0.25">
      <c r="A1786" t="s">
        <v>1903</v>
      </c>
      <c r="B1786" t="s">
        <v>55</v>
      </c>
      <c r="C1786" t="s">
        <v>1866</v>
      </c>
      <c r="D1786" t="s">
        <v>1867</v>
      </c>
      <c r="E1786" t="s">
        <v>78</v>
      </c>
      <c r="F1786" t="s">
        <v>252</v>
      </c>
      <c r="G1786">
        <v>8.2750000000000004</v>
      </c>
      <c r="H1786">
        <v>-76.369</v>
      </c>
      <c r="I1786" t="s">
        <v>1868</v>
      </c>
      <c r="J1786">
        <v>11</v>
      </c>
      <c r="M1786">
        <v>158</v>
      </c>
      <c r="N1786">
        <v>34</v>
      </c>
      <c r="O1786">
        <v>20</v>
      </c>
      <c r="P1786">
        <v>38</v>
      </c>
      <c r="Q1786">
        <v>31</v>
      </c>
      <c r="R1786">
        <v>42</v>
      </c>
    </row>
    <row r="1787" spans="1:18" x14ac:dyDescent="0.25">
      <c r="A1787" t="s">
        <v>1904</v>
      </c>
      <c r="B1787" t="s">
        <v>55</v>
      </c>
      <c r="C1787" t="s">
        <v>1866</v>
      </c>
      <c r="D1787" t="s">
        <v>1867</v>
      </c>
      <c r="E1787" t="s">
        <v>78</v>
      </c>
      <c r="F1787" t="s">
        <v>252</v>
      </c>
      <c r="G1787">
        <v>8.2750000000000004</v>
      </c>
      <c r="H1787">
        <v>-76.369</v>
      </c>
      <c r="I1787" t="s">
        <v>1868</v>
      </c>
      <c r="J1787">
        <v>11</v>
      </c>
      <c r="M1787">
        <v>158</v>
      </c>
      <c r="N1787">
        <v>37</v>
      </c>
      <c r="O1787">
        <v>18</v>
      </c>
      <c r="P1787">
        <v>40</v>
      </c>
      <c r="Q1787">
        <v>34</v>
      </c>
      <c r="R1787">
        <v>24</v>
      </c>
    </row>
    <row r="1788" spans="1:18" x14ac:dyDescent="0.25">
      <c r="A1788" t="s">
        <v>1905</v>
      </c>
      <c r="B1788" t="s">
        <v>55</v>
      </c>
      <c r="C1788" t="s">
        <v>1866</v>
      </c>
      <c r="D1788" t="s">
        <v>1867</v>
      </c>
      <c r="E1788" t="s">
        <v>78</v>
      </c>
      <c r="F1788" t="s">
        <v>252</v>
      </c>
      <c r="G1788">
        <v>8.2750000000000004</v>
      </c>
      <c r="H1788">
        <v>-76.369</v>
      </c>
      <c r="I1788" t="s">
        <v>1868</v>
      </c>
      <c r="J1788">
        <v>11</v>
      </c>
      <c r="M1788">
        <v>157</v>
      </c>
      <c r="N1788">
        <v>24</v>
      </c>
      <c r="O1788">
        <v>32</v>
      </c>
      <c r="P1788">
        <v>38</v>
      </c>
      <c r="Q1788">
        <v>28</v>
      </c>
      <c r="R1788">
        <v>42</v>
      </c>
    </row>
    <row r="1789" spans="1:18" x14ac:dyDescent="0.25">
      <c r="A1789" t="s">
        <v>1906</v>
      </c>
      <c r="B1789" t="s">
        <v>55</v>
      </c>
      <c r="C1789" t="s">
        <v>1866</v>
      </c>
      <c r="D1789" t="s">
        <v>1867</v>
      </c>
      <c r="E1789" t="s">
        <v>78</v>
      </c>
      <c r="F1789" t="s">
        <v>252</v>
      </c>
      <c r="G1789">
        <v>8.2750000000000004</v>
      </c>
      <c r="H1789">
        <v>-76.369</v>
      </c>
      <c r="I1789" t="s">
        <v>1868</v>
      </c>
      <c r="J1789">
        <v>11</v>
      </c>
      <c r="M1789">
        <v>155</v>
      </c>
      <c r="N1789">
        <v>37</v>
      </c>
      <c r="O1789">
        <v>20</v>
      </c>
      <c r="P1789">
        <v>40</v>
      </c>
      <c r="Q1789">
        <v>24</v>
      </c>
      <c r="R1789">
        <v>40</v>
      </c>
    </row>
    <row r="1790" spans="1:18" x14ac:dyDescent="0.25">
      <c r="A1790" t="s">
        <v>1907</v>
      </c>
      <c r="B1790" t="s">
        <v>55</v>
      </c>
      <c r="C1790" t="s">
        <v>1866</v>
      </c>
      <c r="D1790" t="s">
        <v>1867</v>
      </c>
      <c r="E1790" t="s">
        <v>78</v>
      </c>
      <c r="F1790" t="s">
        <v>252</v>
      </c>
      <c r="G1790">
        <v>8.2750000000000004</v>
      </c>
      <c r="H1790">
        <v>-76.369</v>
      </c>
      <c r="I1790" t="s">
        <v>1868</v>
      </c>
      <c r="J1790">
        <v>11</v>
      </c>
      <c r="M1790">
        <v>151</v>
      </c>
      <c r="N1790">
        <v>32</v>
      </c>
      <c r="O1790">
        <v>24</v>
      </c>
      <c r="P1790">
        <v>38</v>
      </c>
      <c r="Q1790">
        <v>21</v>
      </c>
      <c r="R1790">
        <v>49</v>
      </c>
    </row>
    <row r="1791" spans="1:18" x14ac:dyDescent="0.25">
      <c r="A1791" t="s">
        <v>1908</v>
      </c>
      <c r="B1791" t="s">
        <v>55</v>
      </c>
      <c r="C1791" t="s">
        <v>1866</v>
      </c>
      <c r="D1791" t="s">
        <v>1867</v>
      </c>
      <c r="E1791" t="s">
        <v>78</v>
      </c>
      <c r="F1791" t="s">
        <v>252</v>
      </c>
      <c r="G1791">
        <v>8.2750000000000004</v>
      </c>
      <c r="H1791">
        <v>-76.369</v>
      </c>
      <c r="I1791" t="s">
        <v>1868</v>
      </c>
      <c r="J1791">
        <v>11</v>
      </c>
      <c r="M1791">
        <v>150</v>
      </c>
      <c r="N1791">
        <v>34</v>
      </c>
      <c r="O1791">
        <v>20</v>
      </c>
      <c r="P1791">
        <v>38</v>
      </c>
      <c r="Q1791">
        <v>24</v>
      </c>
      <c r="R1791">
        <v>42</v>
      </c>
    </row>
    <row r="1792" spans="1:18" x14ac:dyDescent="0.25">
      <c r="A1792" t="s">
        <v>1909</v>
      </c>
      <c r="B1792" t="s">
        <v>55</v>
      </c>
      <c r="C1792" t="s">
        <v>1866</v>
      </c>
      <c r="D1792" t="s">
        <v>1867</v>
      </c>
      <c r="E1792" t="s">
        <v>78</v>
      </c>
      <c r="F1792" t="s">
        <v>252</v>
      </c>
      <c r="G1792">
        <v>8.2750000000000004</v>
      </c>
      <c r="H1792">
        <v>-76.369</v>
      </c>
      <c r="I1792" t="s">
        <v>1868</v>
      </c>
      <c r="J1792">
        <v>11</v>
      </c>
      <c r="M1792">
        <v>145</v>
      </c>
      <c r="N1792">
        <v>34</v>
      </c>
      <c r="O1792">
        <v>26</v>
      </c>
      <c r="P1792">
        <v>26</v>
      </c>
      <c r="Q1792">
        <v>28</v>
      </c>
      <c r="R1792">
        <v>35</v>
      </c>
    </row>
    <row r="1793" spans="1:18" x14ac:dyDescent="0.25">
      <c r="A1793" t="s">
        <v>1910</v>
      </c>
      <c r="B1793" t="s">
        <v>55</v>
      </c>
      <c r="C1793" t="s">
        <v>1866</v>
      </c>
      <c r="D1793" t="s">
        <v>1867</v>
      </c>
      <c r="E1793" t="s">
        <v>78</v>
      </c>
      <c r="F1793" t="s">
        <v>252</v>
      </c>
      <c r="G1793">
        <v>8.2750000000000004</v>
      </c>
      <c r="H1793">
        <v>-76.369</v>
      </c>
      <c r="I1793" t="s">
        <v>1868</v>
      </c>
      <c r="J1793">
        <v>11</v>
      </c>
      <c r="M1793">
        <v>141</v>
      </c>
      <c r="N1793">
        <v>41</v>
      </c>
      <c r="O1793">
        <v>12</v>
      </c>
      <c r="P1793">
        <v>38</v>
      </c>
      <c r="Q1793">
        <v>16</v>
      </c>
      <c r="R1793">
        <v>45</v>
      </c>
    </row>
    <row r="1794" spans="1:18" x14ac:dyDescent="0.25">
      <c r="A1794" t="s">
        <v>1911</v>
      </c>
      <c r="B1794" t="s">
        <v>55</v>
      </c>
      <c r="C1794" t="s">
        <v>1866</v>
      </c>
      <c r="D1794" t="s">
        <v>1867</v>
      </c>
      <c r="E1794" t="s">
        <v>78</v>
      </c>
      <c r="F1794" t="s">
        <v>252</v>
      </c>
      <c r="G1794">
        <v>8.2750000000000004</v>
      </c>
      <c r="H1794">
        <v>-76.369</v>
      </c>
      <c r="I1794" t="s">
        <v>1868</v>
      </c>
      <c r="J1794">
        <v>11</v>
      </c>
      <c r="M1794">
        <v>140</v>
      </c>
      <c r="N1794">
        <v>24</v>
      </c>
      <c r="O1794">
        <v>18</v>
      </c>
      <c r="P1794">
        <v>40</v>
      </c>
      <c r="Q1794">
        <v>26</v>
      </c>
      <c r="R1794">
        <v>40</v>
      </c>
    </row>
    <row r="1795" spans="1:18" x14ac:dyDescent="0.25">
      <c r="A1795" t="s">
        <v>1912</v>
      </c>
      <c r="B1795" t="s">
        <v>55</v>
      </c>
      <c r="C1795" t="s">
        <v>1866</v>
      </c>
      <c r="D1795" t="s">
        <v>1867</v>
      </c>
      <c r="E1795" t="s">
        <v>78</v>
      </c>
      <c r="F1795" t="s">
        <v>252</v>
      </c>
      <c r="G1795">
        <v>8.2750000000000004</v>
      </c>
      <c r="H1795">
        <v>-76.369</v>
      </c>
      <c r="I1795" t="s">
        <v>1868</v>
      </c>
      <c r="J1795">
        <v>11</v>
      </c>
      <c r="M1795">
        <v>128</v>
      </c>
      <c r="N1795">
        <v>27</v>
      </c>
      <c r="O1795">
        <v>14</v>
      </c>
      <c r="P1795">
        <v>30</v>
      </c>
      <c r="Q1795">
        <v>28</v>
      </c>
      <c r="R1795">
        <v>38</v>
      </c>
    </row>
    <row r="1796" spans="1:18" x14ac:dyDescent="0.25">
      <c r="A1796" t="s">
        <v>1913</v>
      </c>
      <c r="B1796" t="s">
        <v>55</v>
      </c>
      <c r="C1796" t="s">
        <v>1866</v>
      </c>
      <c r="D1796" t="s">
        <v>1867</v>
      </c>
      <c r="E1796" t="s">
        <v>78</v>
      </c>
      <c r="F1796" t="s">
        <v>252</v>
      </c>
      <c r="G1796">
        <v>8.2750000000000004</v>
      </c>
      <c r="H1796">
        <v>-76.369</v>
      </c>
      <c r="I1796" t="s">
        <v>1868</v>
      </c>
      <c r="J1796">
        <v>11</v>
      </c>
      <c r="M1796">
        <v>126</v>
      </c>
      <c r="N1796">
        <v>22</v>
      </c>
      <c r="O1796">
        <v>22</v>
      </c>
      <c r="P1796">
        <v>26</v>
      </c>
      <c r="Q1796">
        <v>31</v>
      </c>
      <c r="R1796">
        <v>25</v>
      </c>
    </row>
    <row r="1797" spans="1:18" x14ac:dyDescent="0.25">
      <c r="A1797" t="s">
        <v>1914</v>
      </c>
      <c r="B1797" t="s">
        <v>55</v>
      </c>
      <c r="C1797" t="s">
        <v>1915</v>
      </c>
      <c r="D1797" t="s">
        <v>1916</v>
      </c>
      <c r="E1797" t="s">
        <v>78</v>
      </c>
      <c r="F1797" t="s">
        <v>252</v>
      </c>
      <c r="G1797">
        <v>6.5986000000000002</v>
      </c>
      <c r="H1797">
        <v>-75.011899999999997</v>
      </c>
      <c r="I1797" t="s">
        <v>1917</v>
      </c>
      <c r="J1797">
        <v>11</v>
      </c>
      <c r="M1797">
        <v>248</v>
      </c>
      <c r="N1797">
        <v>61</v>
      </c>
      <c r="O1797">
        <v>36</v>
      </c>
      <c r="P1797">
        <v>68</v>
      </c>
      <c r="Q1797">
        <v>31</v>
      </c>
      <c r="R1797">
        <v>56</v>
      </c>
    </row>
    <row r="1798" spans="1:18" x14ac:dyDescent="0.25">
      <c r="A1798" t="s">
        <v>1918</v>
      </c>
      <c r="B1798" t="s">
        <v>55</v>
      </c>
      <c r="C1798" t="s">
        <v>1915</v>
      </c>
      <c r="D1798" t="s">
        <v>1916</v>
      </c>
      <c r="E1798" t="s">
        <v>78</v>
      </c>
      <c r="F1798" t="s">
        <v>252</v>
      </c>
      <c r="G1798">
        <v>6.5986000000000002</v>
      </c>
      <c r="H1798">
        <v>-75.011899999999997</v>
      </c>
      <c r="I1798" t="s">
        <v>1917</v>
      </c>
      <c r="J1798">
        <v>11</v>
      </c>
      <c r="M1798">
        <v>244</v>
      </c>
      <c r="N1798">
        <v>68</v>
      </c>
      <c r="O1798">
        <v>34</v>
      </c>
      <c r="P1798">
        <v>58</v>
      </c>
      <c r="Q1798">
        <v>24</v>
      </c>
      <c r="R1798">
        <v>82</v>
      </c>
    </row>
    <row r="1799" spans="1:18" x14ac:dyDescent="0.25">
      <c r="A1799" t="s">
        <v>1919</v>
      </c>
      <c r="B1799" t="s">
        <v>55</v>
      </c>
      <c r="C1799" t="s">
        <v>1915</v>
      </c>
      <c r="D1799" t="s">
        <v>1916</v>
      </c>
      <c r="E1799" t="s">
        <v>78</v>
      </c>
      <c r="F1799" t="s">
        <v>252</v>
      </c>
      <c r="G1799">
        <v>6.5986000000000002</v>
      </c>
      <c r="H1799">
        <v>-75.011899999999997</v>
      </c>
      <c r="I1799" t="s">
        <v>1917</v>
      </c>
      <c r="J1799">
        <v>11</v>
      </c>
      <c r="M1799">
        <v>230</v>
      </c>
      <c r="N1799">
        <v>54</v>
      </c>
      <c r="O1799">
        <v>40</v>
      </c>
      <c r="P1799">
        <v>56</v>
      </c>
      <c r="Q1799">
        <v>26</v>
      </c>
      <c r="R1799">
        <v>73</v>
      </c>
    </row>
    <row r="1800" spans="1:18" x14ac:dyDescent="0.25">
      <c r="A1800" t="s">
        <v>1920</v>
      </c>
      <c r="B1800" t="s">
        <v>55</v>
      </c>
      <c r="C1800" t="s">
        <v>1915</v>
      </c>
      <c r="D1800" t="s">
        <v>1916</v>
      </c>
      <c r="E1800" t="s">
        <v>78</v>
      </c>
      <c r="F1800" t="s">
        <v>252</v>
      </c>
      <c r="G1800">
        <v>6.5986000000000002</v>
      </c>
      <c r="H1800">
        <v>-75.011899999999997</v>
      </c>
      <c r="I1800" t="s">
        <v>1917</v>
      </c>
      <c r="J1800">
        <v>11</v>
      </c>
      <c r="M1800">
        <v>205</v>
      </c>
      <c r="N1800">
        <v>49</v>
      </c>
      <c r="O1800">
        <v>36</v>
      </c>
      <c r="P1800">
        <v>50</v>
      </c>
      <c r="Q1800">
        <v>29</v>
      </c>
      <c r="R1800">
        <v>42</v>
      </c>
    </row>
    <row r="1801" spans="1:18" x14ac:dyDescent="0.25">
      <c r="A1801" t="s">
        <v>1921</v>
      </c>
      <c r="B1801" t="s">
        <v>55</v>
      </c>
      <c r="C1801" t="s">
        <v>1915</v>
      </c>
      <c r="D1801" t="s">
        <v>1916</v>
      </c>
      <c r="E1801" t="s">
        <v>78</v>
      </c>
      <c r="F1801" t="s">
        <v>252</v>
      </c>
      <c r="G1801">
        <v>6.5986000000000002</v>
      </c>
      <c r="H1801">
        <v>-75.011899999999997</v>
      </c>
      <c r="I1801" t="s">
        <v>1917</v>
      </c>
      <c r="J1801">
        <v>11</v>
      </c>
      <c r="M1801">
        <v>199</v>
      </c>
      <c r="N1801">
        <v>46</v>
      </c>
      <c r="O1801">
        <v>28</v>
      </c>
      <c r="P1801">
        <v>52</v>
      </c>
      <c r="Q1801">
        <v>28</v>
      </c>
      <c r="R1801">
        <v>56</v>
      </c>
    </row>
    <row r="1802" spans="1:18" x14ac:dyDescent="0.25">
      <c r="A1802" t="s">
        <v>1922</v>
      </c>
      <c r="B1802" t="s">
        <v>55</v>
      </c>
      <c r="C1802" t="s">
        <v>1915</v>
      </c>
      <c r="D1802" t="s">
        <v>1916</v>
      </c>
      <c r="E1802" t="s">
        <v>78</v>
      </c>
      <c r="F1802" t="s">
        <v>252</v>
      </c>
      <c r="G1802">
        <v>6.5986000000000002</v>
      </c>
      <c r="H1802">
        <v>-75.011899999999997</v>
      </c>
      <c r="I1802" t="s">
        <v>1917</v>
      </c>
      <c r="J1802">
        <v>11</v>
      </c>
      <c r="M1802">
        <v>197</v>
      </c>
      <c r="N1802">
        <v>49</v>
      </c>
      <c r="O1802">
        <v>32</v>
      </c>
      <c r="P1802">
        <v>54</v>
      </c>
      <c r="Q1802">
        <v>22</v>
      </c>
      <c r="R1802">
        <v>40</v>
      </c>
    </row>
    <row r="1803" spans="1:18" x14ac:dyDescent="0.25">
      <c r="A1803" t="s">
        <v>1923</v>
      </c>
      <c r="B1803" t="s">
        <v>55</v>
      </c>
      <c r="C1803" t="s">
        <v>1915</v>
      </c>
      <c r="D1803" t="s">
        <v>1916</v>
      </c>
      <c r="E1803" t="s">
        <v>78</v>
      </c>
      <c r="F1803" t="s">
        <v>252</v>
      </c>
      <c r="G1803">
        <v>6.5986000000000002</v>
      </c>
      <c r="H1803">
        <v>-75.011899999999997</v>
      </c>
      <c r="I1803" t="s">
        <v>1917</v>
      </c>
      <c r="J1803">
        <v>11</v>
      </c>
      <c r="M1803">
        <v>195</v>
      </c>
      <c r="N1803">
        <v>44</v>
      </c>
      <c r="O1803">
        <v>26</v>
      </c>
      <c r="P1803">
        <v>50</v>
      </c>
      <c r="Q1803">
        <v>38</v>
      </c>
      <c r="R1803">
        <v>35</v>
      </c>
    </row>
    <row r="1804" spans="1:18" x14ac:dyDescent="0.25">
      <c r="A1804" t="s">
        <v>1924</v>
      </c>
      <c r="B1804" t="s">
        <v>55</v>
      </c>
      <c r="C1804" t="s">
        <v>1915</v>
      </c>
      <c r="D1804" t="s">
        <v>1916</v>
      </c>
      <c r="E1804" t="s">
        <v>78</v>
      </c>
      <c r="F1804" t="s">
        <v>252</v>
      </c>
      <c r="G1804">
        <v>6.5986000000000002</v>
      </c>
      <c r="H1804">
        <v>-75.011899999999997</v>
      </c>
      <c r="I1804" t="s">
        <v>1917</v>
      </c>
      <c r="J1804">
        <v>11</v>
      </c>
      <c r="M1804">
        <v>195</v>
      </c>
      <c r="N1804">
        <v>44</v>
      </c>
      <c r="O1804">
        <v>12</v>
      </c>
      <c r="P1804">
        <v>62</v>
      </c>
      <c r="Q1804">
        <v>34</v>
      </c>
      <c r="R1804">
        <v>49</v>
      </c>
    </row>
    <row r="1805" spans="1:18" x14ac:dyDescent="0.25">
      <c r="A1805" t="s">
        <v>1925</v>
      </c>
      <c r="B1805" t="s">
        <v>55</v>
      </c>
      <c r="C1805" t="s">
        <v>1915</v>
      </c>
      <c r="D1805" t="s">
        <v>1916</v>
      </c>
      <c r="E1805" t="s">
        <v>78</v>
      </c>
      <c r="F1805" t="s">
        <v>252</v>
      </c>
      <c r="G1805">
        <v>6.5986000000000002</v>
      </c>
      <c r="H1805">
        <v>-75.011899999999997</v>
      </c>
      <c r="I1805" t="s">
        <v>1917</v>
      </c>
      <c r="J1805">
        <v>11</v>
      </c>
      <c r="M1805">
        <v>191</v>
      </c>
      <c r="N1805">
        <v>46</v>
      </c>
      <c r="O1805">
        <v>32</v>
      </c>
      <c r="P1805">
        <v>50</v>
      </c>
      <c r="Q1805">
        <v>26</v>
      </c>
      <c r="R1805">
        <v>33</v>
      </c>
    </row>
    <row r="1806" spans="1:18" x14ac:dyDescent="0.25">
      <c r="A1806" t="s">
        <v>1926</v>
      </c>
      <c r="B1806" t="s">
        <v>55</v>
      </c>
      <c r="C1806" t="s">
        <v>1915</v>
      </c>
      <c r="D1806" t="s">
        <v>1916</v>
      </c>
      <c r="E1806" t="s">
        <v>78</v>
      </c>
      <c r="F1806" t="s">
        <v>252</v>
      </c>
      <c r="G1806">
        <v>6.5986000000000002</v>
      </c>
      <c r="H1806">
        <v>-75.011899999999997</v>
      </c>
      <c r="I1806" t="s">
        <v>1917</v>
      </c>
      <c r="J1806">
        <v>11</v>
      </c>
      <c r="M1806">
        <v>187</v>
      </c>
      <c r="N1806">
        <v>34</v>
      </c>
      <c r="O1806">
        <v>20</v>
      </c>
      <c r="P1806">
        <v>58</v>
      </c>
      <c r="Q1806">
        <v>36</v>
      </c>
      <c r="R1806">
        <v>40</v>
      </c>
    </row>
    <row r="1807" spans="1:18" x14ac:dyDescent="0.25">
      <c r="A1807" t="s">
        <v>1927</v>
      </c>
      <c r="B1807" t="s">
        <v>55</v>
      </c>
      <c r="C1807" t="s">
        <v>1915</v>
      </c>
      <c r="D1807" t="s">
        <v>1916</v>
      </c>
      <c r="E1807" t="s">
        <v>78</v>
      </c>
      <c r="F1807" t="s">
        <v>252</v>
      </c>
      <c r="G1807">
        <v>6.5986000000000002</v>
      </c>
      <c r="H1807">
        <v>-75.011899999999997</v>
      </c>
      <c r="I1807" t="s">
        <v>1917</v>
      </c>
      <c r="J1807">
        <v>11</v>
      </c>
      <c r="M1807">
        <v>182</v>
      </c>
      <c r="N1807">
        <v>41</v>
      </c>
      <c r="O1807">
        <v>46</v>
      </c>
      <c r="P1807">
        <v>38</v>
      </c>
      <c r="Q1807">
        <v>24</v>
      </c>
      <c r="R1807">
        <v>24</v>
      </c>
    </row>
    <row r="1808" spans="1:18" x14ac:dyDescent="0.25">
      <c r="A1808" t="s">
        <v>1928</v>
      </c>
      <c r="B1808" t="s">
        <v>55</v>
      </c>
      <c r="C1808" t="s">
        <v>1915</v>
      </c>
      <c r="D1808" t="s">
        <v>1916</v>
      </c>
      <c r="E1808" t="s">
        <v>78</v>
      </c>
      <c r="F1808" t="s">
        <v>252</v>
      </c>
      <c r="G1808">
        <v>6.5986000000000002</v>
      </c>
      <c r="H1808">
        <v>-75.011899999999997</v>
      </c>
      <c r="I1808" t="s">
        <v>1917</v>
      </c>
      <c r="J1808">
        <v>11</v>
      </c>
      <c r="M1808">
        <v>180</v>
      </c>
      <c r="N1808">
        <v>49</v>
      </c>
      <c r="O1808">
        <v>28</v>
      </c>
      <c r="P1808">
        <v>46</v>
      </c>
      <c r="Q1808">
        <v>24</v>
      </c>
      <c r="R1808">
        <v>27</v>
      </c>
    </row>
    <row r="1809" spans="1:18" x14ac:dyDescent="0.25">
      <c r="A1809" t="s">
        <v>1929</v>
      </c>
      <c r="B1809" t="s">
        <v>55</v>
      </c>
      <c r="C1809" t="s">
        <v>1915</v>
      </c>
      <c r="D1809" t="s">
        <v>1916</v>
      </c>
      <c r="E1809" t="s">
        <v>78</v>
      </c>
      <c r="F1809" t="s">
        <v>252</v>
      </c>
      <c r="G1809">
        <v>6.5986000000000002</v>
      </c>
      <c r="H1809">
        <v>-75.011899999999997</v>
      </c>
      <c r="I1809" t="s">
        <v>1917</v>
      </c>
      <c r="J1809">
        <v>11</v>
      </c>
      <c r="M1809">
        <v>178</v>
      </c>
      <c r="N1809">
        <v>32</v>
      </c>
      <c r="O1809">
        <v>24</v>
      </c>
      <c r="P1809">
        <v>58</v>
      </c>
      <c r="Q1809">
        <v>28</v>
      </c>
      <c r="R1809">
        <v>38</v>
      </c>
    </row>
    <row r="1810" spans="1:18" x14ac:dyDescent="0.25">
      <c r="A1810" t="s">
        <v>1930</v>
      </c>
      <c r="B1810" t="s">
        <v>55</v>
      </c>
      <c r="C1810" t="s">
        <v>1915</v>
      </c>
      <c r="D1810" t="s">
        <v>1916</v>
      </c>
      <c r="E1810" t="s">
        <v>78</v>
      </c>
      <c r="F1810" t="s">
        <v>252</v>
      </c>
      <c r="G1810">
        <v>6.5986000000000002</v>
      </c>
      <c r="H1810">
        <v>-75.011899999999997</v>
      </c>
      <c r="I1810" t="s">
        <v>1917</v>
      </c>
      <c r="J1810">
        <v>11</v>
      </c>
      <c r="M1810">
        <v>176</v>
      </c>
      <c r="N1810">
        <v>46</v>
      </c>
      <c r="O1810">
        <v>28</v>
      </c>
      <c r="P1810">
        <v>42</v>
      </c>
      <c r="Q1810">
        <v>24</v>
      </c>
      <c r="R1810">
        <v>36</v>
      </c>
    </row>
    <row r="1811" spans="1:18" x14ac:dyDescent="0.25">
      <c r="A1811" t="s">
        <v>1931</v>
      </c>
      <c r="B1811" t="s">
        <v>55</v>
      </c>
      <c r="C1811" t="s">
        <v>1915</v>
      </c>
      <c r="D1811" t="s">
        <v>1916</v>
      </c>
      <c r="E1811" t="s">
        <v>78</v>
      </c>
      <c r="F1811" t="s">
        <v>252</v>
      </c>
      <c r="G1811">
        <v>6.5986000000000002</v>
      </c>
      <c r="H1811">
        <v>-75.011899999999997</v>
      </c>
      <c r="I1811" t="s">
        <v>1917</v>
      </c>
      <c r="J1811">
        <v>11</v>
      </c>
      <c r="M1811">
        <v>175</v>
      </c>
      <c r="N1811">
        <v>46</v>
      </c>
      <c r="O1811">
        <v>24</v>
      </c>
      <c r="P1811">
        <v>42</v>
      </c>
      <c r="Q1811">
        <v>29</v>
      </c>
      <c r="R1811">
        <v>31</v>
      </c>
    </row>
    <row r="1812" spans="1:18" x14ac:dyDescent="0.25">
      <c r="A1812" t="s">
        <v>1932</v>
      </c>
      <c r="B1812" t="s">
        <v>55</v>
      </c>
      <c r="C1812" t="s">
        <v>1915</v>
      </c>
      <c r="D1812" t="s">
        <v>1916</v>
      </c>
      <c r="E1812" t="s">
        <v>78</v>
      </c>
      <c r="F1812" t="s">
        <v>252</v>
      </c>
      <c r="G1812">
        <v>6.5986000000000002</v>
      </c>
      <c r="H1812">
        <v>-75.011899999999997</v>
      </c>
      <c r="I1812" t="s">
        <v>1917</v>
      </c>
      <c r="J1812">
        <v>11</v>
      </c>
      <c r="M1812">
        <v>172</v>
      </c>
      <c r="N1812">
        <v>34</v>
      </c>
      <c r="O1812">
        <v>32</v>
      </c>
      <c r="P1812">
        <v>42</v>
      </c>
      <c r="Q1812">
        <v>26</v>
      </c>
      <c r="R1812">
        <v>45</v>
      </c>
    </row>
    <row r="1813" spans="1:18" x14ac:dyDescent="0.25">
      <c r="A1813" t="s">
        <v>1933</v>
      </c>
      <c r="B1813" t="s">
        <v>55</v>
      </c>
      <c r="C1813" t="s">
        <v>1915</v>
      </c>
      <c r="D1813" t="s">
        <v>1916</v>
      </c>
      <c r="E1813" t="s">
        <v>78</v>
      </c>
      <c r="F1813" t="s">
        <v>252</v>
      </c>
      <c r="G1813">
        <v>6.5986000000000002</v>
      </c>
      <c r="H1813">
        <v>-75.011899999999997</v>
      </c>
      <c r="I1813" t="s">
        <v>1917</v>
      </c>
      <c r="J1813">
        <v>11</v>
      </c>
      <c r="M1813">
        <v>171</v>
      </c>
      <c r="N1813">
        <v>37</v>
      </c>
      <c r="O1813">
        <v>38</v>
      </c>
      <c r="P1813">
        <v>24</v>
      </c>
      <c r="Q1813">
        <v>31</v>
      </c>
      <c r="R1813">
        <v>56</v>
      </c>
    </row>
    <row r="1814" spans="1:18" x14ac:dyDescent="0.25">
      <c r="A1814" t="s">
        <v>1934</v>
      </c>
      <c r="B1814" t="s">
        <v>55</v>
      </c>
      <c r="C1814" t="s">
        <v>1915</v>
      </c>
      <c r="D1814" t="s">
        <v>1916</v>
      </c>
      <c r="E1814" t="s">
        <v>78</v>
      </c>
      <c r="F1814" t="s">
        <v>252</v>
      </c>
      <c r="G1814">
        <v>6.5986000000000002</v>
      </c>
      <c r="H1814">
        <v>-75.011899999999997</v>
      </c>
      <c r="I1814" t="s">
        <v>1917</v>
      </c>
      <c r="J1814">
        <v>11</v>
      </c>
      <c r="M1814">
        <v>170</v>
      </c>
      <c r="N1814">
        <v>46</v>
      </c>
      <c r="O1814">
        <v>16</v>
      </c>
      <c r="P1814">
        <v>40</v>
      </c>
      <c r="Q1814">
        <v>34</v>
      </c>
      <c r="R1814">
        <v>33</v>
      </c>
    </row>
    <row r="1815" spans="1:18" x14ac:dyDescent="0.25">
      <c r="A1815" t="s">
        <v>1935</v>
      </c>
      <c r="B1815" t="s">
        <v>55</v>
      </c>
      <c r="C1815" t="s">
        <v>1915</v>
      </c>
      <c r="D1815" t="s">
        <v>1916</v>
      </c>
      <c r="E1815" t="s">
        <v>78</v>
      </c>
      <c r="F1815" t="s">
        <v>252</v>
      </c>
      <c r="G1815">
        <v>6.5986000000000002</v>
      </c>
      <c r="H1815">
        <v>-75.011899999999997</v>
      </c>
      <c r="I1815" t="s">
        <v>1917</v>
      </c>
      <c r="J1815">
        <v>11</v>
      </c>
      <c r="M1815">
        <v>166</v>
      </c>
      <c r="N1815">
        <v>37</v>
      </c>
      <c r="O1815">
        <v>32</v>
      </c>
      <c r="P1815">
        <v>40</v>
      </c>
      <c r="Q1815">
        <v>28</v>
      </c>
      <c r="R1815">
        <v>22</v>
      </c>
    </row>
    <row r="1816" spans="1:18" x14ac:dyDescent="0.25">
      <c r="A1816" t="s">
        <v>1936</v>
      </c>
      <c r="B1816" t="s">
        <v>55</v>
      </c>
      <c r="C1816" t="s">
        <v>1915</v>
      </c>
      <c r="D1816" t="s">
        <v>1916</v>
      </c>
      <c r="E1816" t="s">
        <v>78</v>
      </c>
      <c r="F1816" t="s">
        <v>252</v>
      </c>
      <c r="G1816">
        <v>6.5986000000000002</v>
      </c>
      <c r="H1816">
        <v>-75.011899999999997</v>
      </c>
      <c r="I1816" t="s">
        <v>1917</v>
      </c>
      <c r="J1816">
        <v>11</v>
      </c>
      <c r="M1816">
        <v>161</v>
      </c>
      <c r="N1816">
        <v>34</v>
      </c>
      <c r="O1816">
        <v>28</v>
      </c>
      <c r="P1816">
        <v>38</v>
      </c>
      <c r="Q1816">
        <v>26</v>
      </c>
      <c r="R1816">
        <v>42</v>
      </c>
    </row>
    <row r="1817" spans="1:18" x14ac:dyDescent="0.25">
      <c r="A1817" t="s">
        <v>1937</v>
      </c>
      <c r="B1817" t="s">
        <v>55</v>
      </c>
      <c r="C1817" t="s">
        <v>1915</v>
      </c>
      <c r="D1817" t="s">
        <v>1916</v>
      </c>
      <c r="E1817" t="s">
        <v>78</v>
      </c>
      <c r="F1817" t="s">
        <v>252</v>
      </c>
      <c r="G1817">
        <v>6.5986000000000002</v>
      </c>
      <c r="H1817">
        <v>-75.011899999999997</v>
      </c>
      <c r="I1817" t="s">
        <v>1917</v>
      </c>
      <c r="J1817">
        <v>11</v>
      </c>
      <c r="M1817">
        <v>161</v>
      </c>
      <c r="N1817">
        <v>46</v>
      </c>
      <c r="O1817">
        <v>16</v>
      </c>
      <c r="P1817">
        <v>48</v>
      </c>
      <c r="Q1817">
        <v>24</v>
      </c>
      <c r="R1817">
        <v>16</v>
      </c>
    </row>
    <row r="1818" spans="1:18" x14ac:dyDescent="0.25">
      <c r="A1818" t="s">
        <v>1938</v>
      </c>
      <c r="B1818" t="s">
        <v>55</v>
      </c>
      <c r="C1818" t="s">
        <v>1915</v>
      </c>
      <c r="D1818" t="s">
        <v>1916</v>
      </c>
      <c r="E1818" t="s">
        <v>78</v>
      </c>
      <c r="F1818" t="s">
        <v>252</v>
      </c>
      <c r="G1818">
        <v>6.5986000000000002</v>
      </c>
      <c r="H1818">
        <v>-75.011899999999997</v>
      </c>
      <c r="I1818" t="s">
        <v>1917</v>
      </c>
      <c r="J1818">
        <v>11</v>
      </c>
      <c r="M1818">
        <v>161</v>
      </c>
      <c r="N1818">
        <v>41</v>
      </c>
      <c r="O1818">
        <v>24</v>
      </c>
      <c r="P1818">
        <v>40</v>
      </c>
      <c r="Q1818">
        <v>22</v>
      </c>
      <c r="R1818">
        <v>35</v>
      </c>
    </row>
    <row r="1819" spans="1:18" x14ac:dyDescent="0.25">
      <c r="A1819" t="s">
        <v>1939</v>
      </c>
      <c r="B1819" t="s">
        <v>55</v>
      </c>
      <c r="C1819" t="s">
        <v>1915</v>
      </c>
      <c r="D1819" t="s">
        <v>1916</v>
      </c>
      <c r="E1819" t="s">
        <v>78</v>
      </c>
      <c r="F1819" t="s">
        <v>252</v>
      </c>
      <c r="G1819">
        <v>6.5986000000000002</v>
      </c>
      <c r="H1819">
        <v>-75.011899999999997</v>
      </c>
      <c r="I1819" t="s">
        <v>1917</v>
      </c>
      <c r="J1819">
        <v>11</v>
      </c>
      <c r="M1819">
        <v>159</v>
      </c>
      <c r="N1819">
        <v>44</v>
      </c>
      <c r="O1819">
        <v>28</v>
      </c>
      <c r="P1819">
        <v>26</v>
      </c>
      <c r="Q1819">
        <v>29</v>
      </c>
      <c r="R1819">
        <v>33</v>
      </c>
    </row>
    <row r="1820" spans="1:18" x14ac:dyDescent="0.25">
      <c r="A1820" t="s">
        <v>1940</v>
      </c>
      <c r="B1820" t="s">
        <v>55</v>
      </c>
      <c r="C1820" t="s">
        <v>1915</v>
      </c>
      <c r="D1820" t="s">
        <v>1916</v>
      </c>
      <c r="E1820" t="s">
        <v>78</v>
      </c>
      <c r="F1820" t="s">
        <v>252</v>
      </c>
      <c r="G1820">
        <v>6.5986000000000002</v>
      </c>
      <c r="H1820">
        <v>-75.011899999999997</v>
      </c>
      <c r="I1820" t="s">
        <v>1917</v>
      </c>
      <c r="J1820">
        <v>11</v>
      </c>
      <c r="M1820">
        <v>157</v>
      </c>
      <c r="N1820">
        <v>29</v>
      </c>
      <c r="O1820">
        <v>28</v>
      </c>
      <c r="P1820">
        <v>38</v>
      </c>
      <c r="Q1820">
        <v>31</v>
      </c>
      <c r="R1820">
        <v>29</v>
      </c>
    </row>
    <row r="1821" spans="1:18" x14ac:dyDescent="0.25">
      <c r="A1821" t="s">
        <v>1941</v>
      </c>
      <c r="B1821" t="s">
        <v>55</v>
      </c>
      <c r="C1821" t="s">
        <v>1915</v>
      </c>
      <c r="D1821" t="s">
        <v>1916</v>
      </c>
      <c r="E1821" t="s">
        <v>78</v>
      </c>
      <c r="F1821" t="s">
        <v>252</v>
      </c>
      <c r="G1821">
        <v>6.5986000000000002</v>
      </c>
      <c r="H1821">
        <v>-75.011899999999997</v>
      </c>
      <c r="I1821" t="s">
        <v>1917</v>
      </c>
      <c r="J1821">
        <v>11</v>
      </c>
      <c r="M1821">
        <v>153</v>
      </c>
      <c r="N1821">
        <v>39</v>
      </c>
      <c r="O1821">
        <v>18</v>
      </c>
      <c r="P1821">
        <v>34</v>
      </c>
      <c r="Q1821">
        <v>31</v>
      </c>
      <c r="R1821">
        <v>33</v>
      </c>
    </row>
    <row r="1822" spans="1:18" x14ac:dyDescent="0.25">
      <c r="A1822" t="s">
        <v>1942</v>
      </c>
      <c r="B1822" t="s">
        <v>55</v>
      </c>
      <c r="C1822" t="s">
        <v>1915</v>
      </c>
      <c r="D1822" t="s">
        <v>1916</v>
      </c>
      <c r="E1822" t="s">
        <v>78</v>
      </c>
      <c r="F1822" t="s">
        <v>252</v>
      </c>
      <c r="G1822">
        <v>6.5986000000000002</v>
      </c>
      <c r="H1822">
        <v>-75.011899999999997</v>
      </c>
      <c r="I1822" t="s">
        <v>1917</v>
      </c>
      <c r="J1822">
        <v>11</v>
      </c>
      <c r="M1822">
        <v>153</v>
      </c>
      <c r="N1822">
        <v>32</v>
      </c>
      <c r="O1822">
        <v>18</v>
      </c>
      <c r="P1822">
        <v>48</v>
      </c>
      <c r="Q1822">
        <v>26</v>
      </c>
      <c r="R1822">
        <v>27</v>
      </c>
    </row>
    <row r="1823" spans="1:18" x14ac:dyDescent="0.25">
      <c r="A1823" t="s">
        <v>1943</v>
      </c>
      <c r="B1823" t="s">
        <v>55</v>
      </c>
      <c r="C1823" t="s">
        <v>1915</v>
      </c>
      <c r="D1823" t="s">
        <v>1916</v>
      </c>
      <c r="E1823" t="s">
        <v>78</v>
      </c>
      <c r="F1823" t="s">
        <v>252</v>
      </c>
      <c r="G1823">
        <v>6.5986000000000002</v>
      </c>
      <c r="H1823">
        <v>-75.011899999999997</v>
      </c>
      <c r="I1823" t="s">
        <v>1917</v>
      </c>
      <c r="J1823">
        <v>11</v>
      </c>
      <c r="M1823">
        <v>150</v>
      </c>
      <c r="N1823">
        <v>49</v>
      </c>
      <c r="O1823">
        <v>12</v>
      </c>
      <c r="P1823">
        <v>32</v>
      </c>
      <c r="Q1823">
        <v>21</v>
      </c>
      <c r="R1823">
        <v>49</v>
      </c>
    </row>
    <row r="1824" spans="1:18" x14ac:dyDescent="0.25">
      <c r="A1824" t="s">
        <v>1944</v>
      </c>
      <c r="B1824" t="s">
        <v>55</v>
      </c>
      <c r="C1824" t="s">
        <v>1915</v>
      </c>
      <c r="D1824" t="s">
        <v>1916</v>
      </c>
      <c r="E1824" t="s">
        <v>78</v>
      </c>
      <c r="F1824" t="s">
        <v>252</v>
      </c>
      <c r="G1824">
        <v>6.5986000000000002</v>
      </c>
      <c r="H1824">
        <v>-75.011899999999997</v>
      </c>
      <c r="I1824" t="s">
        <v>1917</v>
      </c>
      <c r="J1824">
        <v>11</v>
      </c>
      <c r="M1824">
        <v>148</v>
      </c>
      <c r="N1824">
        <v>44</v>
      </c>
      <c r="O1824">
        <v>22</v>
      </c>
      <c r="P1824">
        <v>28</v>
      </c>
      <c r="Q1824">
        <v>29</v>
      </c>
      <c r="R1824">
        <v>16</v>
      </c>
    </row>
    <row r="1825" spans="1:18" x14ac:dyDescent="0.25">
      <c r="A1825" t="s">
        <v>1945</v>
      </c>
      <c r="B1825" t="s">
        <v>55</v>
      </c>
      <c r="C1825" t="s">
        <v>1915</v>
      </c>
      <c r="D1825" t="s">
        <v>1916</v>
      </c>
      <c r="E1825" t="s">
        <v>78</v>
      </c>
      <c r="F1825" t="s">
        <v>252</v>
      </c>
      <c r="G1825">
        <v>6.5986000000000002</v>
      </c>
      <c r="H1825">
        <v>-75.011899999999997</v>
      </c>
      <c r="I1825" t="s">
        <v>1917</v>
      </c>
      <c r="J1825">
        <v>11</v>
      </c>
      <c r="M1825">
        <v>145</v>
      </c>
      <c r="N1825">
        <v>37</v>
      </c>
      <c r="O1825">
        <v>20</v>
      </c>
      <c r="P1825">
        <v>32</v>
      </c>
      <c r="Q1825">
        <v>28</v>
      </c>
      <c r="R1825">
        <v>27</v>
      </c>
    </row>
    <row r="1826" spans="1:18" x14ac:dyDescent="0.25">
      <c r="A1826" t="s">
        <v>1946</v>
      </c>
      <c r="B1826" t="s">
        <v>55</v>
      </c>
      <c r="C1826" t="s">
        <v>1915</v>
      </c>
      <c r="D1826" t="s">
        <v>1916</v>
      </c>
      <c r="E1826" t="s">
        <v>78</v>
      </c>
      <c r="F1826" t="s">
        <v>252</v>
      </c>
      <c r="G1826">
        <v>6.5986000000000002</v>
      </c>
      <c r="H1826">
        <v>-75.011899999999997</v>
      </c>
      <c r="I1826" t="s">
        <v>1917</v>
      </c>
      <c r="J1826">
        <v>11</v>
      </c>
      <c r="M1826">
        <v>143</v>
      </c>
      <c r="N1826">
        <v>32</v>
      </c>
      <c r="O1826">
        <v>30</v>
      </c>
      <c r="P1826">
        <v>30</v>
      </c>
      <c r="Q1826">
        <v>24</v>
      </c>
      <c r="R1826">
        <v>25</v>
      </c>
    </row>
    <row r="1827" spans="1:18" x14ac:dyDescent="0.25">
      <c r="A1827" t="s">
        <v>1947</v>
      </c>
      <c r="B1827" t="s">
        <v>55</v>
      </c>
      <c r="C1827" t="s">
        <v>1915</v>
      </c>
      <c r="D1827" t="s">
        <v>1916</v>
      </c>
      <c r="E1827" t="s">
        <v>78</v>
      </c>
      <c r="F1827" t="s">
        <v>252</v>
      </c>
      <c r="G1827">
        <v>6.5986000000000002</v>
      </c>
      <c r="H1827">
        <v>-75.011899999999997</v>
      </c>
      <c r="I1827" t="s">
        <v>1917</v>
      </c>
      <c r="J1827">
        <v>11</v>
      </c>
      <c r="M1827">
        <v>143</v>
      </c>
      <c r="N1827">
        <v>39</v>
      </c>
      <c r="O1827">
        <v>14</v>
      </c>
      <c r="P1827">
        <v>38</v>
      </c>
      <c r="Q1827">
        <v>28</v>
      </c>
      <c r="R1827">
        <v>16</v>
      </c>
    </row>
    <row r="1828" spans="1:18" x14ac:dyDescent="0.25">
      <c r="A1828" t="s">
        <v>1948</v>
      </c>
      <c r="B1828" t="s">
        <v>55</v>
      </c>
      <c r="C1828" t="s">
        <v>1915</v>
      </c>
      <c r="D1828" t="s">
        <v>1916</v>
      </c>
      <c r="E1828" t="s">
        <v>78</v>
      </c>
      <c r="F1828" t="s">
        <v>252</v>
      </c>
      <c r="G1828">
        <v>6.5986000000000002</v>
      </c>
      <c r="H1828">
        <v>-75.011899999999997</v>
      </c>
      <c r="I1828" t="s">
        <v>1917</v>
      </c>
      <c r="J1828">
        <v>11</v>
      </c>
      <c r="M1828">
        <v>133</v>
      </c>
      <c r="N1828">
        <v>20</v>
      </c>
      <c r="O1828">
        <v>36</v>
      </c>
      <c r="P1828">
        <v>30</v>
      </c>
      <c r="Q1828">
        <v>14</v>
      </c>
      <c r="R1828">
        <v>47</v>
      </c>
    </row>
    <row r="1829" spans="1:18" x14ac:dyDescent="0.25">
      <c r="A1829" t="s">
        <v>1949</v>
      </c>
      <c r="B1829" t="s">
        <v>55</v>
      </c>
      <c r="C1829" t="s">
        <v>1915</v>
      </c>
      <c r="D1829" t="s">
        <v>1916</v>
      </c>
      <c r="E1829" t="s">
        <v>78</v>
      </c>
      <c r="F1829" t="s">
        <v>252</v>
      </c>
      <c r="G1829">
        <v>6.5986000000000002</v>
      </c>
      <c r="H1829">
        <v>-75.011899999999997</v>
      </c>
      <c r="I1829" t="s">
        <v>1917</v>
      </c>
      <c r="J1829">
        <v>11</v>
      </c>
      <c r="M1829">
        <v>123</v>
      </c>
      <c r="N1829">
        <v>46</v>
      </c>
      <c r="O1829">
        <v>22</v>
      </c>
      <c r="P1829">
        <v>18</v>
      </c>
      <c r="Q1829">
        <v>16</v>
      </c>
      <c r="R1829">
        <v>15</v>
      </c>
    </row>
    <row r="1830" spans="1:18" x14ac:dyDescent="0.25">
      <c r="A1830" t="s">
        <v>1950</v>
      </c>
      <c r="B1830" t="s">
        <v>55</v>
      </c>
      <c r="C1830" t="s">
        <v>1915</v>
      </c>
      <c r="D1830" t="s">
        <v>1916</v>
      </c>
      <c r="E1830" t="s">
        <v>78</v>
      </c>
      <c r="F1830" t="s">
        <v>252</v>
      </c>
      <c r="G1830">
        <v>6.5986000000000002</v>
      </c>
      <c r="H1830">
        <v>-75.011899999999997</v>
      </c>
      <c r="I1830" t="s">
        <v>1917</v>
      </c>
      <c r="J1830">
        <v>11</v>
      </c>
      <c r="M1830">
        <v>121</v>
      </c>
      <c r="N1830">
        <v>22</v>
      </c>
      <c r="O1830">
        <v>22</v>
      </c>
      <c r="P1830">
        <v>22</v>
      </c>
      <c r="Q1830">
        <v>29</v>
      </c>
      <c r="R1830">
        <v>29</v>
      </c>
    </row>
    <row r="1831" spans="1:18" x14ac:dyDescent="0.25">
      <c r="A1831" t="s">
        <v>1951</v>
      </c>
      <c r="B1831" t="s">
        <v>55</v>
      </c>
      <c r="C1831" t="s">
        <v>1915</v>
      </c>
      <c r="D1831" t="s">
        <v>1916</v>
      </c>
      <c r="E1831" t="s">
        <v>78</v>
      </c>
      <c r="F1831" t="s">
        <v>252</v>
      </c>
      <c r="G1831">
        <v>6.5986000000000002</v>
      </c>
      <c r="H1831">
        <v>-75.011899999999997</v>
      </c>
      <c r="I1831" t="s">
        <v>1917</v>
      </c>
      <c r="J1831">
        <v>11</v>
      </c>
      <c r="M1831">
        <v>119</v>
      </c>
      <c r="N1831">
        <v>32</v>
      </c>
      <c r="O1831">
        <v>24</v>
      </c>
      <c r="P1831">
        <v>20</v>
      </c>
      <c r="Q1831">
        <v>19</v>
      </c>
      <c r="R1831">
        <v>25</v>
      </c>
    </row>
    <row r="1832" spans="1:18" x14ac:dyDescent="0.25">
      <c r="A1832" t="s">
        <v>1952</v>
      </c>
      <c r="B1832" t="s">
        <v>55</v>
      </c>
      <c r="C1832" t="s">
        <v>1953</v>
      </c>
      <c r="D1832" t="s">
        <v>1954</v>
      </c>
      <c r="E1832" t="s">
        <v>78</v>
      </c>
      <c r="F1832" t="s">
        <v>252</v>
      </c>
      <c r="G1832">
        <v>6.7725</v>
      </c>
      <c r="H1832">
        <v>-74.798100000000005</v>
      </c>
      <c r="I1832" t="s">
        <v>1955</v>
      </c>
      <c r="J1832">
        <v>11</v>
      </c>
      <c r="M1832">
        <v>308</v>
      </c>
      <c r="N1832">
        <v>63</v>
      </c>
      <c r="O1832">
        <v>62</v>
      </c>
      <c r="P1832">
        <v>76</v>
      </c>
      <c r="Q1832">
        <v>38</v>
      </c>
      <c r="R1832">
        <v>82</v>
      </c>
    </row>
    <row r="1833" spans="1:18" x14ac:dyDescent="0.25">
      <c r="A1833" t="s">
        <v>1956</v>
      </c>
      <c r="B1833" t="s">
        <v>55</v>
      </c>
      <c r="C1833" t="s">
        <v>1953</v>
      </c>
      <c r="D1833" t="s">
        <v>1954</v>
      </c>
      <c r="E1833" t="s">
        <v>78</v>
      </c>
      <c r="F1833" t="s">
        <v>252</v>
      </c>
      <c r="G1833">
        <v>6.7725</v>
      </c>
      <c r="H1833">
        <v>-74.798100000000005</v>
      </c>
      <c r="I1833" t="s">
        <v>1955</v>
      </c>
      <c r="J1833">
        <v>11</v>
      </c>
      <c r="M1833">
        <v>285</v>
      </c>
      <c r="N1833">
        <v>59</v>
      </c>
      <c r="O1833">
        <v>58</v>
      </c>
      <c r="P1833">
        <v>54</v>
      </c>
      <c r="Q1833">
        <v>50</v>
      </c>
      <c r="R1833">
        <v>78</v>
      </c>
    </row>
    <row r="1834" spans="1:18" x14ac:dyDescent="0.25">
      <c r="A1834" t="s">
        <v>1957</v>
      </c>
      <c r="B1834" t="s">
        <v>55</v>
      </c>
      <c r="C1834" t="s">
        <v>1953</v>
      </c>
      <c r="D1834" t="s">
        <v>1954</v>
      </c>
      <c r="E1834" t="s">
        <v>78</v>
      </c>
      <c r="F1834" t="s">
        <v>252</v>
      </c>
      <c r="G1834">
        <v>6.7725</v>
      </c>
      <c r="H1834">
        <v>-74.798100000000005</v>
      </c>
      <c r="I1834" t="s">
        <v>1955</v>
      </c>
      <c r="J1834">
        <v>11</v>
      </c>
      <c r="M1834">
        <v>281</v>
      </c>
      <c r="N1834">
        <v>59</v>
      </c>
      <c r="O1834">
        <v>58</v>
      </c>
      <c r="P1834">
        <v>70</v>
      </c>
      <c r="Q1834">
        <v>40</v>
      </c>
      <c r="R1834">
        <v>53</v>
      </c>
    </row>
    <row r="1835" spans="1:18" x14ac:dyDescent="0.25">
      <c r="A1835" t="s">
        <v>1958</v>
      </c>
      <c r="B1835" t="s">
        <v>55</v>
      </c>
      <c r="C1835" t="s">
        <v>1953</v>
      </c>
      <c r="D1835" t="s">
        <v>1954</v>
      </c>
      <c r="E1835" t="s">
        <v>78</v>
      </c>
      <c r="F1835" t="s">
        <v>252</v>
      </c>
      <c r="G1835">
        <v>6.7725</v>
      </c>
      <c r="H1835">
        <v>-74.798100000000005</v>
      </c>
      <c r="I1835" t="s">
        <v>1955</v>
      </c>
      <c r="J1835">
        <v>11</v>
      </c>
      <c r="M1835">
        <v>272</v>
      </c>
      <c r="N1835">
        <v>51</v>
      </c>
      <c r="O1835">
        <v>54</v>
      </c>
      <c r="P1835">
        <v>62</v>
      </c>
      <c r="Q1835">
        <v>47</v>
      </c>
      <c r="R1835">
        <v>65</v>
      </c>
    </row>
    <row r="1836" spans="1:18" x14ac:dyDescent="0.25">
      <c r="A1836" t="s">
        <v>1959</v>
      </c>
      <c r="B1836" t="s">
        <v>55</v>
      </c>
      <c r="C1836" t="s">
        <v>1953</v>
      </c>
      <c r="D1836" t="s">
        <v>1954</v>
      </c>
      <c r="E1836" t="s">
        <v>78</v>
      </c>
      <c r="F1836" t="s">
        <v>252</v>
      </c>
      <c r="G1836">
        <v>6.7725</v>
      </c>
      <c r="H1836">
        <v>-74.798100000000005</v>
      </c>
      <c r="I1836" t="s">
        <v>1955</v>
      </c>
      <c r="J1836">
        <v>11</v>
      </c>
      <c r="M1836">
        <v>257</v>
      </c>
      <c r="N1836">
        <v>37</v>
      </c>
      <c r="O1836">
        <v>54</v>
      </c>
      <c r="P1836">
        <v>66</v>
      </c>
      <c r="Q1836">
        <v>43</v>
      </c>
      <c r="R1836">
        <v>69</v>
      </c>
    </row>
    <row r="1837" spans="1:18" x14ac:dyDescent="0.25">
      <c r="A1837" t="s">
        <v>1960</v>
      </c>
      <c r="B1837" t="s">
        <v>55</v>
      </c>
      <c r="C1837" t="s">
        <v>1953</v>
      </c>
      <c r="D1837" t="s">
        <v>1954</v>
      </c>
      <c r="E1837" t="s">
        <v>78</v>
      </c>
      <c r="F1837" t="s">
        <v>252</v>
      </c>
      <c r="G1837">
        <v>6.7725</v>
      </c>
      <c r="H1837">
        <v>-74.798100000000005</v>
      </c>
      <c r="I1837" t="s">
        <v>1955</v>
      </c>
      <c r="J1837">
        <v>11</v>
      </c>
      <c r="M1837">
        <v>246</v>
      </c>
      <c r="N1837">
        <v>63</v>
      </c>
      <c r="O1837">
        <v>38</v>
      </c>
      <c r="P1837">
        <v>58</v>
      </c>
      <c r="Q1837">
        <v>31</v>
      </c>
      <c r="R1837">
        <v>69</v>
      </c>
    </row>
    <row r="1838" spans="1:18" x14ac:dyDescent="0.25">
      <c r="A1838" t="s">
        <v>1961</v>
      </c>
      <c r="B1838" t="s">
        <v>55</v>
      </c>
      <c r="C1838" t="s">
        <v>1953</v>
      </c>
      <c r="D1838" t="s">
        <v>1954</v>
      </c>
      <c r="E1838" t="s">
        <v>78</v>
      </c>
      <c r="F1838" t="s">
        <v>252</v>
      </c>
      <c r="G1838">
        <v>6.7725</v>
      </c>
      <c r="H1838">
        <v>-74.798100000000005</v>
      </c>
      <c r="I1838" t="s">
        <v>1955</v>
      </c>
      <c r="J1838">
        <v>11</v>
      </c>
      <c r="M1838">
        <v>234</v>
      </c>
      <c r="N1838">
        <v>59</v>
      </c>
      <c r="O1838">
        <v>28</v>
      </c>
      <c r="P1838">
        <v>66</v>
      </c>
      <c r="Q1838">
        <v>29</v>
      </c>
      <c r="R1838">
        <v>64</v>
      </c>
    </row>
    <row r="1839" spans="1:18" x14ac:dyDescent="0.25">
      <c r="A1839" t="s">
        <v>1962</v>
      </c>
      <c r="B1839" t="s">
        <v>55</v>
      </c>
      <c r="C1839" t="s">
        <v>1953</v>
      </c>
      <c r="D1839" t="s">
        <v>1954</v>
      </c>
      <c r="E1839" t="s">
        <v>78</v>
      </c>
      <c r="F1839" t="s">
        <v>252</v>
      </c>
      <c r="G1839">
        <v>6.7725</v>
      </c>
      <c r="H1839">
        <v>-74.798100000000005</v>
      </c>
      <c r="I1839" t="s">
        <v>1955</v>
      </c>
      <c r="J1839">
        <v>11</v>
      </c>
      <c r="M1839">
        <v>234</v>
      </c>
      <c r="N1839">
        <v>63</v>
      </c>
      <c r="O1839">
        <v>28</v>
      </c>
      <c r="P1839">
        <v>62</v>
      </c>
      <c r="Q1839">
        <v>38</v>
      </c>
      <c r="R1839">
        <v>35</v>
      </c>
    </row>
    <row r="1840" spans="1:18" x14ac:dyDescent="0.25">
      <c r="A1840" t="s">
        <v>1963</v>
      </c>
      <c r="B1840" t="s">
        <v>55</v>
      </c>
      <c r="C1840" t="s">
        <v>1953</v>
      </c>
      <c r="D1840" t="s">
        <v>1954</v>
      </c>
      <c r="E1840" t="s">
        <v>78</v>
      </c>
      <c r="F1840" t="s">
        <v>252</v>
      </c>
      <c r="G1840">
        <v>6.7725</v>
      </c>
      <c r="H1840">
        <v>-74.798100000000005</v>
      </c>
      <c r="I1840" t="s">
        <v>1955</v>
      </c>
      <c r="J1840">
        <v>11</v>
      </c>
      <c r="M1840">
        <v>221</v>
      </c>
      <c r="N1840">
        <v>63</v>
      </c>
      <c r="O1840">
        <v>26</v>
      </c>
      <c r="P1840">
        <v>60</v>
      </c>
      <c r="Q1840">
        <v>29</v>
      </c>
      <c r="R1840">
        <v>38</v>
      </c>
    </row>
    <row r="1841" spans="1:18" x14ac:dyDescent="0.25">
      <c r="A1841" t="s">
        <v>1964</v>
      </c>
      <c r="B1841" t="s">
        <v>55</v>
      </c>
      <c r="C1841" t="s">
        <v>1953</v>
      </c>
      <c r="D1841" t="s">
        <v>1954</v>
      </c>
      <c r="E1841" t="s">
        <v>78</v>
      </c>
      <c r="F1841" t="s">
        <v>252</v>
      </c>
      <c r="G1841">
        <v>6.7725</v>
      </c>
      <c r="H1841">
        <v>-74.798100000000005</v>
      </c>
      <c r="I1841" t="s">
        <v>1955</v>
      </c>
      <c r="J1841">
        <v>11</v>
      </c>
      <c r="M1841">
        <v>220</v>
      </c>
      <c r="N1841">
        <v>66</v>
      </c>
      <c r="O1841">
        <v>30</v>
      </c>
      <c r="P1841">
        <v>56</v>
      </c>
      <c r="Q1841">
        <v>22</v>
      </c>
      <c r="R1841">
        <v>49</v>
      </c>
    </row>
    <row r="1842" spans="1:18" x14ac:dyDescent="0.25">
      <c r="A1842" t="s">
        <v>1965</v>
      </c>
      <c r="B1842" t="s">
        <v>55</v>
      </c>
      <c r="C1842" t="s">
        <v>1953</v>
      </c>
      <c r="D1842" t="s">
        <v>1954</v>
      </c>
      <c r="E1842" t="s">
        <v>78</v>
      </c>
      <c r="F1842" t="s">
        <v>252</v>
      </c>
      <c r="G1842">
        <v>6.7725</v>
      </c>
      <c r="H1842">
        <v>-74.798100000000005</v>
      </c>
      <c r="I1842" t="s">
        <v>1955</v>
      </c>
      <c r="J1842">
        <v>11</v>
      </c>
      <c r="M1842">
        <v>210</v>
      </c>
      <c r="N1842">
        <v>49</v>
      </c>
      <c r="O1842">
        <v>28</v>
      </c>
      <c r="P1842">
        <v>54</v>
      </c>
      <c r="Q1842">
        <v>36</v>
      </c>
      <c r="R1842">
        <v>45</v>
      </c>
    </row>
    <row r="1843" spans="1:18" x14ac:dyDescent="0.25">
      <c r="A1843" t="s">
        <v>1966</v>
      </c>
      <c r="B1843" t="s">
        <v>55</v>
      </c>
      <c r="C1843" t="s">
        <v>1953</v>
      </c>
      <c r="D1843" t="s">
        <v>1954</v>
      </c>
      <c r="E1843" t="s">
        <v>78</v>
      </c>
      <c r="F1843" t="s">
        <v>252</v>
      </c>
      <c r="G1843">
        <v>6.7725</v>
      </c>
      <c r="H1843">
        <v>-74.798100000000005</v>
      </c>
      <c r="I1843" t="s">
        <v>1955</v>
      </c>
      <c r="J1843">
        <v>11</v>
      </c>
      <c r="M1843">
        <v>205</v>
      </c>
      <c r="N1843">
        <v>51</v>
      </c>
      <c r="O1843">
        <v>30</v>
      </c>
      <c r="P1843">
        <v>50</v>
      </c>
      <c r="Q1843">
        <v>28</v>
      </c>
      <c r="R1843">
        <v>56</v>
      </c>
    </row>
    <row r="1844" spans="1:18" x14ac:dyDescent="0.25">
      <c r="A1844" t="s">
        <v>1967</v>
      </c>
      <c r="B1844" t="s">
        <v>55</v>
      </c>
      <c r="C1844" t="s">
        <v>1953</v>
      </c>
      <c r="D1844" t="s">
        <v>1954</v>
      </c>
      <c r="E1844" t="s">
        <v>78</v>
      </c>
      <c r="F1844" t="s">
        <v>252</v>
      </c>
      <c r="G1844">
        <v>6.7725</v>
      </c>
      <c r="H1844">
        <v>-74.798100000000005</v>
      </c>
      <c r="I1844" t="s">
        <v>1955</v>
      </c>
      <c r="J1844">
        <v>11</v>
      </c>
      <c r="M1844">
        <v>200</v>
      </c>
      <c r="N1844">
        <v>46</v>
      </c>
      <c r="O1844">
        <v>32</v>
      </c>
      <c r="P1844">
        <v>52</v>
      </c>
      <c r="Q1844">
        <v>33</v>
      </c>
      <c r="R1844">
        <v>31</v>
      </c>
    </row>
    <row r="1845" spans="1:18" x14ac:dyDescent="0.25">
      <c r="A1845" t="s">
        <v>1968</v>
      </c>
      <c r="B1845" t="s">
        <v>55</v>
      </c>
      <c r="C1845" t="s">
        <v>1953</v>
      </c>
      <c r="D1845" t="s">
        <v>1954</v>
      </c>
      <c r="E1845" t="s">
        <v>78</v>
      </c>
      <c r="F1845" t="s">
        <v>252</v>
      </c>
      <c r="G1845">
        <v>6.7725</v>
      </c>
      <c r="H1845">
        <v>-74.798100000000005</v>
      </c>
      <c r="I1845" t="s">
        <v>1955</v>
      </c>
      <c r="J1845">
        <v>11</v>
      </c>
      <c r="M1845">
        <v>195</v>
      </c>
      <c r="N1845">
        <v>41</v>
      </c>
      <c r="O1845">
        <v>30</v>
      </c>
      <c r="P1845">
        <v>46</v>
      </c>
      <c r="Q1845">
        <v>33</v>
      </c>
      <c r="R1845">
        <v>56</v>
      </c>
    </row>
    <row r="1846" spans="1:18" x14ac:dyDescent="0.25">
      <c r="A1846" t="s">
        <v>1969</v>
      </c>
      <c r="B1846" t="s">
        <v>55</v>
      </c>
      <c r="C1846" t="s">
        <v>1953</v>
      </c>
      <c r="D1846" t="s">
        <v>1954</v>
      </c>
      <c r="E1846" t="s">
        <v>78</v>
      </c>
      <c r="F1846" t="s">
        <v>252</v>
      </c>
      <c r="G1846">
        <v>6.7725</v>
      </c>
      <c r="H1846">
        <v>-74.798100000000005</v>
      </c>
      <c r="I1846" t="s">
        <v>1955</v>
      </c>
      <c r="J1846">
        <v>11</v>
      </c>
      <c r="M1846">
        <v>193</v>
      </c>
      <c r="N1846">
        <v>41</v>
      </c>
      <c r="O1846">
        <v>30</v>
      </c>
      <c r="P1846">
        <v>46</v>
      </c>
      <c r="Q1846">
        <v>34</v>
      </c>
      <c r="R1846">
        <v>45</v>
      </c>
    </row>
    <row r="1847" spans="1:18" x14ac:dyDescent="0.25">
      <c r="A1847" t="s">
        <v>1970</v>
      </c>
      <c r="B1847" t="s">
        <v>55</v>
      </c>
      <c r="C1847" t="s">
        <v>1953</v>
      </c>
      <c r="D1847" t="s">
        <v>1954</v>
      </c>
      <c r="E1847" t="s">
        <v>78</v>
      </c>
      <c r="F1847" t="s">
        <v>252</v>
      </c>
      <c r="G1847">
        <v>6.7725</v>
      </c>
      <c r="H1847">
        <v>-74.798100000000005</v>
      </c>
      <c r="I1847" t="s">
        <v>1955</v>
      </c>
      <c r="J1847">
        <v>11</v>
      </c>
      <c r="M1847">
        <v>189</v>
      </c>
      <c r="N1847">
        <v>63</v>
      </c>
      <c r="O1847">
        <v>30</v>
      </c>
      <c r="P1847">
        <v>24</v>
      </c>
      <c r="Q1847">
        <v>29</v>
      </c>
      <c r="R1847">
        <v>51</v>
      </c>
    </row>
    <row r="1848" spans="1:18" x14ac:dyDescent="0.25">
      <c r="A1848" t="s">
        <v>1971</v>
      </c>
      <c r="B1848" t="s">
        <v>55</v>
      </c>
      <c r="C1848" t="s">
        <v>1953</v>
      </c>
      <c r="D1848" t="s">
        <v>1954</v>
      </c>
      <c r="E1848" t="s">
        <v>78</v>
      </c>
      <c r="F1848" t="s">
        <v>252</v>
      </c>
      <c r="G1848">
        <v>6.7725</v>
      </c>
      <c r="H1848">
        <v>-74.798100000000005</v>
      </c>
      <c r="I1848" t="s">
        <v>1955</v>
      </c>
      <c r="J1848">
        <v>11</v>
      </c>
      <c r="M1848">
        <v>189</v>
      </c>
      <c r="N1848">
        <v>41</v>
      </c>
      <c r="O1848">
        <v>34</v>
      </c>
      <c r="P1848">
        <v>46</v>
      </c>
      <c r="Q1848">
        <v>31</v>
      </c>
      <c r="R1848">
        <v>33</v>
      </c>
    </row>
    <row r="1849" spans="1:18" x14ac:dyDescent="0.25">
      <c r="A1849" t="s">
        <v>1972</v>
      </c>
      <c r="B1849" t="s">
        <v>55</v>
      </c>
      <c r="C1849" t="s">
        <v>1953</v>
      </c>
      <c r="D1849" t="s">
        <v>1954</v>
      </c>
      <c r="E1849" t="s">
        <v>78</v>
      </c>
      <c r="F1849" t="s">
        <v>252</v>
      </c>
      <c r="G1849">
        <v>6.7725</v>
      </c>
      <c r="H1849">
        <v>-74.798100000000005</v>
      </c>
      <c r="I1849" t="s">
        <v>1955</v>
      </c>
      <c r="J1849">
        <v>11</v>
      </c>
      <c r="M1849">
        <v>187</v>
      </c>
      <c r="N1849">
        <v>22</v>
      </c>
      <c r="O1849">
        <v>30</v>
      </c>
      <c r="P1849">
        <v>48</v>
      </c>
      <c r="Q1849">
        <v>43</v>
      </c>
      <c r="R1849">
        <v>58</v>
      </c>
    </row>
    <row r="1850" spans="1:18" x14ac:dyDescent="0.25">
      <c r="A1850" t="s">
        <v>1973</v>
      </c>
      <c r="B1850" t="s">
        <v>55</v>
      </c>
      <c r="C1850" t="s">
        <v>1953</v>
      </c>
      <c r="D1850" t="s">
        <v>1954</v>
      </c>
      <c r="E1850" t="s">
        <v>78</v>
      </c>
      <c r="F1850" t="s">
        <v>252</v>
      </c>
      <c r="G1850">
        <v>6.7725</v>
      </c>
      <c r="H1850">
        <v>-74.798100000000005</v>
      </c>
      <c r="I1850" t="s">
        <v>1955</v>
      </c>
      <c r="J1850">
        <v>11</v>
      </c>
      <c r="M1850">
        <v>187</v>
      </c>
      <c r="N1850">
        <v>44</v>
      </c>
      <c r="O1850">
        <v>34</v>
      </c>
      <c r="P1850">
        <v>42</v>
      </c>
      <c r="Q1850">
        <v>28</v>
      </c>
      <c r="R1850">
        <v>44</v>
      </c>
    </row>
    <row r="1851" spans="1:18" x14ac:dyDescent="0.25">
      <c r="A1851" t="s">
        <v>1974</v>
      </c>
      <c r="B1851" t="s">
        <v>55</v>
      </c>
      <c r="C1851" t="s">
        <v>1953</v>
      </c>
      <c r="D1851" t="s">
        <v>1954</v>
      </c>
      <c r="E1851" t="s">
        <v>78</v>
      </c>
      <c r="F1851" t="s">
        <v>252</v>
      </c>
      <c r="G1851">
        <v>6.7725</v>
      </c>
      <c r="H1851">
        <v>-74.798100000000005</v>
      </c>
      <c r="I1851" t="s">
        <v>1955</v>
      </c>
      <c r="J1851">
        <v>11</v>
      </c>
      <c r="M1851">
        <v>180</v>
      </c>
      <c r="N1851">
        <v>49</v>
      </c>
      <c r="O1851">
        <v>14</v>
      </c>
      <c r="P1851">
        <v>44</v>
      </c>
      <c r="Q1851">
        <v>36</v>
      </c>
      <c r="R1851">
        <v>40</v>
      </c>
    </row>
    <row r="1852" spans="1:18" x14ac:dyDescent="0.25">
      <c r="A1852" t="s">
        <v>1975</v>
      </c>
      <c r="B1852" t="s">
        <v>55</v>
      </c>
      <c r="C1852" t="s">
        <v>1953</v>
      </c>
      <c r="D1852" t="s">
        <v>1954</v>
      </c>
      <c r="E1852" t="s">
        <v>78</v>
      </c>
      <c r="F1852" t="s">
        <v>252</v>
      </c>
      <c r="G1852">
        <v>6.7725</v>
      </c>
      <c r="H1852">
        <v>-74.798100000000005</v>
      </c>
      <c r="I1852" t="s">
        <v>1955</v>
      </c>
      <c r="J1852">
        <v>11</v>
      </c>
      <c r="M1852">
        <v>180</v>
      </c>
      <c r="N1852">
        <v>51</v>
      </c>
      <c r="O1852">
        <v>30</v>
      </c>
      <c r="P1852">
        <v>36</v>
      </c>
      <c r="Q1852">
        <v>24</v>
      </c>
      <c r="R1852">
        <v>44</v>
      </c>
    </row>
    <row r="1853" spans="1:18" x14ac:dyDescent="0.25">
      <c r="A1853" t="s">
        <v>1976</v>
      </c>
      <c r="B1853" t="s">
        <v>55</v>
      </c>
      <c r="C1853" t="s">
        <v>1953</v>
      </c>
      <c r="D1853" t="s">
        <v>1954</v>
      </c>
      <c r="E1853" t="s">
        <v>78</v>
      </c>
      <c r="F1853" t="s">
        <v>252</v>
      </c>
      <c r="G1853">
        <v>6.7725</v>
      </c>
      <c r="H1853">
        <v>-74.798100000000005</v>
      </c>
      <c r="I1853" t="s">
        <v>1955</v>
      </c>
      <c r="J1853">
        <v>11</v>
      </c>
      <c r="M1853">
        <v>169</v>
      </c>
      <c r="N1853">
        <v>41</v>
      </c>
      <c r="O1853">
        <v>20</v>
      </c>
      <c r="P1853">
        <v>46</v>
      </c>
      <c r="Q1853">
        <v>24</v>
      </c>
      <c r="R1853">
        <v>45</v>
      </c>
    </row>
    <row r="1854" spans="1:18" x14ac:dyDescent="0.25">
      <c r="A1854" t="s">
        <v>1977</v>
      </c>
      <c r="B1854" t="s">
        <v>55</v>
      </c>
      <c r="C1854" t="s">
        <v>1953</v>
      </c>
      <c r="D1854" t="s">
        <v>1954</v>
      </c>
      <c r="E1854" t="s">
        <v>78</v>
      </c>
      <c r="F1854" t="s">
        <v>252</v>
      </c>
      <c r="G1854">
        <v>6.7725</v>
      </c>
      <c r="H1854">
        <v>-74.798100000000005</v>
      </c>
      <c r="I1854" t="s">
        <v>1955</v>
      </c>
      <c r="J1854">
        <v>11</v>
      </c>
      <c r="M1854">
        <v>169</v>
      </c>
      <c r="N1854">
        <v>39</v>
      </c>
      <c r="O1854">
        <v>18</v>
      </c>
      <c r="P1854">
        <v>38</v>
      </c>
      <c r="Q1854">
        <v>38</v>
      </c>
      <c r="R1854">
        <v>40</v>
      </c>
    </row>
    <row r="1855" spans="1:18" x14ac:dyDescent="0.25">
      <c r="A1855" t="s">
        <v>1978</v>
      </c>
      <c r="B1855" t="s">
        <v>55</v>
      </c>
      <c r="C1855" t="s">
        <v>1953</v>
      </c>
      <c r="D1855" t="s">
        <v>1954</v>
      </c>
      <c r="E1855" t="s">
        <v>78</v>
      </c>
      <c r="F1855" t="s">
        <v>252</v>
      </c>
      <c r="G1855">
        <v>6.7725</v>
      </c>
      <c r="H1855">
        <v>-74.798100000000005</v>
      </c>
      <c r="I1855" t="s">
        <v>1955</v>
      </c>
      <c r="J1855">
        <v>11</v>
      </c>
      <c r="M1855">
        <v>168</v>
      </c>
      <c r="N1855">
        <v>41</v>
      </c>
      <c r="O1855">
        <v>24</v>
      </c>
      <c r="P1855">
        <v>38</v>
      </c>
      <c r="Q1855">
        <v>24</v>
      </c>
      <c r="R1855">
        <v>55</v>
      </c>
    </row>
    <row r="1856" spans="1:18" x14ac:dyDescent="0.25">
      <c r="A1856" t="s">
        <v>1979</v>
      </c>
      <c r="B1856" t="s">
        <v>55</v>
      </c>
      <c r="C1856" t="s">
        <v>1953</v>
      </c>
      <c r="D1856" t="s">
        <v>1954</v>
      </c>
      <c r="E1856" t="s">
        <v>78</v>
      </c>
      <c r="F1856" t="s">
        <v>252</v>
      </c>
      <c r="G1856">
        <v>6.7725</v>
      </c>
      <c r="H1856">
        <v>-74.798100000000005</v>
      </c>
      <c r="I1856" t="s">
        <v>1955</v>
      </c>
      <c r="J1856">
        <v>11</v>
      </c>
      <c r="M1856">
        <v>166</v>
      </c>
      <c r="N1856">
        <v>27</v>
      </c>
      <c r="O1856">
        <v>26</v>
      </c>
      <c r="P1856">
        <v>36</v>
      </c>
      <c r="Q1856">
        <v>34</v>
      </c>
      <c r="R1856">
        <v>62</v>
      </c>
    </row>
    <row r="1857" spans="1:18" x14ac:dyDescent="0.25">
      <c r="A1857" t="s">
        <v>1980</v>
      </c>
      <c r="B1857" t="s">
        <v>55</v>
      </c>
      <c r="C1857" t="s">
        <v>1953</v>
      </c>
      <c r="D1857" t="s">
        <v>1954</v>
      </c>
      <c r="E1857" t="s">
        <v>78</v>
      </c>
      <c r="F1857" t="s">
        <v>252</v>
      </c>
      <c r="G1857">
        <v>6.7725</v>
      </c>
      <c r="H1857">
        <v>-74.798100000000005</v>
      </c>
      <c r="I1857" t="s">
        <v>1955</v>
      </c>
      <c r="J1857">
        <v>11</v>
      </c>
      <c r="M1857">
        <v>165</v>
      </c>
      <c r="N1857">
        <v>39</v>
      </c>
      <c r="O1857">
        <v>24</v>
      </c>
      <c r="P1857">
        <v>36</v>
      </c>
      <c r="Q1857">
        <v>26</v>
      </c>
      <c r="R1857">
        <v>55</v>
      </c>
    </row>
    <row r="1858" spans="1:18" x14ac:dyDescent="0.25">
      <c r="A1858" t="s">
        <v>1981</v>
      </c>
      <c r="B1858" t="s">
        <v>55</v>
      </c>
      <c r="C1858" t="s">
        <v>1953</v>
      </c>
      <c r="D1858" t="s">
        <v>1954</v>
      </c>
      <c r="E1858" t="s">
        <v>78</v>
      </c>
      <c r="F1858" t="s">
        <v>252</v>
      </c>
      <c r="G1858">
        <v>6.7725</v>
      </c>
      <c r="H1858">
        <v>-74.798100000000005</v>
      </c>
      <c r="I1858" t="s">
        <v>1955</v>
      </c>
      <c r="J1858">
        <v>11</v>
      </c>
      <c r="M1858">
        <v>165</v>
      </c>
      <c r="N1858">
        <v>27</v>
      </c>
      <c r="O1858">
        <v>30</v>
      </c>
      <c r="P1858">
        <v>36</v>
      </c>
      <c r="Q1858">
        <v>28</v>
      </c>
      <c r="R1858">
        <v>67</v>
      </c>
    </row>
    <row r="1859" spans="1:18" x14ac:dyDescent="0.25">
      <c r="A1859" t="s">
        <v>1982</v>
      </c>
      <c r="B1859" t="s">
        <v>55</v>
      </c>
      <c r="C1859" t="s">
        <v>1953</v>
      </c>
      <c r="D1859" t="s">
        <v>1954</v>
      </c>
      <c r="E1859" t="s">
        <v>78</v>
      </c>
      <c r="F1859" t="s">
        <v>252</v>
      </c>
      <c r="G1859">
        <v>6.7725</v>
      </c>
      <c r="H1859">
        <v>-74.798100000000005</v>
      </c>
      <c r="I1859" t="s">
        <v>1955</v>
      </c>
      <c r="J1859">
        <v>11</v>
      </c>
      <c r="M1859">
        <v>163</v>
      </c>
      <c r="N1859">
        <v>37</v>
      </c>
      <c r="O1859">
        <v>20</v>
      </c>
      <c r="P1859">
        <v>44</v>
      </c>
      <c r="Q1859">
        <v>29</v>
      </c>
      <c r="R1859">
        <v>35</v>
      </c>
    </row>
    <row r="1860" spans="1:18" x14ac:dyDescent="0.25">
      <c r="A1860" t="s">
        <v>1983</v>
      </c>
      <c r="B1860" t="s">
        <v>55</v>
      </c>
      <c r="C1860" t="s">
        <v>1953</v>
      </c>
      <c r="D1860" t="s">
        <v>1954</v>
      </c>
      <c r="E1860" t="s">
        <v>78</v>
      </c>
      <c r="F1860" t="s">
        <v>252</v>
      </c>
      <c r="G1860">
        <v>6.7725</v>
      </c>
      <c r="H1860">
        <v>-74.798100000000005</v>
      </c>
      <c r="I1860" t="s">
        <v>1955</v>
      </c>
      <c r="J1860">
        <v>11</v>
      </c>
      <c r="M1860">
        <v>161</v>
      </c>
      <c r="N1860">
        <v>39</v>
      </c>
      <c r="O1860">
        <v>24</v>
      </c>
      <c r="P1860">
        <v>36</v>
      </c>
      <c r="Q1860">
        <v>31</v>
      </c>
      <c r="R1860">
        <v>27</v>
      </c>
    </row>
    <row r="1861" spans="1:18" x14ac:dyDescent="0.25">
      <c r="A1861" t="s">
        <v>1984</v>
      </c>
      <c r="B1861" t="s">
        <v>55</v>
      </c>
      <c r="C1861" t="s">
        <v>1953</v>
      </c>
      <c r="D1861" t="s">
        <v>1954</v>
      </c>
      <c r="E1861" t="s">
        <v>78</v>
      </c>
      <c r="F1861" t="s">
        <v>252</v>
      </c>
      <c r="G1861">
        <v>6.7725</v>
      </c>
      <c r="H1861">
        <v>-74.798100000000005</v>
      </c>
      <c r="I1861" t="s">
        <v>1955</v>
      </c>
      <c r="J1861">
        <v>11</v>
      </c>
      <c r="M1861">
        <v>157</v>
      </c>
      <c r="N1861">
        <v>41</v>
      </c>
      <c r="O1861">
        <v>20</v>
      </c>
      <c r="P1861">
        <v>34</v>
      </c>
      <c r="Q1861">
        <v>26</v>
      </c>
      <c r="R1861">
        <v>45</v>
      </c>
    </row>
    <row r="1862" spans="1:18" x14ac:dyDescent="0.25">
      <c r="A1862" t="s">
        <v>1985</v>
      </c>
      <c r="B1862" t="s">
        <v>55</v>
      </c>
      <c r="C1862" t="s">
        <v>1953</v>
      </c>
      <c r="D1862" t="s">
        <v>1954</v>
      </c>
      <c r="E1862" t="s">
        <v>78</v>
      </c>
      <c r="F1862" t="s">
        <v>252</v>
      </c>
      <c r="G1862">
        <v>6.7725</v>
      </c>
      <c r="H1862">
        <v>-74.798100000000005</v>
      </c>
      <c r="I1862" t="s">
        <v>1955</v>
      </c>
      <c r="J1862">
        <v>11</v>
      </c>
      <c r="M1862">
        <v>156</v>
      </c>
      <c r="N1862">
        <v>46</v>
      </c>
      <c r="O1862">
        <v>20</v>
      </c>
      <c r="P1862">
        <v>30</v>
      </c>
      <c r="Q1862">
        <v>28</v>
      </c>
      <c r="R1862">
        <v>35</v>
      </c>
    </row>
    <row r="1863" spans="1:18" x14ac:dyDescent="0.25">
      <c r="A1863" t="s">
        <v>1986</v>
      </c>
      <c r="B1863" t="s">
        <v>55</v>
      </c>
      <c r="C1863" t="s">
        <v>1953</v>
      </c>
      <c r="D1863" t="s">
        <v>1954</v>
      </c>
      <c r="E1863" t="s">
        <v>78</v>
      </c>
      <c r="F1863" t="s">
        <v>252</v>
      </c>
      <c r="G1863">
        <v>6.7725</v>
      </c>
      <c r="H1863">
        <v>-74.798100000000005</v>
      </c>
      <c r="I1863" t="s">
        <v>1955</v>
      </c>
      <c r="J1863">
        <v>11</v>
      </c>
      <c r="M1863">
        <v>153</v>
      </c>
      <c r="N1863">
        <v>34</v>
      </c>
      <c r="O1863">
        <v>24</v>
      </c>
      <c r="P1863">
        <v>38</v>
      </c>
      <c r="Q1863">
        <v>28</v>
      </c>
      <c r="R1863">
        <v>25</v>
      </c>
    </row>
    <row r="1864" spans="1:18" x14ac:dyDescent="0.25">
      <c r="A1864" t="s">
        <v>1987</v>
      </c>
      <c r="B1864" t="s">
        <v>55</v>
      </c>
      <c r="C1864" t="s">
        <v>1953</v>
      </c>
      <c r="D1864" t="s">
        <v>1954</v>
      </c>
      <c r="E1864" t="s">
        <v>78</v>
      </c>
      <c r="F1864" t="s">
        <v>252</v>
      </c>
      <c r="G1864">
        <v>6.7725</v>
      </c>
      <c r="H1864">
        <v>-74.798100000000005</v>
      </c>
      <c r="I1864" t="s">
        <v>1955</v>
      </c>
      <c r="J1864">
        <v>11</v>
      </c>
      <c r="M1864">
        <v>152</v>
      </c>
      <c r="N1864">
        <v>29</v>
      </c>
      <c r="O1864">
        <v>22</v>
      </c>
      <c r="P1864">
        <v>30</v>
      </c>
      <c r="Q1864">
        <v>36</v>
      </c>
      <c r="R1864">
        <v>44</v>
      </c>
    </row>
    <row r="1865" spans="1:18" x14ac:dyDescent="0.25">
      <c r="A1865" t="s">
        <v>1988</v>
      </c>
      <c r="B1865" t="s">
        <v>55</v>
      </c>
      <c r="C1865" t="s">
        <v>1953</v>
      </c>
      <c r="D1865" t="s">
        <v>1954</v>
      </c>
      <c r="E1865" t="s">
        <v>78</v>
      </c>
      <c r="F1865" t="s">
        <v>252</v>
      </c>
      <c r="G1865">
        <v>6.7725</v>
      </c>
      <c r="H1865">
        <v>-74.798100000000005</v>
      </c>
      <c r="I1865" t="s">
        <v>1955</v>
      </c>
      <c r="J1865">
        <v>11</v>
      </c>
      <c r="M1865">
        <v>151</v>
      </c>
      <c r="N1865">
        <v>32</v>
      </c>
      <c r="O1865">
        <v>24</v>
      </c>
      <c r="P1865">
        <v>34</v>
      </c>
      <c r="Q1865">
        <v>31</v>
      </c>
      <c r="R1865">
        <v>31</v>
      </c>
    </row>
    <row r="1866" spans="1:18" x14ac:dyDescent="0.25">
      <c r="A1866" t="s">
        <v>1989</v>
      </c>
      <c r="B1866" t="s">
        <v>55</v>
      </c>
      <c r="C1866" t="s">
        <v>1990</v>
      </c>
      <c r="D1866" t="s">
        <v>1991</v>
      </c>
      <c r="E1866" t="s">
        <v>78</v>
      </c>
      <c r="F1866" t="s">
        <v>252</v>
      </c>
      <c r="G1866">
        <v>5.9264000000000001</v>
      </c>
      <c r="H1866">
        <v>-75.674199999999999</v>
      </c>
      <c r="I1866" t="s">
        <v>1992</v>
      </c>
      <c r="J1866">
        <v>11</v>
      </c>
      <c r="M1866">
        <v>271</v>
      </c>
      <c r="N1866">
        <v>63</v>
      </c>
      <c r="O1866">
        <v>38</v>
      </c>
      <c r="P1866">
        <v>74</v>
      </c>
      <c r="Q1866">
        <v>36</v>
      </c>
      <c r="R1866">
        <v>69</v>
      </c>
    </row>
    <row r="1867" spans="1:18" x14ac:dyDescent="0.25">
      <c r="A1867" t="s">
        <v>1993</v>
      </c>
      <c r="B1867" t="s">
        <v>55</v>
      </c>
      <c r="C1867" t="s">
        <v>1990</v>
      </c>
      <c r="D1867" t="s">
        <v>1991</v>
      </c>
      <c r="E1867" t="s">
        <v>78</v>
      </c>
      <c r="F1867" t="s">
        <v>252</v>
      </c>
      <c r="G1867">
        <v>5.9264000000000001</v>
      </c>
      <c r="H1867">
        <v>-75.674199999999999</v>
      </c>
      <c r="I1867" t="s">
        <v>1992</v>
      </c>
      <c r="J1867">
        <v>11</v>
      </c>
      <c r="M1867">
        <v>248</v>
      </c>
      <c r="N1867">
        <v>68</v>
      </c>
      <c r="O1867">
        <v>44</v>
      </c>
      <c r="P1867">
        <v>48</v>
      </c>
      <c r="Q1867">
        <v>38</v>
      </c>
      <c r="R1867">
        <v>49</v>
      </c>
    </row>
    <row r="1868" spans="1:18" x14ac:dyDescent="0.25">
      <c r="A1868" t="s">
        <v>1994</v>
      </c>
      <c r="B1868" t="s">
        <v>55</v>
      </c>
      <c r="C1868" t="s">
        <v>1990</v>
      </c>
      <c r="D1868" t="s">
        <v>1991</v>
      </c>
      <c r="E1868" t="s">
        <v>78</v>
      </c>
      <c r="F1868" t="s">
        <v>252</v>
      </c>
      <c r="G1868">
        <v>5.9264000000000001</v>
      </c>
      <c r="H1868">
        <v>-75.674199999999999</v>
      </c>
      <c r="I1868" t="s">
        <v>1992</v>
      </c>
      <c r="J1868">
        <v>11</v>
      </c>
      <c r="M1868">
        <v>247</v>
      </c>
      <c r="N1868">
        <v>61</v>
      </c>
      <c r="O1868">
        <v>28</v>
      </c>
      <c r="P1868">
        <v>64</v>
      </c>
      <c r="Q1868">
        <v>34</v>
      </c>
      <c r="R1868">
        <v>80</v>
      </c>
    </row>
    <row r="1869" spans="1:18" x14ac:dyDescent="0.25">
      <c r="A1869" t="s">
        <v>1995</v>
      </c>
      <c r="B1869" t="s">
        <v>55</v>
      </c>
      <c r="C1869" t="s">
        <v>1990</v>
      </c>
      <c r="D1869" t="s">
        <v>1991</v>
      </c>
      <c r="E1869" t="s">
        <v>78</v>
      </c>
      <c r="F1869" t="s">
        <v>252</v>
      </c>
      <c r="G1869">
        <v>5.9264000000000001</v>
      </c>
      <c r="H1869">
        <v>-75.674199999999999</v>
      </c>
      <c r="I1869" t="s">
        <v>1992</v>
      </c>
      <c r="J1869">
        <v>11</v>
      </c>
      <c r="M1869">
        <v>236</v>
      </c>
      <c r="N1869">
        <v>46</v>
      </c>
      <c r="O1869">
        <v>40</v>
      </c>
      <c r="P1869">
        <v>64</v>
      </c>
      <c r="Q1869">
        <v>33</v>
      </c>
      <c r="R1869">
        <v>65</v>
      </c>
    </row>
    <row r="1870" spans="1:18" x14ac:dyDescent="0.25">
      <c r="A1870" t="s">
        <v>1996</v>
      </c>
      <c r="B1870" t="s">
        <v>55</v>
      </c>
      <c r="C1870" t="s">
        <v>1990</v>
      </c>
      <c r="D1870" t="s">
        <v>1991</v>
      </c>
      <c r="E1870" t="s">
        <v>78</v>
      </c>
      <c r="F1870" t="s">
        <v>252</v>
      </c>
      <c r="G1870">
        <v>5.9264000000000001</v>
      </c>
      <c r="H1870">
        <v>-75.674199999999999</v>
      </c>
      <c r="I1870" t="s">
        <v>1992</v>
      </c>
      <c r="J1870">
        <v>11</v>
      </c>
      <c r="M1870">
        <v>227</v>
      </c>
      <c r="N1870">
        <v>46</v>
      </c>
      <c r="O1870">
        <v>34</v>
      </c>
      <c r="P1870">
        <v>64</v>
      </c>
      <c r="Q1870">
        <v>36</v>
      </c>
      <c r="R1870">
        <v>49</v>
      </c>
    </row>
    <row r="1871" spans="1:18" x14ac:dyDescent="0.25">
      <c r="A1871" t="s">
        <v>1997</v>
      </c>
      <c r="B1871" t="s">
        <v>55</v>
      </c>
      <c r="C1871" t="s">
        <v>1990</v>
      </c>
      <c r="D1871" t="s">
        <v>1991</v>
      </c>
      <c r="E1871" t="s">
        <v>78</v>
      </c>
      <c r="F1871" t="s">
        <v>252</v>
      </c>
      <c r="G1871">
        <v>5.9264000000000001</v>
      </c>
      <c r="H1871">
        <v>-75.674199999999999</v>
      </c>
      <c r="I1871" t="s">
        <v>1992</v>
      </c>
      <c r="J1871">
        <v>11</v>
      </c>
      <c r="M1871">
        <v>222</v>
      </c>
      <c r="N1871">
        <v>54</v>
      </c>
      <c r="O1871">
        <v>40</v>
      </c>
      <c r="P1871">
        <v>36</v>
      </c>
      <c r="Q1871">
        <v>43</v>
      </c>
      <c r="R1871">
        <v>60</v>
      </c>
    </row>
    <row r="1872" spans="1:18" x14ac:dyDescent="0.25">
      <c r="A1872" t="s">
        <v>1998</v>
      </c>
      <c r="B1872" t="s">
        <v>55</v>
      </c>
      <c r="C1872" t="s">
        <v>1990</v>
      </c>
      <c r="D1872" t="s">
        <v>1991</v>
      </c>
      <c r="E1872" t="s">
        <v>78</v>
      </c>
      <c r="F1872" t="s">
        <v>252</v>
      </c>
      <c r="G1872">
        <v>5.9264000000000001</v>
      </c>
      <c r="H1872">
        <v>-75.674199999999999</v>
      </c>
      <c r="I1872" t="s">
        <v>1992</v>
      </c>
      <c r="J1872">
        <v>11</v>
      </c>
      <c r="M1872">
        <v>219</v>
      </c>
      <c r="N1872">
        <v>51</v>
      </c>
      <c r="O1872">
        <v>52</v>
      </c>
      <c r="P1872">
        <v>42</v>
      </c>
      <c r="Q1872">
        <v>31</v>
      </c>
      <c r="R1872">
        <v>40</v>
      </c>
    </row>
    <row r="1873" spans="1:18" x14ac:dyDescent="0.25">
      <c r="A1873" t="s">
        <v>1999</v>
      </c>
      <c r="B1873" t="s">
        <v>55</v>
      </c>
      <c r="C1873" t="s">
        <v>1990</v>
      </c>
      <c r="D1873" t="s">
        <v>1991</v>
      </c>
      <c r="E1873" t="s">
        <v>78</v>
      </c>
      <c r="F1873" t="s">
        <v>252</v>
      </c>
      <c r="G1873">
        <v>5.9264000000000001</v>
      </c>
      <c r="H1873">
        <v>-75.674199999999999</v>
      </c>
      <c r="I1873" t="s">
        <v>1992</v>
      </c>
      <c r="J1873">
        <v>11</v>
      </c>
      <c r="M1873">
        <v>215</v>
      </c>
      <c r="N1873">
        <v>34</v>
      </c>
      <c r="O1873">
        <v>42</v>
      </c>
      <c r="P1873">
        <v>50</v>
      </c>
      <c r="Q1873">
        <v>36</v>
      </c>
      <c r="R1873">
        <v>71</v>
      </c>
    </row>
    <row r="1874" spans="1:18" x14ac:dyDescent="0.25">
      <c r="A1874" t="s">
        <v>2000</v>
      </c>
      <c r="B1874" t="s">
        <v>55</v>
      </c>
      <c r="C1874" t="s">
        <v>1990</v>
      </c>
      <c r="D1874" t="s">
        <v>1991</v>
      </c>
      <c r="E1874" t="s">
        <v>78</v>
      </c>
      <c r="F1874" t="s">
        <v>252</v>
      </c>
      <c r="G1874">
        <v>5.9264000000000001</v>
      </c>
      <c r="H1874">
        <v>-75.674199999999999</v>
      </c>
      <c r="I1874" t="s">
        <v>1992</v>
      </c>
      <c r="J1874">
        <v>11</v>
      </c>
      <c r="M1874">
        <v>203</v>
      </c>
      <c r="N1874">
        <v>44</v>
      </c>
      <c r="O1874">
        <v>40</v>
      </c>
      <c r="P1874">
        <v>42</v>
      </c>
      <c r="Q1874">
        <v>33</v>
      </c>
      <c r="R1874">
        <v>51</v>
      </c>
    </row>
    <row r="1875" spans="1:18" x14ac:dyDescent="0.25">
      <c r="A1875" t="s">
        <v>2001</v>
      </c>
      <c r="B1875" t="s">
        <v>55</v>
      </c>
      <c r="C1875" t="s">
        <v>1990</v>
      </c>
      <c r="D1875" t="s">
        <v>1991</v>
      </c>
      <c r="E1875" t="s">
        <v>78</v>
      </c>
      <c r="F1875" t="s">
        <v>252</v>
      </c>
      <c r="G1875">
        <v>5.9264000000000001</v>
      </c>
      <c r="H1875">
        <v>-75.674199999999999</v>
      </c>
      <c r="I1875" t="s">
        <v>1992</v>
      </c>
      <c r="J1875">
        <v>11</v>
      </c>
      <c r="M1875">
        <v>199</v>
      </c>
      <c r="N1875">
        <v>54</v>
      </c>
      <c r="O1875">
        <v>22</v>
      </c>
      <c r="P1875">
        <v>44</v>
      </c>
      <c r="Q1875">
        <v>38</v>
      </c>
      <c r="R1875">
        <v>45</v>
      </c>
    </row>
    <row r="1876" spans="1:18" x14ac:dyDescent="0.25">
      <c r="A1876" t="s">
        <v>2002</v>
      </c>
      <c r="B1876" t="s">
        <v>55</v>
      </c>
      <c r="C1876" t="s">
        <v>1990</v>
      </c>
      <c r="D1876" t="s">
        <v>1991</v>
      </c>
      <c r="E1876" t="s">
        <v>78</v>
      </c>
      <c r="F1876" t="s">
        <v>252</v>
      </c>
      <c r="G1876">
        <v>5.9264000000000001</v>
      </c>
      <c r="H1876">
        <v>-75.674199999999999</v>
      </c>
      <c r="I1876" t="s">
        <v>1992</v>
      </c>
      <c r="J1876">
        <v>11</v>
      </c>
      <c r="M1876">
        <v>192</v>
      </c>
      <c r="N1876">
        <v>32</v>
      </c>
      <c r="O1876">
        <v>16</v>
      </c>
      <c r="P1876">
        <v>70</v>
      </c>
      <c r="Q1876">
        <v>33</v>
      </c>
      <c r="R1876">
        <v>47</v>
      </c>
    </row>
    <row r="1877" spans="1:18" x14ac:dyDescent="0.25">
      <c r="A1877" t="s">
        <v>2003</v>
      </c>
      <c r="B1877" t="s">
        <v>55</v>
      </c>
      <c r="C1877" t="s">
        <v>1990</v>
      </c>
      <c r="D1877" t="s">
        <v>1991</v>
      </c>
      <c r="E1877" t="s">
        <v>78</v>
      </c>
      <c r="F1877" t="s">
        <v>252</v>
      </c>
      <c r="G1877">
        <v>5.9264000000000001</v>
      </c>
      <c r="H1877">
        <v>-75.674199999999999</v>
      </c>
      <c r="I1877" t="s">
        <v>1992</v>
      </c>
      <c r="J1877">
        <v>11</v>
      </c>
      <c r="M1877">
        <v>190</v>
      </c>
      <c r="N1877">
        <v>46</v>
      </c>
      <c r="O1877">
        <v>22</v>
      </c>
      <c r="P1877">
        <v>50</v>
      </c>
      <c r="Q1877">
        <v>34</v>
      </c>
      <c r="R1877">
        <v>36</v>
      </c>
    </row>
    <row r="1878" spans="1:18" x14ac:dyDescent="0.25">
      <c r="A1878" t="s">
        <v>2004</v>
      </c>
      <c r="B1878" t="s">
        <v>55</v>
      </c>
      <c r="C1878" t="s">
        <v>1990</v>
      </c>
      <c r="D1878" t="s">
        <v>1991</v>
      </c>
      <c r="E1878" t="s">
        <v>78</v>
      </c>
      <c r="F1878" t="s">
        <v>252</v>
      </c>
      <c r="G1878">
        <v>5.9264000000000001</v>
      </c>
      <c r="H1878">
        <v>-75.674199999999999</v>
      </c>
      <c r="I1878" t="s">
        <v>1992</v>
      </c>
      <c r="J1878">
        <v>11</v>
      </c>
      <c r="M1878">
        <v>189</v>
      </c>
      <c r="N1878">
        <v>56</v>
      </c>
      <c r="O1878">
        <v>30</v>
      </c>
      <c r="P1878">
        <v>34</v>
      </c>
      <c r="Q1878">
        <v>26</v>
      </c>
      <c r="R1878">
        <v>55</v>
      </c>
    </row>
    <row r="1879" spans="1:18" x14ac:dyDescent="0.25">
      <c r="A1879" t="s">
        <v>2005</v>
      </c>
      <c r="B1879" t="s">
        <v>55</v>
      </c>
      <c r="C1879" t="s">
        <v>1990</v>
      </c>
      <c r="D1879" t="s">
        <v>1991</v>
      </c>
      <c r="E1879" t="s">
        <v>78</v>
      </c>
      <c r="F1879" t="s">
        <v>252</v>
      </c>
      <c r="G1879">
        <v>5.9264000000000001</v>
      </c>
      <c r="H1879">
        <v>-75.674199999999999</v>
      </c>
      <c r="I1879" t="s">
        <v>1992</v>
      </c>
      <c r="J1879">
        <v>11</v>
      </c>
      <c r="M1879">
        <v>189</v>
      </c>
      <c r="N1879">
        <v>51</v>
      </c>
      <c r="O1879">
        <v>22</v>
      </c>
      <c r="P1879">
        <v>58</v>
      </c>
      <c r="Q1879">
        <v>17</v>
      </c>
      <c r="R1879">
        <v>45</v>
      </c>
    </row>
    <row r="1880" spans="1:18" x14ac:dyDescent="0.25">
      <c r="A1880" t="s">
        <v>2006</v>
      </c>
      <c r="B1880" t="s">
        <v>55</v>
      </c>
      <c r="C1880" t="s">
        <v>1990</v>
      </c>
      <c r="D1880" t="s">
        <v>1991</v>
      </c>
      <c r="E1880" t="s">
        <v>78</v>
      </c>
      <c r="F1880" t="s">
        <v>252</v>
      </c>
      <c r="G1880">
        <v>5.9264000000000001</v>
      </c>
      <c r="H1880">
        <v>-75.674199999999999</v>
      </c>
      <c r="I1880" t="s">
        <v>1992</v>
      </c>
      <c r="J1880">
        <v>11</v>
      </c>
      <c r="M1880">
        <v>188</v>
      </c>
      <c r="N1880">
        <v>49</v>
      </c>
      <c r="O1880">
        <v>26</v>
      </c>
      <c r="P1880">
        <v>52</v>
      </c>
      <c r="Q1880">
        <v>21</v>
      </c>
      <c r="R1880">
        <v>47</v>
      </c>
    </row>
    <row r="1881" spans="1:18" x14ac:dyDescent="0.25">
      <c r="A1881" t="s">
        <v>2007</v>
      </c>
      <c r="B1881" t="s">
        <v>55</v>
      </c>
      <c r="C1881" t="s">
        <v>1990</v>
      </c>
      <c r="D1881" t="s">
        <v>1991</v>
      </c>
      <c r="E1881" t="s">
        <v>78</v>
      </c>
      <c r="F1881" t="s">
        <v>252</v>
      </c>
      <c r="G1881">
        <v>5.9264000000000001</v>
      </c>
      <c r="H1881">
        <v>-75.674199999999999</v>
      </c>
      <c r="I1881" t="s">
        <v>1992</v>
      </c>
      <c r="J1881">
        <v>11</v>
      </c>
      <c r="M1881">
        <v>188</v>
      </c>
      <c r="N1881">
        <v>49</v>
      </c>
      <c r="O1881">
        <v>30</v>
      </c>
      <c r="P1881">
        <v>44</v>
      </c>
      <c r="Q1881">
        <v>22</v>
      </c>
      <c r="R1881">
        <v>53</v>
      </c>
    </row>
    <row r="1882" spans="1:18" x14ac:dyDescent="0.25">
      <c r="A1882" t="s">
        <v>2008</v>
      </c>
      <c r="B1882" t="s">
        <v>55</v>
      </c>
      <c r="C1882" t="s">
        <v>1990</v>
      </c>
      <c r="D1882" t="s">
        <v>1991</v>
      </c>
      <c r="E1882" t="s">
        <v>78</v>
      </c>
      <c r="F1882" t="s">
        <v>252</v>
      </c>
      <c r="G1882">
        <v>5.9264000000000001</v>
      </c>
      <c r="H1882">
        <v>-75.674199999999999</v>
      </c>
      <c r="I1882" t="s">
        <v>1992</v>
      </c>
      <c r="J1882">
        <v>11</v>
      </c>
      <c r="M1882">
        <v>182</v>
      </c>
      <c r="N1882">
        <v>27</v>
      </c>
      <c r="O1882">
        <v>30</v>
      </c>
      <c r="P1882">
        <v>50</v>
      </c>
      <c r="Q1882">
        <v>36</v>
      </c>
      <c r="R1882">
        <v>44</v>
      </c>
    </row>
    <row r="1883" spans="1:18" x14ac:dyDescent="0.25">
      <c r="A1883" t="s">
        <v>2009</v>
      </c>
      <c r="B1883" t="s">
        <v>55</v>
      </c>
      <c r="C1883" t="s">
        <v>1990</v>
      </c>
      <c r="D1883" t="s">
        <v>1991</v>
      </c>
      <c r="E1883" t="s">
        <v>78</v>
      </c>
      <c r="F1883" t="s">
        <v>252</v>
      </c>
      <c r="G1883">
        <v>5.9264000000000001</v>
      </c>
      <c r="H1883">
        <v>-75.674199999999999</v>
      </c>
      <c r="I1883" t="s">
        <v>1992</v>
      </c>
      <c r="J1883">
        <v>11</v>
      </c>
      <c r="M1883">
        <v>181</v>
      </c>
      <c r="N1883">
        <v>44</v>
      </c>
      <c r="O1883">
        <v>26</v>
      </c>
      <c r="P1883">
        <v>42</v>
      </c>
      <c r="Q1883">
        <v>31</v>
      </c>
      <c r="R1883">
        <v>42</v>
      </c>
    </row>
    <row r="1884" spans="1:18" x14ac:dyDescent="0.25">
      <c r="A1884" t="s">
        <v>2010</v>
      </c>
      <c r="B1884" t="s">
        <v>55</v>
      </c>
      <c r="C1884" t="s">
        <v>1990</v>
      </c>
      <c r="D1884" t="s">
        <v>1991</v>
      </c>
      <c r="E1884" t="s">
        <v>78</v>
      </c>
      <c r="F1884" t="s">
        <v>252</v>
      </c>
      <c r="G1884">
        <v>5.9264000000000001</v>
      </c>
      <c r="H1884">
        <v>-75.674199999999999</v>
      </c>
      <c r="I1884" t="s">
        <v>1992</v>
      </c>
      <c r="J1884">
        <v>11</v>
      </c>
      <c r="M1884">
        <v>179</v>
      </c>
      <c r="N1884">
        <v>49</v>
      </c>
      <c r="O1884">
        <v>16</v>
      </c>
      <c r="P1884">
        <v>38</v>
      </c>
      <c r="Q1884">
        <v>36</v>
      </c>
      <c r="R1884">
        <v>47</v>
      </c>
    </row>
    <row r="1885" spans="1:18" x14ac:dyDescent="0.25">
      <c r="A1885" t="s">
        <v>2011</v>
      </c>
      <c r="B1885" t="s">
        <v>55</v>
      </c>
      <c r="C1885" t="s">
        <v>1990</v>
      </c>
      <c r="D1885" t="s">
        <v>1991</v>
      </c>
      <c r="E1885" t="s">
        <v>78</v>
      </c>
      <c r="F1885" t="s">
        <v>252</v>
      </c>
      <c r="G1885">
        <v>5.9264000000000001</v>
      </c>
      <c r="H1885">
        <v>-75.674199999999999</v>
      </c>
      <c r="I1885" t="s">
        <v>1992</v>
      </c>
      <c r="J1885">
        <v>11</v>
      </c>
      <c r="M1885">
        <v>177</v>
      </c>
      <c r="N1885">
        <v>34</v>
      </c>
      <c r="O1885">
        <v>24</v>
      </c>
      <c r="P1885">
        <v>40</v>
      </c>
      <c r="Q1885">
        <v>43</v>
      </c>
      <c r="R1885">
        <v>36</v>
      </c>
    </row>
    <row r="1886" spans="1:18" x14ac:dyDescent="0.25">
      <c r="A1886" t="s">
        <v>2012</v>
      </c>
      <c r="B1886" t="s">
        <v>55</v>
      </c>
      <c r="C1886" t="s">
        <v>1990</v>
      </c>
      <c r="D1886" t="s">
        <v>1991</v>
      </c>
      <c r="E1886" t="s">
        <v>78</v>
      </c>
      <c r="F1886" t="s">
        <v>252</v>
      </c>
      <c r="G1886">
        <v>5.9264000000000001</v>
      </c>
      <c r="H1886">
        <v>-75.674199999999999</v>
      </c>
      <c r="I1886" t="s">
        <v>1992</v>
      </c>
      <c r="J1886">
        <v>11</v>
      </c>
      <c r="M1886">
        <v>176</v>
      </c>
      <c r="N1886">
        <v>37</v>
      </c>
      <c r="O1886">
        <v>34</v>
      </c>
      <c r="P1886">
        <v>38</v>
      </c>
      <c r="Q1886">
        <v>29</v>
      </c>
      <c r="R1886">
        <v>44</v>
      </c>
    </row>
    <row r="1887" spans="1:18" x14ac:dyDescent="0.25">
      <c r="A1887" t="s">
        <v>2013</v>
      </c>
      <c r="B1887" t="s">
        <v>55</v>
      </c>
      <c r="C1887" t="s">
        <v>1990</v>
      </c>
      <c r="D1887" t="s">
        <v>1991</v>
      </c>
      <c r="E1887" t="s">
        <v>78</v>
      </c>
      <c r="F1887" t="s">
        <v>252</v>
      </c>
      <c r="G1887">
        <v>5.9264000000000001</v>
      </c>
      <c r="H1887">
        <v>-75.674199999999999</v>
      </c>
      <c r="I1887" t="s">
        <v>1992</v>
      </c>
      <c r="J1887">
        <v>11</v>
      </c>
      <c r="M1887">
        <v>171</v>
      </c>
      <c r="N1887">
        <v>41</v>
      </c>
      <c r="O1887">
        <v>26</v>
      </c>
      <c r="P1887">
        <v>46</v>
      </c>
      <c r="Q1887">
        <v>24</v>
      </c>
      <c r="R1887">
        <v>33</v>
      </c>
    </row>
    <row r="1888" spans="1:18" x14ac:dyDescent="0.25">
      <c r="A1888" t="s">
        <v>2014</v>
      </c>
      <c r="B1888" t="s">
        <v>55</v>
      </c>
      <c r="C1888" t="s">
        <v>1990</v>
      </c>
      <c r="D1888" t="s">
        <v>1991</v>
      </c>
      <c r="E1888" t="s">
        <v>78</v>
      </c>
      <c r="F1888" t="s">
        <v>252</v>
      </c>
      <c r="G1888">
        <v>5.9264000000000001</v>
      </c>
      <c r="H1888">
        <v>-75.674199999999999</v>
      </c>
      <c r="I1888" t="s">
        <v>1992</v>
      </c>
      <c r="J1888">
        <v>11</v>
      </c>
      <c r="M1888">
        <v>169</v>
      </c>
      <c r="N1888">
        <v>34</v>
      </c>
      <c r="O1888">
        <v>22</v>
      </c>
      <c r="P1888">
        <v>38</v>
      </c>
      <c r="Q1888">
        <v>36</v>
      </c>
      <c r="R1888">
        <v>47</v>
      </c>
    </row>
    <row r="1889" spans="1:18" x14ac:dyDescent="0.25">
      <c r="A1889" t="s">
        <v>2015</v>
      </c>
      <c r="B1889" t="s">
        <v>55</v>
      </c>
      <c r="C1889" t="s">
        <v>1990</v>
      </c>
      <c r="D1889" t="s">
        <v>1991</v>
      </c>
      <c r="E1889" t="s">
        <v>78</v>
      </c>
      <c r="F1889" t="s">
        <v>252</v>
      </c>
      <c r="G1889">
        <v>5.9264000000000001</v>
      </c>
      <c r="H1889">
        <v>-75.674199999999999</v>
      </c>
      <c r="I1889" t="s">
        <v>1992</v>
      </c>
      <c r="J1889">
        <v>11</v>
      </c>
      <c r="M1889">
        <v>167</v>
      </c>
      <c r="N1889">
        <v>44</v>
      </c>
      <c r="O1889">
        <v>22</v>
      </c>
      <c r="P1889">
        <v>46</v>
      </c>
      <c r="Q1889">
        <v>17</v>
      </c>
      <c r="R1889">
        <v>47</v>
      </c>
    </row>
    <row r="1890" spans="1:18" x14ac:dyDescent="0.25">
      <c r="A1890" t="s">
        <v>2016</v>
      </c>
      <c r="B1890" t="s">
        <v>55</v>
      </c>
      <c r="C1890" t="s">
        <v>1990</v>
      </c>
      <c r="D1890" t="s">
        <v>1991</v>
      </c>
      <c r="E1890" t="s">
        <v>78</v>
      </c>
      <c r="F1890" t="s">
        <v>252</v>
      </c>
      <c r="G1890">
        <v>5.9264000000000001</v>
      </c>
      <c r="H1890">
        <v>-75.674199999999999</v>
      </c>
      <c r="I1890" t="s">
        <v>1992</v>
      </c>
      <c r="J1890">
        <v>11</v>
      </c>
      <c r="M1890">
        <v>166</v>
      </c>
      <c r="N1890">
        <v>46</v>
      </c>
      <c r="O1890">
        <v>28</v>
      </c>
      <c r="P1890">
        <v>30</v>
      </c>
      <c r="Q1890">
        <v>26</v>
      </c>
      <c r="R1890">
        <v>42</v>
      </c>
    </row>
    <row r="1891" spans="1:18" x14ac:dyDescent="0.25">
      <c r="A1891" t="s">
        <v>2017</v>
      </c>
      <c r="B1891" t="s">
        <v>55</v>
      </c>
      <c r="C1891" t="s">
        <v>1990</v>
      </c>
      <c r="D1891" t="s">
        <v>1991</v>
      </c>
      <c r="E1891" t="s">
        <v>78</v>
      </c>
      <c r="F1891" t="s">
        <v>252</v>
      </c>
      <c r="G1891">
        <v>5.9264000000000001</v>
      </c>
      <c r="H1891">
        <v>-75.674199999999999</v>
      </c>
      <c r="I1891" t="s">
        <v>1992</v>
      </c>
      <c r="J1891">
        <v>11</v>
      </c>
      <c r="M1891">
        <v>166</v>
      </c>
      <c r="N1891">
        <v>34</v>
      </c>
      <c r="O1891">
        <v>20</v>
      </c>
      <c r="P1891">
        <v>56</v>
      </c>
      <c r="Q1891">
        <v>19</v>
      </c>
      <c r="R1891">
        <v>44</v>
      </c>
    </row>
    <row r="1892" spans="1:18" x14ac:dyDescent="0.25">
      <c r="A1892" t="s">
        <v>2018</v>
      </c>
      <c r="B1892" t="s">
        <v>55</v>
      </c>
      <c r="C1892" t="s">
        <v>1990</v>
      </c>
      <c r="D1892" t="s">
        <v>1991</v>
      </c>
      <c r="E1892" t="s">
        <v>78</v>
      </c>
      <c r="F1892" t="s">
        <v>252</v>
      </c>
      <c r="G1892">
        <v>5.9264000000000001</v>
      </c>
      <c r="H1892">
        <v>-75.674199999999999</v>
      </c>
      <c r="I1892" t="s">
        <v>1992</v>
      </c>
      <c r="J1892">
        <v>11</v>
      </c>
      <c r="M1892">
        <v>165</v>
      </c>
      <c r="N1892">
        <v>32</v>
      </c>
      <c r="O1892">
        <v>26</v>
      </c>
      <c r="P1892">
        <v>38</v>
      </c>
      <c r="Q1892">
        <v>31</v>
      </c>
      <c r="R1892">
        <v>49</v>
      </c>
    </row>
    <row r="1893" spans="1:18" x14ac:dyDescent="0.25">
      <c r="A1893" t="s">
        <v>2019</v>
      </c>
      <c r="B1893" t="s">
        <v>55</v>
      </c>
      <c r="C1893" t="s">
        <v>1990</v>
      </c>
      <c r="D1893" t="s">
        <v>1991</v>
      </c>
      <c r="E1893" t="s">
        <v>78</v>
      </c>
      <c r="F1893" t="s">
        <v>252</v>
      </c>
      <c r="G1893">
        <v>5.9264000000000001</v>
      </c>
      <c r="H1893">
        <v>-75.674199999999999</v>
      </c>
      <c r="I1893" t="s">
        <v>1992</v>
      </c>
      <c r="J1893">
        <v>11</v>
      </c>
      <c r="M1893">
        <v>165</v>
      </c>
      <c r="N1893">
        <v>41</v>
      </c>
      <c r="O1893">
        <v>26</v>
      </c>
      <c r="P1893">
        <v>34</v>
      </c>
      <c r="Q1893">
        <v>26</v>
      </c>
      <c r="R1893">
        <v>47</v>
      </c>
    </row>
    <row r="1894" spans="1:18" x14ac:dyDescent="0.25">
      <c r="A1894" t="s">
        <v>2020</v>
      </c>
      <c r="B1894" t="s">
        <v>55</v>
      </c>
      <c r="C1894" t="s">
        <v>1990</v>
      </c>
      <c r="D1894" t="s">
        <v>1991</v>
      </c>
      <c r="E1894" t="s">
        <v>78</v>
      </c>
      <c r="F1894" t="s">
        <v>252</v>
      </c>
      <c r="G1894">
        <v>5.9264000000000001</v>
      </c>
      <c r="H1894">
        <v>-75.674199999999999</v>
      </c>
      <c r="I1894" t="s">
        <v>1992</v>
      </c>
      <c r="J1894">
        <v>11</v>
      </c>
      <c r="M1894">
        <v>162</v>
      </c>
      <c r="N1894">
        <v>34</v>
      </c>
      <c r="O1894">
        <v>24</v>
      </c>
      <c r="P1894">
        <v>38</v>
      </c>
      <c r="Q1894">
        <v>29</v>
      </c>
      <c r="R1894">
        <v>44</v>
      </c>
    </row>
    <row r="1895" spans="1:18" x14ac:dyDescent="0.25">
      <c r="A1895" t="s">
        <v>2021</v>
      </c>
      <c r="B1895" t="s">
        <v>55</v>
      </c>
      <c r="C1895" t="s">
        <v>1990</v>
      </c>
      <c r="D1895" t="s">
        <v>1991</v>
      </c>
      <c r="E1895" t="s">
        <v>78</v>
      </c>
      <c r="F1895" t="s">
        <v>252</v>
      </c>
      <c r="G1895">
        <v>5.9264000000000001</v>
      </c>
      <c r="H1895">
        <v>-75.674199999999999</v>
      </c>
      <c r="I1895" t="s">
        <v>1992</v>
      </c>
      <c r="J1895">
        <v>11</v>
      </c>
      <c r="M1895">
        <v>161</v>
      </c>
      <c r="N1895">
        <v>29</v>
      </c>
      <c r="O1895">
        <v>16</v>
      </c>
      <c r="P1895">
        <v>42</v>
      </c>
      <c r="Q1895">
        <v>34</v>
      </c>
      <c r="R1895">
        <v>53</v>
      </c>
    </row>
    <row r="1896" spans="1:18" x14ac:dyDescent="0.25">
      <c r="A1896" t="s">
        <v>2022</v>
      </c>
      <c r="B1896" t="s">
        <v>55</v>
      </c>
      <c r="C1896" t="s">
        <v>1990</v>
      </c>
      <c r="D1896" t="s">
        <v>1991</v>
      </c>
      <c r="E1896" t="s">
        <v>78</v>
      </c>
      <c r="F1896" t="s">
        <v>252</v>
      </c>
      <c r="G1896">
        <v>5.9264000000000001</v>
      </c>
      <c r="H1896">
        <v>-75.674199999999999</v>
      </c>
      <c r="I1896" t="s">
        <v>1992</v>
      </c>
      <c r="J1896">
        <v>11</v>
      </c>
      <c r="M1896">
        <v>159</v>
      </c>
      <c r="N1896">
        <v>37</v>
      </c>
      <c r="O1896">
        <v>16</v>
      </c>
      <c r="P1896">
        <v>42</v>
      </c>
      <c r="Q1896">
        <v>26</v>
      </c>
      <c r="R1896">
        <v>51</v>
      </c>
    </row>
    <row r="1897" spans="1:18" x14ac:dyDescent="0.25">
      <c r="A1897" t="s">
        <v>2023</v>
      </c>
      <c r="B1897" t="s">
        <v>55</v>
      </c>
      <c r="C1897" t="s">
        <v>1990</v>
      </c>
      <c r="D1897" t="s">
        <v>1991</v>
      </c>
      <c r="E1897" t="s">
        <v>78</v>
      </c>
      <c r="F1897" t="s">
        <v>252</v>
      </c>
      <c r="G1897">
        <v>5.9264000000000001</v>
      </c>
      <c r="H1897">
        <v>-75.674199999999999</v>
      </c>
      <c r="I1897" t="s">
        <v>1992</v>
      </c>
      <c r="J1897">
        <v>11</v>
      </c>
      <c r="M1897">
        <v>153</v>
      </c>
      <c r="N1897">
        <v>34</v>
      </c>
      <c r="O1897">
        <v>24</v>
      </c>
      <c r="P1897">
        <v>38</v>
      </c>
      <c r="Q1897">
        <v>24</v>
      </c>
      <c r="R1897">
        <v>38</v>
      </c>
    </row>
    <row r="1898" spans="1:18" x14ac:dyDescent="0.25">
      <c r="A1898" t="s">
        <v>2024</v>
      </c>
      <c r="B1898" t="s">
        <v>55</v>
      </c>
      <c r="C1898" t="s">
        <v>1990</v>
      </c>
      <c r="D1898" t="s">
        <v>1991</v>
      </c>
      <c r="E1898" t="s">
        <v>78</v>
      </c>
      <c r="F1898" t="s">
        <v>252</v>
      </c>
      <c r="G1898">
        <v>5.9264000000000001</v>
      </c>
      <c r="H1898">
        <v>-75.674199999999999</v>
      </c>
      <c r="I1898" t="s">
        <v>1992</v>
      </c>
      <c r="J1898">
        <v>11</v>
      </c>
      <c r="M1898">
        <v>153</v>
      </c>
      <c r="N1898">
        <v>22</v>
      </c>
      <c r="O1898">
        <v>24</v>
      </c>
      <c r="P1898">
        <v>50</v>
      </c>
      <c r="Q1898">
        <v>24</v>
      </c>
      <c r="R1898">
        <v>36</v>
      </c>
    </row>
    <row r="1899" spans="1:18" x14ac:dyDescent="0.25">
      <c r="A1899" t="s">
        <v>2025</v>
      </c>
      <c r="B1899" t="s">
        <v>55</v>
      </c>
      <c r="C1899" t="s">
        <v>1990</v>
      </c>
      <c r="D1899" t="s">
        <v>1991</v>
      </c>
      <c r="E1899" t="s">
        <v>78</v>
      </c>
      <c r="F1899" t="s">
        <v>252</v>
      </c>
      <c r="G1899">
        <v>5.9264000000000001</v>
      </c>
      <c r="H1899">
        <v>-75.674199999999999</v>
      </c>
      <c r="I1899" t="s">
        <v>1992</v>
      </c>
      <c r="J1899">
        <v>11</v>
      </c>
      <c r="M1899">
        <v>149</v>
      </c>
      <c r="N1899">
        <v>24</v>
      </c>
      <c r="O1899">
        <v>20</v>
      </c>
      <c r="P1899">
        <v>44</v>
      </c>
      <c r="Q1899">
        <v>28</v>
      </c>
      <c r="R1899">
        <v>40</v>
      </c>
    </row>
    <row r="1900" spans="1:18" x14ac:dyDescent="0.25">
      <c r="A1900" t="s">
        <v>2026</v>
      </c>
      <c r="B1900" t="s">
        <v>55</v>
      </c>
      <c r="C1900" t="s">
        <v>1990</v>
      </c>
      <c r="D1900" t="s">
        <v>1991</v>
      </c>
      <c r="E1900" t="s">
        <v>78</v>
      </c>
      <c r="F1900" t="s">
        <v>252</v>
      </c>
      <c r="G1900">
        <v>5.9264000000000001</v>
      </c>
      <c r="H1900">
        <v>-75.674199999999999</v>
      </c>
      <c r="I1900" t="s">
        <v>1992</v>
      </c>
      <c r="J1900">
        <v>11</v>
      </c>
      <c r="M1900">
        <v>143</v>
      </c>
      <c r="N1900">
        <v>32</v>
      </c>
      <c r="O1900">
        <v>30</v>
      </c>
      <c r="P1900">
        <v>30</v>
      </c>
      <c r="Q1900">
        <v>24</v>
      </c>
      <c r="R1900">
        <v>24</v>
      </c>
    </row>
    <row r="1901" spans="1:18" x14ac:dyDescent="0.25">
      <c r="A1901" t="s">
        <v>2027</v>
      </c>
      <c r="B1901" t="s">
        <v>55</v>
      </c>
      <c r="C1901" t="s">
        <v>1990</v>
      </c>
      <c r="D1901" t="s">
        <v>1991</v>
      </c>
      <c r="E1901" t="s">
        <v>78</v>
      </c>
      <c r="F1901" t="s">
        <v>252</v>
      </c>
      <c r="G1901">
        <v>5.9264000000000001</v>
      </c>
      <c r="H1901">
        <v>-75.674199999999999</v>
      </c>
      <c r="I1901" t="s">
        <v>1992</v>
      </c>
      <c r="J1901">
        <v>11</v>
      </c>
      <c r="M1901">
        <v>141</v>
      </c>
      <c r="N1901">
        <v>37</v>
      </c>
      <c r="O1901">
        <v>24</v>
      </c>
      <c r="P1901">
        <v>16</v>
      </c>
      <c r="Q1901">
        <v>33</v>
      </c>
      <c r="R1901">
        <v>38</v>
      </c>
    </row>
    <row r="1902" spans="1:18" x14ac:dyDescent="0.25">
      <c r="A1902" t="s">
        <v>2028</v>
      </c>
      <c r="B1902" t="s">
        <v>55</v>
      </c>
      <c r="C1902" t="s">
        <v>1990</v>
      </c>
      <c r="D1902" t="s">
        <v>1991</v>
      </c>
      <c r="E1902" t="s">
        <v>78</v>
      </c>
      <c r="F1902" t="s">
        <v>252</v>
      </c>
      <c r="G1902">
        <v>5.9264000000000001</v>
      </c>
      <c r="H1902">
        <v>-75.674199999999999</v>
      </c>
      <c r="I1902" t="s">
        <v>1992</v>
      </c>
      <c r="J1902">
        <v>11</v>
      </c>
      <c r="M1902">
        <v>138</v>
      </c>
      <c r="N1902">
        <v>34</v>
      </c>
      <c r="O1902">
        <v>16</v>
      </c>
      <c r="P1902">
        <v>26</v>
      </c>
      <c r="Q1902">
        <v>29</v>
      </c>
      <c r="R1902">
        <v>44</v>
      </c>
    </row>
    <row r="1903" spans="1:18" x14ac:dyDescent="0.25">
      <c r="A1903" t="s">
        <v>2029</v>
      </c>
      <c r="B1903" t="s">
        <v>55</v>
      </c>
      <c r="C1903" t="s">
        <v>1990</v>
      </c>
      <c r="D1903" t="s">
        <v>1991</v>
      </c>
      <c r="E1903" t="s">
        <v>78</v>
      </c>
      <c r="F1903" t="s">
        <v>252</v>
      </c>
      <c r="G1903">
        <v>5.9264000000000001</v>
      </c>
      <c r="H1903">
        <v>-75.674199999999999</v>
      </c>
      <c r="I1903" t="s">
        <v>1992</v>
      </c>
      <c r="J1903">
        <v>11</v>
      </c>
      <c r="M1903">
        <v>138</v>
      </c>
      <c r="N1903">
        <v>29</v>
      </c>
      <c r="O1903">
        <v>28</v>
      </c>
      <c r="P1903">
        <v>32</v>
      </c>
      <c r="Q1903">
        <v>21</v>
      </c>
      <c r="R1903">
        <v>29</v>
      </c>
    </row>
    <row r="1904" spans="1:18" x14ac:dyDescent="0.25">
      <c r="A1904" t="s">
        <v>2030</v>
      </c>
      <c r="B1904" t="s">
        <v>55</v>
      </c>
      <c r="C1904" t="s">
        <v>1990</v>
      </c>
      <c r="D1904" t="s">
        <v>1991</v>
      </c>
      <c r="E1904" t="s">
        <v>78</v>
      </c>
      <c r="F1904" t="s">
        <v>252</v>
      </c>
      <c r="G1904">
        <v>5.9264000000000001</v>
      </c>
      <c r="H1904">
        <v>-75.674199999999999</v>
      </c>
      <c r="I1904" t="s">
        <v>1992</v>
      </c>
      <c r="J1904">
        <v>11</v>
      </c>
      <c r="M1904">
        <v>137</v>
      </c>
      <c r="N1904">
        <v>29</v>
      </c>
      <c r="O1904">
        <v>28</v>
      </c>
      <c r="P1904">
        <v>24</v>
      </c>
      <c r="Q1904">
        <v>24</v>
      </c>
      <c r="R1904">
        <v>40</v>
      </c>
    </row>
    <row r="1905" spans="1:18" x14ac:dyDescent="0.25">
      <c r="A1905" t="s">
        <v>2031</v>
      </c>
      <c r="B1905" t="s">
        <v>55</v>
      </c>
      <c r="C1905" t="s">
        <v>1990</v>
      </c>
      <c r="D1905" t="s">
        <v>1991</v>
      </c>
      <c r="E1905" t="s">
        <v>78</v>
      </c>
      <c r="F1905" t="s">
        <v>252</v>
      </c>
      <c r="G1905">
        <v>5.9264000000000001</v>
      </c>
      <c r="H1905">
        <v>-75.674199999999999</v>
      </c>
      <c r="I1905" t="s">
        <v>1992</v>
      </c>
      <c r="J1905">
        <v>11</v>
      </c>
      <c r="M1905">
        <v>135</v>
      </c>
      <c r="N1905">
        <v>27</v>
      </c>
      <c r="O1905">
        <v>22</v>
      </c>
      <c r="P1905">
        <v>28</v>
      </c>
      <c r="Q1905">
        <v>29</v>
      </c>
      <c r="R1905">
        <v>33</v>
      </c>
    </row>
    <row r="1906" spans="1:18" x14ac:dyDescent="0.25">
      <c r="A1906" t="s">
        <v>2032</v>
      </c>
      <c r="B1906" t="s">
        <v>55</v>
      </c>
      <c r="C1906" t="s">
        <v>1990</v>
      </c>
      <c r="D1906" t="s">
        <v>1991</v>
      </c>
      <c r="E1906" t="s">
        <v>78</v>
      </c>
      <c r="F1906" t="s">
        <v>252</v>
      </c>
      <c r="G1906">
        <v>5.9264000000000001</v>
      </c>
      <c r="H1906">
        <v>-75.674199999999999</v>
      </c>
      <c r="I1906" t="s">
        <v>1992</v>
      </c>
      <c r="J1906">
        <v>11</v>
      </c>
      <c r="M1906">
        <v>134</v>
      </c>
      <c r="N1906">
        <v>34</v>
      </c>
      <c r="O1906">
        <v>14</v>
      </c>
      <c r="P1906">
        <v>32</v>
      </c>
      <c r="Q1906">
        <v>19</v>
      </c>
      <c r="R1906">
        <v>51</v>
      </c>
    </row>
    <row r="1907" spans="1:18" x14ac:dyDescent="0.25">
      <c r="A1907" t="s">
        <v>2033</v>
      </c>
      <c r="B1907" t="s">
        <v>55</v>
      </c>
      <c r="C1907" t="s">
        <v>1990</v>
      </c>
      <c r="D1907" t="s">
        <v>1991</v>
      </c>
      <c r="E1907" t="s">
        <v>78</v>
      </c>
      <c r="F1907" t="s">
        <v>252</v>
      </c>
      <c r="G1907">
        <v>5.9264000000000001</v>
      </c>
      <c r="H1907">
        <v>-75.674199999999999</v>
      </c>
      <c r="I1907" t="s">
        <v>1992</v>
      </c>
      <c r="J1907">
        <v>11</v>
      </c>
      <c r="M1907">
        <v>133</v>
      </c>
      <c r="N1907">
        <v>29</v>
      </c>
      <c r="O1907">
        <v>28</v>
      </c>
      <c r="P1907">
        <v>36</v>
      </c>
      <c r="Q1907">
        <v>14</v>
      </c>
      <c r="R1907">
        <v>24</v>
      </c>
    </row>
    <row r="1908" spans="1:18" x14ac:dyDescent="0.25">
      <c r="A1908" t="s">
        <v>2034</v>
      </c>
      <c r="B1908" t="s">
        <v>55</v>
      </c>
      <c r="C1908" t="s">
        <v>1990</v>
      </c>
      <c r="D1908" t="s">
        <v>1991</v>
      </c>
      <c r="E1908" t="s">
        <v>78</v>
      </c>
      <c r="F1908" t="s">
        <v>252</v>
      </c>
      <c r="G1908">
        <v>5.9264000000000001</v>
      </c>
      <c r="H1908">
        <v>-75.674199999999999</v>
      </c>
      <c r="I1908" t="s">
        <v>1992</v>
      </c>
      <c r="J1908">
        <v>11</v>
      </c>
      <c r="M1908">
        <v>125</v>
      </c>
      <c r="N1908">
        <v>37</v>
      </c>
      <c r="O1908">
        <v>14</v>
      </c>
      <c r="P1908">
        <v>26</v>
      </c>
      <c r="Q1908">
        <v>19</v>
      </c>
      <c r="R1908">
        <v>38</v>
      </c>
    </row>
    <row r="1909" spans="1:18" x14ac:dyDescent="0.25">
      <c r="A1909" t="s">
        <v>2035</v>
      </c>
      <c r="B1909" t="s">
        <v>55</v>
      </c>
      <c r="C1909" t="s">
        <v>1990</v>
      </c>
      <c r="D1909" t="s">
        <v>1991</v>
      </c>
      <c r="E1909" t="s">
        <v>78</v>
      </c>
      <c r="F1909" t="s">
        <v>252</v>
      </c>
      <c r="G1909">
        <v>5.9264000000000001</v>
      </c>
      <c r="H1909">
        <v>-75.674199999999999</v>
      </c>
      <c r="I1909" t="s">
        <v>1992</v>
      </c>
      <c r="J1909">
        <v>11</v>
      </c>
      <c r="M1909">
        <v>122</v>
      </c>
      <c r="N1909">
        <v>29</v>
      </c>
      <c r="O1909">
        <v>22</v>
      </c>
      <c r="P1909">
        <v>32</v>
      </c>
      <c r="Q1909">
        <v>14</v>
      </c>
      <c r="R1909">
        <v>27</v>
      </c>
    </row>
    <row r="1910" spans="1:18" x14ac:dyDescent="0.25">
      <c r="A1910" t="s">
        <v>2036</v>
      </c>
      <c r="B1910" t="s">
        <v>55</v>
      </c>
      <c r="C1910" t="s">
        <v>1990</v>
      </c>
      <c r="D1910" t="s">
        <v>1991</v>
      </c>
      <c r="E1910" t="s">
        <v>78</v>
      </c>
      <c r="F1910" t="s">
        <v>252</v>
      </c>
      <c r="G1910">
        <v>5.9264000000000001</v>
      </c>
      <c r="H1910">
        <v>-75.674199999999999</v>
      </c>
      <c r="I1910" t="s">
        <v>1992</v>
      </c>
      <c r="J1910">
        <v>11</v>
      </c>
      <c r="M1910">
        <v>122</v>
      </c>
      <c r="N1910">
        <v>37</v>
      </c>
      <c r="O1910">
        <v>10</v>
      </c>
      <c r="P1910">
        <v>24</v>
      </c>
      <c r="Q1910">
        <v>29</v>
      </c>
      <c r="R1910">
        <v>18</v>
      </c>
    </row>
    <row r="1911" spans="1:18" x14ac:dyDescent="0.25">
      <c r="A1911" t="s">
        <v>2037</v>
      </c>
      <c r="B1911" t="s">
        <v>55</v>
      </c>
      <c r="C1911" t="s">
        <v>1990</v>
      </c>
      <c r="D1911" t="s">
        <v>1991</v>
      </c>
      <c r="E1911" t="s">
        <v>78</v>
      </c>
      <c r="F1911" t="s">
        <v>252</v>
      </c>
      <c r="G1911">
        <v>5.9264000000000001</v>
      </c>
      <c r="H1911">
        <v>-75.674199999999999</v>
      </c>
      <c r="I1911" t="s">
        <v>1992</v>
      </c>
      <c r="J1911">
        <v>11</v>
      </c>
      <c r="M1911">
        <v>120</v>
      </c>
      <c r="N1911">
        <v>20</v>
      </c>
      <c r="O1911">
        <v>20</v>
      </c>
      <c r="P1911">
        <v>22</v>
      </c>
      <c r="Q1911">
        <v>29</v>
      </c>
      <c r="R1911">
        <v>40</v>
      </c>
    </row>
    <row r="1912" spans="1:18" x14ac:dyDescent="0.25">
      <c r="A1912" t="s">
        <v>2038</v>
      </c>
      <c r="B1912" t="s">
        <v>55</v>
      </c>
      <c r="C1912" t="s">
        <v>2039</v>
      </c>
      <c r="D1912" t="s">
        <v>2040</v>
      </c>
      <c r="E1912" t="s">
        <v>78</v>
      </c>
      <c r="F1912" t="s">
        <v>252</v>
      </c>
      <c r="G1912">
        <v>6.5541999999999998</v>
      </c>
      <c r="H1912">
        <v>-74.786100000000005</v>
      </c>
      <c r="I1912" t="s">
        <v>2041</v>
      </c>
      <c r="J1912">
        <v>11</v>
      </c>
      <c r="M1912">
        <v>310</v>
      </c>
      <c r="N1912">
        <v>73</v>
      </c>
      <c r="O1912">
        <v>58</v>
      </c>
      <c r="P1912">
        <v>60</v>
      </c>
      <c r="Q1912">
        <v>48</v>
      </c>
      <c r="R1912">
        <v>87</v>
      </c>
    </row>
    <row r="1913" spans="1:18" x14ac:dyDescent="0.25">
      <c r="A1913" t="s">
        <v>2042</v>
      </c>
      <c r="B1913" t="s">
        <v>55</v>
      </c>
      <c r="C1913" t="s">
        <v>2039</v>
      </c>
      <c r="D1913" t="s">
        <v>2040</v>
      </c>
      <c r="E1913" t="s">
        <v>78</v>
      </c>
      <c r="F1913" t="s">
        <v>252</v>
      </c>
      <c r="G1913">
        <v>6.5541999999999998</v>
      </c>
      <c r="H1913">
        <v>-74.786100000000005</v>
      </c>
      <c r="I1913" t="s">
        <v>2041</v>
      </c>
      <c r="J1913">
        <v>11</v>
      </c>
      <c r="M1913">
        <v>299</v>
      </c>
      <c r="N1913">
        <v>66</v>
      </c>
      <c r="O1913">
        <v>56</v>
      </c>
      <c r="P1913">
        <v>60</v>
      </c>
      <c r="Q1913">
        <v>52</v>
      </c>
      <c r="R1913">
        <v>76</v>
      </c>
    </row>
    <row r="1914" spans="1:18" x14ac:dyDescent="0.25">
      <c r="A1914" t="s">
        <v>2043</v>
      </c>
      <c r="B1914" t="s">
        <v>55</v>
      </c>
      <c r="C1914" t="s">
        <v>2039</v>
      </c>
      <c r="D1914" t="s">
        <v>2040</v>
      </c>
      <c r="E1914" t="s">
        <v>78</v>
      </c>
      <c r="F1914" t="s">
        <v>252</v>
      </c>
      <c r="G1914">
        <v>6.5541999999999998</v>
      </c>
      <c r="H1914">
        <v>-74.786100000000005</v>
      </c>
      <c r="I1914" t="s">
        <v>2041</v>
      </c>
      <c r="J1914">
        <v>11</v>
      </c>
      <c r="M1914">
        <v>268</v>
      </c>
      <c r="N1914">
        <v>66</v>
      </c>
      <c r="O1914">
        <v>44</v>
      </c>
      <c r="P1914">
        <v>60</v>
      </c>
      <c r="Q1914">
        <v>43</v>
      </c>
      <c r="R1914">
        <v>58</v>
      </c>
    </row>
    <row r="1915" spans="1:18" x14ac:dyDescent="0.25">
      <c r="A1915" t="s">
        <v>2044</v>
      </c>
      <c r="B1915" t="s">
        <v>55</v>
      </c>
      <c r="C1915" t="s">
        <v>2039</v>
      </c>
      <c r="D1915" t="s">
        <v>2040</v>
      </c>
      <c r="E1915" t="s">
        <v>78</v>
      </c>
      <c r="F1915" t="s">
        <v>252</v>
      </c>
      <c r="G1915">
        <v>6.5541999999999998</v>
      </c>
      <c r="H1915">
        <v>-74.786100000000005</v>
      </c>
      <c r="I1915" t="s">
        <v>2041</v>
      </c>
      <c r="J1915">
        <v>11</v>
      </c>
      <c r="M1915">
        <v>267</v>
      </c>
      <c r="N1915">
        <v>66</v>
      </c>
      <c r="O1915">
        <v>36</v>
      </c>
      <c r="P1915">
        <v>58</v>
      </c>
      <c r="Q1915">
        <v>50</v>
      </c>
      <c r="R1915">
        <v>64</v>
      </c>
    </row>
    <row r="1916" spans="1:18" x14ac:dyDescent="0.25">
      <c r="A1916" t="s">
        <v>2045</v>
      </c>
      <c r="B1916" t="s">
        <v>55</v>
      </c>
      <c r="C1916" t="s">
        <v>2039</v>
      </c>
      <c r="D1916" t="s">
        <v>2040</v>
      </c>
      <c r="E1916" t="s">
        <v>78</v>
      </c>
      <c r="F1916" t="s">
        <v>252</v>
      </c>
      <c r="G1916">
        <v>6.5541999999999998</v>
      </c>
      <c r="H1916">
        <v>-74.786100000000005</v>
      </c>
      <c r="I1916" t="s">
        <v>2041</v>
      </c>
      <c r="J1916">
        <v>11</v>
      </c>
      <c r="M1916">
        <v>266</v>
      </c>
      <c r="N1916">
        <v>61</v>
      </c>
      <c r="O1916">
        <v>44</v>
      </c>
      <c r="P1916">
        <v>52</v>
      </c>
      <c r="Q1916">
        <v>45</v>
      </c>
      <c r="R1916">
        <v>85</v>
      </c>
    </row>
    <row r="1917" spans="1:18" x14ac:dyDescent="0.25">
      <c r="A1917" t="s">
        <v>2046</v>
      </c>
      <c r="B1917" t="s">
        <v>55</v>
      </c>
      <c r="C1917" t="s">
        <v>2039</v>
      </c>
      <c r="D1917" t="s">
        <v>2040</v>
      </c>
      <c r="E1917" t="s">
        <v>78</v>
      </c>
      <c r="F1917" t="s">
        <v>252</v>
      </c>
      <c r="G1917">
        <v>6.5541999999999998</v>
      </c>
      <c r="H1917">
        <v>-74.786100000000005</v>
      </c>
      <c r="I1917" t="s">
        <v>2041</v>
      </c>
      <c r="J1917">
        <v>11</v>
      </c>
      <c r="M1917">
        <v>258</v>
      </c>
      <c r="N1917">
        <v>56</v>
      </c>
      <c r="O1917">
        <v>48</v>
      </c>
      <c r="P1917">
        <v>56</v>
      </c>
      <c r="Q1917">
        <v>41</v>
      </c>
      <c r="R1917">
        <v>67</v>
      </c>
    </row>
    <row r="1918" spans="1:18" x14ac:dyDescent="0.25">
      <c r="A1918" t="s">
        <v>2047</v>
      </c>
      <c r="B1918" t="s">
        <v>55</v>
      </c>
      <c r="C1918" t="s">
        <v>2039</v>
      </c>
      <c r="D1918" t="s">
        <v>2040</v>
      </c>
      <c r="E1918" t="s">
        <v>78</v>
      </c>
      <c r="F1918" t="s">
        <v>252</v>
      </c>
      <c r="G1918">
        <v>6.5541999999999998</v>
      </c>
      <c r="H1918">
        <v>-74.786100000000005</v>
      </c>
      <c r="I1918" t="s">
        <v>2041</v>
      </c>
      <c r="J1918">
        <v>11</v>
      </c>
      <c r="M1918">
        <v>257</v>
      </c>
      <c r="N1918">
        <v>71</v>
      </c>
      <c r="O1918">
        <v>40</v>
      </c>
      <c r="P1918">
        <v>60</v>
      </c>
      <c r="Q1918">
        <v>33</v>
      </c>
      <c r="R1918">
        <v>58</v>
      </c>
    </row>
    <row r="1919" spans="1:18" x14ac:dyDescent="0.25">
      <c r="A1919" t="s">
        <v>2048</v>
      </c>
      <c r="B1919" t="s">
        <v>55</v>
      </c>
      <c r="C1919" t="s">
        <v>2039</v>
      </c>
      <c r="D1919" t="s">
        <v>2040</v>
      </c>
      <c r="E1919" t="s">
        <v>78</v>
      </c>
      <c r="F1919" t="s">
        <v>252</v>
      </c>
      <c r="G1919">
        <v>6.5541999999999998</v>
      </c>
      <c r="H1919">
        <v>-74.786100000000005</v>
      </c>
      <c r="I1919" t="s">
        <v>2041</v>
      </c>
      <c r="J1919">
        <v>11</v>
      </c>
      <c r="M1919">
        <v>253</v>
      </c>
      <c r="N1919">
        <v>59</v>
      </c>
      <c r="O1919">
        <v>38</v>
      </c>
      <c r="P1919">
        <v>76</v>
      </c>
      <c r="Q1919">
        <v>33</v>
      </c>
      <c r="R1919">
        <v>42</v>
      </c>
    </row>
    <row r="1920" spans="1:18" x14ac:dyDescent="0.25">
      <c r="A1920" t="s">
        <v>2049</v>
      </c>
      <c r="B1920" t="s">
        <v>55</v>
      </c>
      <c r="C1920" t="s">
        <v>2039</v>
      </c>
      <c r="D1920" t="s">
        <v>2040</v>
      </c>
      <c r="E1920" t="s">
        <v>78</v>
      </c>
      <c r="F1920" t="s">
        <v>252</v>
      </c>
      <c r="G1920">
        <v>6.5541999999999998</v>
      </c>
      <c r="H1920">
        <v>-74.786100000000005</v>
      </c>
      <c r="I1920" t="s">
        <v>2041</v>
      </c>
      <c r="J1920">
        <v>11</v>
      </c>
      <c r="M1920">
        <v>253</v>
      </c>
      <c r="N1920">
        <v>63</v>
      </c>
      <c r="O1920">
        <v>36</v>
      </c>
      <c r="P1920">
        <v>60</v>
      </c>
      <c r="Q1920">
        <v>40</v>
      </c>
      <c r="R1920">
        <v>60</v>
      </c>
    </row>
    <row r="1921" spans="1:18" x14ac:dyDescent="0.25">
      <c r="A1921" t="s">
        <v>2050</v>
      </c>
      <c r="B1921" t="s">
        <v>55</v>
      </c>
      <c r="C1921" t="s">
        <v>2039</v>
      </c>
      <c r="D1921" t="s">
        <v>2040</v>
      </c>
      <c r="E1921" t="s">
        <v>78</v>
      </c>
      <c r="F1921" t="s">
        <v>252</v>
      </c>
      <c r="G1921">
        <v>6.5541999999999998</v>
      </c>
      <c r="H1921">
        <v>-74.786100000000005</v>
      </c>
      <c r="I1921" t="s">
        <v>2041</v>
      </c>
      <c r="J1921">
        <v>11</v>
      </c>
      <c r="M1921">
        <v>253</v>
      </c>
      <c r="N1921">
        <v>63</v>
      </c>
      <c r="O1921">
        <v>34</v>
      </c>
      <c r="P1921">
        <v>64</v>
      </c>
      <c r="Q1921">
        <v>36</v>
      </c>
      <c r="R1921">
        <v>64</v>
      </c>
    </row>
    <row r="1922" spans="1:18" x14ac:dyDescent="0.25">
      <c r="A1922" t="s">
        <v>2051</v>
      </c>
      <c r="B1922" t="s">
        <v>55</v>
      </c>
      <c r="C1922" t="s">
        <v>2039</v>
      </c>
      <c r="D1922" t="s">
        <v>2040</v>
      </c>
      <c r="E1922" t="s">
        <v>78</v>
      </c>
      <c r="F1922" t="s">
        <v>252</v>
      </c>
      <c r="G1922">
        <v>6.5541999999999998</v>
      </c>
      <c r="H1922">
        <v>-74.786100000000005</v>
      </c>
      <c r="I1922" t="s">
        <v>2041</v>
      </c>
      <c r="J1922">
        <v>11</v>
      </c>
      <c r="M1922">
        <v>250</v>
      </c>
      <c r="N1922">
        <v>59</v>
      </c>
      <c r="O1922">
        <v>32</v>
      </c>
      <c r="P1922">
        <v>60</v>
      </c>
      <c r="Q1922">
        <v>43</v>
      </c>
      <c r="R1922">
        <v>69</v>
      </c>
    </row>
    <row r="1923" spans="1:18" x14ac:dyDescent="0.25">
      <c r="A1923" t="s">
        <v>2052</v>
      </c>
      <c r="B1923" t="s">
        <v>55</v>
      </c>
      <c r="C1923" t="s">
        <v>2039</v>
      </c>
      <c r="D1923" t="s">
        <v>2040</v>
      </c>
      <c r="E1923" t="s">
        <v>78</v>
      </c>
      <c r="F1923" t="s">
        <v>252</v>
      </c>
      <c r="G1923">
        <v>6.5541999999999998</v>
      </c>
      <c r="H1923">
        <v>-74.786100000000005</v>
      </c>
      <c r="I1923" t="s">
        <v>2041</v>
      </c>
      <c r="J1923">
        <v>11</v>
      </c>
      <c r="M1923">
        <v>247</v>
      </c>
      <c r="N1923">
        <v>54</v>
      </c>
      <c r="O1923">
        <v>36</v>
      </c>
      <c r="P1923">
        <v>64</v>
      </c>
      <c r="Q1923">
        <v>43</v>
      </c>
      <c r="R1923">
        <v>53</v>
      </c>
    </row>
    <row r="1924" spans="1:18" x14ac:dyDescent="0.25">
      <c r="A1924" t="s">
        <v>2053</v>
      </c>
      <c r="B1924" t="s">
        <v>55</v>
      </c>
      <c r="C1924" t="s">
        <v>2039</v>
      </c>
      <c r="D1924" t="s">
        <v>2040</v>
      </c>
      <c r="E1924" t="s">
        <v>78</v>
      </c>
      <c r="F1924" t="s">
        <v>252</v>
      </c>
      <c r="G1924">
        <v>6.5541999999999998</v>
      </c>
      <c r="H1924">
        <v>-74.786100000000005</v>
      </c>
      <c r="I1924" t="s">
        <v>2041</v>
      </c>
      <c r="J1924">
        <v>11</v>
      </c>
      <c r="M1924">
        <v>245</v>
      </c>
      <c r="N1924">
        <v>66</v>
      </c>
      <c r="O1924">
        <v>38</v>
      </c>
      <c r="P1924">
        <v>56</v>
      </c>
      <c r="Q1924">
        <v>36</v>
      </c>
      <c r="R1924">
        <v>49</v>
      </c>
    </row>
    <row r="1925" spans="1:18" x14ac:dyDescent="0.25">
      <c r="A1925" t="s">
        <v>2054</v>
      </c>
      <c r="B1925" t="s">
        <v>55</v>
      </c>
      <c r="C1925" t="s">
        <v>2039</v>
      </c>
      <c r="D1925" t="s">
        <v>2040</v>
      </c>
      <c r="E1925" t="s">
        <v>78</v>
      </c>
      <c r="F1925" t="s">
        <v>252</v>
      </c>
      <c r="G1925">
        <v>6.5541999999999998</v>
      </c>
      <c r="H1925">
        <v>-74.786100000000005</v>
      </c>
      <c r="I1925" t="s">
        <v>2041</v>
      </c>
      <c r="J1925">
        <v>11</v>
      </c>
      <c r="M1925">
        <v>245</v>
      </c>
      <c r="N1925">
        <v>61</v>
      </c>
      <c r="O1925">
        <v>30</v>
      </c>
      <c r="P1925">
        <v>70</v>
      </c>
      <c r="Q1925">
        <v>31</v>
      </c>
      <c r="R1925">
        <v>60</v>
      </c>
    </row>
    <row r="1926" spans="1:18" x14ac:dyDescent="0.25">
      <c r="A1926" t="s">
        <v>2055</v>
      </c>
      <c r="B1926" t="s">
        <v>55</v>
      </c>
      <c r="C1926" t="s">
        <v>2039</v>
      </c>
      <c r="D1926" t="s">
        <v>2040</v>
      </c>
      <c r="E1926" t="s">
        <v>78</v>
      </c>
      <c r="F1926" t="s">
        <v>252</v>
      </c>
      <c r="G1926">
        <v>6.5541999999999998</v>
      </c>
      <c r="H1926">
        <v>-74.786100000000005</v>
      </c>
      <c r="I1926" t="s">
        <v>2041</v>
      </c>
      <c r="J1926">
        <v>11</v>
      </c>
      <c r="M1926">
        <v>244</v>
      </c>
      <c r="N1926">
        <v>59</v>
      </c>
      <c r="O1926">
        <v>36</v>
      </c>
      <c r="P1926">
        <v>58</v>
      </c>
      <c r="Q1926">
        <v>40</v>
      </c>
      <c r="R1926">
        <v>58</v>
      </c>
    </row>
    <row r="1927" spans="1:18" x14ac:dyDescent="0.25">
      <c r="A1927" t="s">
        <v>2056</v>
      </c>
      <c r="B1927" t="s">
        <v>55</v>
      </c>
      <c r="C1927" t="s">
        <v>2039</v>
      </c>
      <c r="D1927" t="s">
        <v>2040</v>
      </c>
      <c r="E1927" t="s">
        <v>78</v>
      </c>
      <c r="F1927" t="s">
        <v>252</v>
      </c>
      <c r="G1927">
        <v>6.5541999999999998</v>
      </c>
      <c r="H1927">
        <v>-74.786100000000005</v>
      </c>
      <c r="I1927" t="s">
        <v>2041</v>
      </c>
      <c r="J1927">
        <v>11</v>
      </c>
      <c r="M1927">
        <v>244</v>
      </c>
      <c r="N1927">
        <v>66</v>
      </c>
      <c r="O1927">
        <v>34</v>
      </c>
      <c r="P1927">
        <v>48</v>
      </c>
      <c r="Q1927">
        <v>40</v>
      </c>
      <c r="R1927">
        <v>71</v>
      </c>
    </row>
    <row r="1928" spans="1:18" x14ac:dyDescent="0.25">
      <c r="A1928" t="s">
        <v>2057</v>
      </c>
      <c r="B1928" t="s">
        <v>55</v>
      </c>
      <c r="C1928" t="s">
        <v>2039</v>
      </c>
      <c r="D1928" t="s">
        <v>2040</v>
      </c>
      <c r="E1928" t="s">
        <v>78</v>
      </c>
      <c r="F1928" t="s">
        <v>252</v>
      </c>
      <c r="G1928">
        <v>6.5541999999999998</v>
      </c>
      <c r="H1928">
        <v>-74.786100000000005</v>
      </c>
      <c r="I1928" t="s">
        <v>2041</v>
      </c>
      <c r="J1928">
        <v>11</v>
      </c>
      <c r="M1928">
        <v>242</v>
      </c>
      <c r="N1928">
        <v>59</v>
      </c>
      <c r="O1928">
        <v>28</v>
      </c>
      <c r="P1928">
        <v>64</v>
      </c>
      <c r="Q1928">
        <v>41</v>
      </c>
      <c r="R1928">
        <v>55</v>
      </c>
    </row>
    <row r="1929" spans="1:18" x14ac:dyDescent="0.25">
      <c r="A1929" t="s">
        <v>2058</v>
      </c>
      <c r="B1929" t="s">
        <v>55</v>
      </c>
      <c r="C1929" t="s">
        <v>2039</v>
      </c>
      <c r="D1929" t="s">
        <v>2040</v>
      </c>
      <c r="E1929" t="s">
        <v>78</v>
      </c>
      <c r="F1929" t="s">
        <v>252</v>
      </c>
      <c r="G1929">
        <v>6.5541999999999998</v>
      </c>
      <c r="H1929">
        <v>-74.786100000000005</v>
      </c>
      <c r="I1929" t="s">
        <v>2041</v>
      </c>
      <c r="J1929">
        <v>11</v>
      </c>
      <c r="M1929">
        <v>237</v>
      </c>
      <c r="N1929">
        <v>66</v>
      </c>
      <c r="O1929">
        <v>22</v>
      </c>
      <c r="P1929">
        <v>48</v>
      </c>
      <c r="Q1929">
        <v>57</v>
      </c>
      <c r="R1929">
        <v>38</v>
      </c>
    </row>
    <row r="1930" spans="1:18" x14ac:dyDescent="0.25">
      <c r="A1930" t="s">
        <v>2059</v>
      </c>
      <c r="B1930" t="s">
        <v>55</v>
      </c>
      <c r="C1930" t="s">
        <v>2039</v>
      </c>
      <c r="D1930" t="s">
        <v>2040</v>
      </c>
      <c r="E1930" t="s">
        <v>78</v>
      </c>
      <c r="F1930" t="s">
        <v>252</v>
      </c>
      <c r="G1930">
        <v>6.5541999999999998</v>
      </c>
      <c r="H1930">
        <v>-74.786100000000005</v>
      </c>
      <c r="I1930" t="s">
        <v>2041</v>
      </c>
      <c r="J1930">
        <v>11</v>
      </c>
      <c r="M1930">
        <v>235</v>
      </c>
      <c r="N1930">
        <v>49</v>
      </c>
      <c r="O1930">
        <v>32</v>
      </c>
      <c r="P1930">
        <v>64</v>
      </c>
      <c r="Q1930">
        <v>48</v>
      </c>
      <c r="R1930">
        <v>31</v>
      </c>
    </row>
    <row r="1931" spans="1:18" x14ac:dyDescent="0.25">
      <c r="A1931" t="s">
        <v>2060</v>
      </c>
      <c r="B1931" t="s">
        <v>55</v>
      </c>
      <c r="C1931" t="s">
        <v>2039</v>
      </c>
      <c r="D1931" t="s">
        <v>2040</v>
      </c>
      <c r="E1931" t="s">
        <v>78</v>
      </c>
      <c r="F1931" t="s">
        <v>252</v>
      </c>
      <c r="G1931">
        <v>6.5541999999999998</v>
      </c>
      <c r="H1931">
        <v>-74.786100000000005</v>
      </c>
      <c r="I1931" t="s">
        <v>2041</v>
      </c>
      <c r="J1931">
        <v>11</v>
      </c>
      <c r="M1931">
        <v>232</v>
      </c>
      <c r="N1931">
        <v>44</v>
      </c>
      <c r="O1931">
        <v>34</v>
      </c>
      <c r="P1931">
        <v>54</v>
      </c>
      <c r="Q1931">
        <v>52</v>
      </c>
      <c r="R1931">
        <v>53</v>
      </c>
    </row>
    <row r="1932" spans="1:18" x14ac:dyDescent="0.25">
      <c r="A1932" t="s">
        <v>2061</v>
      </c>
      <c r="B1932" t="s">
        <v>55</v>
      </c>
      <c r="C1932" t="s">
        <v>2039</v>
      </c>
      <c r="D1932" t="s">
        <v>2040</v>
      </c>
      <c r="E1932" t="s">
        <v>78</v>
      </c>
      <c r="F1932" t="s">
        <v>252</v>
      </c>
      <c r="G1932">
        <v>6.5541999999999998</v>
      </c>
      <c r="H1932">
        <v>-74.786100000000005</v>
      </c>
      <c r="I1932" t="s">
        <v>2041</v>
      </c>
      <c r="J1932">
        <v>11</v>
      </c>
      <c r="M1932">
        <v>231</v>
      </c>
      <c r="N1932">
        <v>59</v>
      </c>
      <c r="O1932">
        <v>30</v>
      </c>
      <c r="P1932">
        <v>58</v>
      </c>
      <c r="Q1932">
        <v>33</v>
      </c>
      <c r="R1932">
        <v>64</v>
      </c>
    </row>
    <row r="1933" spans="1:18" x14ac:dyDescent="0.25">
      <c r="A1933" t="s">
        <v>2062</v>
      </c>
      <c r="B1933" t="s">
        <v>55</v>
      </c>
      <c r="C1933" t="s">
        <v>2039</v>
      </c>
      <c r="D1933" t="s">
        <v>2040</v>
      </c>
      <c r="E1933" t="s">
        <v>78</v>
      </c>
      <c r="F1933" t="s">
        <v>252</v>
      </c>
      <c r="G1933">
        <v>6.5541999999999998</v>
      </c>
      <c r="H1933">
        <v>-74.786100000000005</v>
      </c>
      <c r="I1933" t="s">
        <v>2041</v>
      </c>
      <c r="J1933">
        <v>11</v>
      </c>
      <c r="M1933">
        <v>229</v>
      </c>
      <c r="N1933">
        <v>59</v>
      </c>
      <c r="O1933">
        <v>36</v>
      </c>
      <c r="P1933">
        <v>60</v>
      </c>
      <c r="Q1933">
        <v>33</v>
      </c>
      <c r="R1933">
        <v>33</v>
      </c>
    </row>
    <row r="1934" spans="1:18" x14ac:dyDescent="0.25">
      <c r="A1934" t="s">
        <v>2063</v>
      </c>
      <c r="B1934" t="s">
        <v>55</v>
      </c>
      <c r="C1934" t="s">
        <v>2039</v>
      </c>
      <c r="D1934" t="s">
        <v>2040</v>
      </c>
      <c r="E1934" t="s">
        <v>78</v>
      </c>
      <c r="F1934" t="s">
        <v>252</v>
      </c>
      <c r="G1934">
        <v>6.5541999999999998</v>
      </c>
      <c r="H1934">
        <v>-74.786100000000005</v>
      </c>
      <c r="I1934" t="s">
        <v>2041</v>
      </c>
      <c r="J1934">
        <v>11</v>
      </c>
      <c r="M1934">
        <v>228</v>
      </c>
      <c r="N1934">
        <v>37</v>
      </c>
      <c r="O1934">
        <v>38</v>
      </c>
      <c r="P1934">
        <v>58</v>
      </c>
      <c r="Q1934">
        <v>50</v>
      </c>
      <c r="R1934">
        <v>45</v>
      </c>
    </row>
    <row r="1935" spans="1:18" x14ac:dyDescent="0.25">
      <c r="A1935" t="s">
        <v>2064</v>
      </c>
      <c r="B1935" t="s">
        <v>55</v>
      </c>
      <c r="C1935" t="s">
        <v>2039</v>
      </c>
      <c r="D1935" t="s">
        <v>2040</v>
      </c>
      <c r="E1935" t="s">
        <v>78</v>
      </c>
      <c r="F1935" t="s">
        <v>252</v>
      </c>
      <c r="G1935">
        <v>6.5541999999999998</v>
      </c>
      <c r="H1935">
        <v>-74.786100000000005</v>
      </c>
      <c r="I1935" t="s">
        <v>2041</v>
      </c>
      <c r="J1935">
        <v>11</v>
      </c>
      <c r="M1935">
        <v>226</v>
      </c>
      <c r="N1935">
        <v>54</v>
      </c>
      <c r="O1935">
        <v>42</v>
      </c>
      <c r="P1935">
        <v>48</v>
      </c>
      <c r="Q1935">
        <v>34</v>
      </c>
      <c r="R1935">
        <v>53</v>
      </c>
    </row>
    <row r="1936" spans="1:18" x14ac:dyDescent="0.25">
      <c r="A1936" t="s">
        <v>2065</v>
      </c>
      <c r="B1936" t="s">
        <v>55</v>
      </c>
      <c r="C1936" t="s">
        <v>2039</v>
      </c>
      <c r="D1936" t="s">
        <v>2040</v>
      </c>
      <c r="E1936" t="s">
        <v>78</v>
      </c>
      <c r="F1936" t="s">
        <v>252</v>
      </c>
      <c r="G1936">
        <v>6.5541999999999998</v>
      </c>
      <c r="H1936">
        <v>-74.786100000000005</v>
      </c>
      <c r="I1936" t="s">
        <v>2041</v>
      </c>
      <c r="J1936">
        <v>11</v>
      </c>
      <c r="M1936">
        <v>218</v>
      </c>
      <c r="N1936">
        <v>46</v>
      </c>
      <c r="O1936">
        <v>30</v>
      </c>
      <c r="P1936">
        <v>62</v>
      </c>
      <c r="Q1936">
        <v>34</v>
      </c>
      <c r="R1936">
        <v>49</v>
      </c>
    </row>
    <row r="1937" spans="1:18" x14ac:dyDescent="0.25">
      <c r="A1937" t="s">
        <v>2066</v>
      </c>
      <c r="B1937" t="s">
        <v>55</v>
      </c>
      <c r="C1937" t="s">
        <v>2039</v>
      </c>
      <c r="D1937" t="s">
        <v>2040</v>
      </c>
      <c r="E1937" t="s">
        <v>78</v>
      </c>
      <c r="F1937" t="s">
        <v>252</v>
      </c>
      <c r="G1937">
        <v>6.5541999999999998</v>
      </c>
      <c r="H1937">
        <v>-74.786100000000005</v>
      </c>
      <c r="I1937" t="s">
        <v>2041</v>
      </c>
      <c r="J1937">
        <v>11</v>
      </c>
      <c r="M1937">
        <v>217</v>
      </c>
      <c r="N1937">
        <v>49</v>
      </c>
      <c r="O1937">
        <v>30</v>
      </c>
      <c r="P1937">
        <v>52</v>
      </c>
      <c r="Q1937">
        <v>45</v>
      </c>
      <c r="R1937">
        <v>38</v>
      </c>
    </row>
    <row r="1938" spans="1:18" x14ac:dyDescent="0.25">
      <c r="A1938" t="s">
        <v>2067</v>
      </c>
      <c r="B1938" t="s">
        <v>55</v>
      </c>
      <c r="C1938" t="s">
        <v>2039</v>
      </c>
      <c r="D1938" t="s">
        <v>2040</v>
      </c>
      <c r="E1938" t="s">
        <v>78</v>
      </c>
      <c r="F1938" t="s">
        <v>252</v>
      </c>
      <c r="G1938">
        <v>6.5541999999999998</v>
      </c>
      <c r="H1938">
        <v>-74.786100000000005</v>
      </c>
      <c r="I1938" t="s">
        <v>2041</v>
      </c>
      <c r="J1938">
        <v>11</v>
      </c>
      <c r="M1938">
        <v>217</v>
      </c>
      <c r="N1938">
        <v>61</v>
      </c>
      <c r="O1938">
        <v>26</v>
      </c>
      <c r="P1938">
        <v>56</v>
      </c>
      <c r="Q1938">
        <v>29</v>
      </c>
      <c r="R1938">
        <v>47</v>
      </c>
    </row>
    <row r="1939" spans="1:18" x14ac:dyDescent="0.25">
      <c r="A1939" t="s">
        <v>2068</v>
      </c>
      <c r="B1939" t="s">
        <v>55</v>
      </c>
      <c r="C1939" t="s">
        <v>2039</v>
      </c>
      <c r="D1939" t="s">
        <v>2040</v>
      </c>
      <c r="E1939" t="s">
        <v>78</v>
      </c>
      <c r="F1939" t="s">
        <v>252</v>
      </c>
      <c r="G1939">
        <v>6.5541999999999998</v>
      </c>
      <c r="H1939">
        <v>-74.786100000000005</v>
      </c>
      <c r="I1939" t="s">
        <v>2041</v>
      </c>
      <c r="J1939">
        <v>11</v>
      </c>
      <c r="M1939">
        <v>214</v>
      </c>
      <c r="N1939">
        <v>46</v>
      </c>
      <c r="O1939">
        <v>32</v>
      </c>
      <c r="P1939">
        <v>54</v>
      </c>
      <c r="Q1939">
        <v>41</v>
      </c>
      <c r="R1939">
        <v>35</v>
      </c>
    </row>
    <row r="1940" spans="1:18" x14ac:dyDescent="0.25">
      <c r="A1940" t="s">
        <v>2069</v>
      </c>
      <c r="B1940" t="s">
        <v>55</v>
      </c>
      <c r="C1940" t="s">
        <v>2039</v>
      </c>
      <c r="D1940" t="s">
        <v>2040</v>
      </c>
      <c r="E1940" t="s">
        <v>78</v>
      </c>
      <c r="F1940" t="s">
        <v>252</v>
      </c>
      <c r="G1940">
        <v>6.5541999999999998</v>
      </c>
      <c r="H1940">
        <v>-74.786100000000005</v>
      </c>
      <c r="I1940" t="s">
        <v>2041</v>
      </c>
      <c r="J1940">
        <v>11</v>
      </c>
      <c r="M1940">
        <v>201</v>
      </c>
      <c r="N1940">
        <v>59</v>
      </c>
      <c r="O1940">
        <v>22</v>
      </c>
      <c r="P1940">
        <v>46</v>
      </c>
      <c r="Q1940">
        <v>36</v>
      </c>
      <c r="R1940">
        <v>35</v>
      </c>
    </row>
    <row r="1941" spans="1:18" x14ac:dyDescent="0.25">
      <c r="A1941" t="s">
        <v>2070</v>
      </c>
      <c r="B1941" t="s">
        <v>55</v>
      </c>
      <c r="C1941" t="s">
        <v>2039</v>
      </c>
      <c r="D1941" t="s">
        <v>2040</v>
      </c>
      <c r="E1941" t="s">
        <v>78</v>
      </c>
      <c r="F1941" t="s">
        <v>252</v>
      </c>
      <c r="G1941">
        <v>6.5541999999999998</v>
      </c>
      <c r="H1941">
        <v>-74.786100000000005</v>
      </c>
      <c r="I1941" t="s">
        <v>2041</v>
      </c>
      <c r="J1941">
        <v>11</v>
      </c>
      <c r="M1941">
        <v>199</v>
      </c>
      <c r="N1941">
        <v>59</v>
      </c>
      <c r="O1941">
        <v>26</v>
      </c>
      <c r="P1941">
        <v>40</v>
      </c>
      <c r="Q1941">
        <v>36</v>
      </c>
      <c r="R1941">
        <v>35</v>
      </c>
    </row>
    <row r="1942" spans="1:18" x14ac:dyDescent="0.25">
      <c r="A1942" t="s">
        <v>2071</v>
      </c>
      <c r="B1942" t="s">
        <v>55</v>
      </c>
      <c r="C1942" t="s">
        <v>2039</v>
      </c>
      <c r="D1942" t="s">
        <v>2040</v>
      </c>
      <c r="E1942" t="s">
        <v>78</v>
      </c>
      <c r="F1942" t="s">
        <v>252</v>
      </c>
      <c r="G1942">
        <v>6.5541999999999998</v>
      </c>
      <c r="H1942">
        <v>-74.786100000000005</v>
      </c>
      <c r="I1942" t="s">
        <v>2041</v>
      </c>
      <c r="J1942">
        <v>11</v>
      </c>
      <c r="M1942">
        <v>199</v>
      </c>
      <c r="N1942">
        <v>44</v>
      </c>
      <c r="O1942">
        <v>30</v>
      </c>
      <c r="P1942">
        <v>58</v>
      </c>
      <c r="Q1942">
        <v>29</v>
      </c>
      <c r="R1942">
        <v>33</v>
      </c>
    </row>
    <row r="1943" spans="1:18" x14ac:dyDescent="0.25">
      <c r="A1943" t="s">
        <v>2072</v>
      </c>
      <c r="B1943" t="s">
        <v>55</v>
      </c>
      <c r="C1943" t="s">
        <v>2039</v>
      </c>
      <c r="D1943" t="s">
        <v>2040</v>
      </c>
      <c r="E1943" t="s">
        <v>78</v>
      </c>
      <c r="F1943" t="s">
        <v>252</v>
      </c>
      <c r="G1943">
        <v>6.5541999999999998</v>
      </c>
      <c r="H1943">
        <v>-74.786100000000005</v>
      </c>
      <c r="I1943" t="s">
        <v>2041</v>
      </c>
      <c r="J1943">
        <v>11</v>
      </c>
      <c r="M1943">
        <v>194</v>
      </c>
      <c r="N1943">
        <v>46</v>
      </c>
      <c r="O1943">
        <v>38</v>
      </c>
      <c r="P1943">
        <v>42</v>
      </c>
      <c r="Q1943">
        <v>29</v>
      </c>
      <c r="R1943">
        <v>38</v>
      </c>
    </row>
    <row r="1944" spans="1:18" x14ac:dyDescent="0.25">
      <c r="A1944" t="s">
        <v>2073</v>
      </c>
      <c r="B1944" t="s">
        <v>55</v>
      </c>
      <c r="C1944" t="s">
        <v>2039</v>
      </c>
      <c r="D1944" t="s">
        <v>2040</v>
      </c>
      <c r="E1944" t="s">
        <v>78</v>
      </c>
      <c r="F1944" t="s">
        <v>252</v>
      </c>
      <c r="G1944">
        <v>6.5541999999999998</v>
      </c>
      <c r="H1944">
        <v>-74.786100000000005</v>
      </c>
      <c r="I1944" t="s">
        <v>2041</v>
      </c>
      <c r="J1944">
        <v>11</v>
      </c>
      <c r="M1944">
        <v>194</v>
      </c>
      <c r="N1944">
        <v>29</v>
      </c>
      <c r="O1944">
        <v>28</v>
      </c>
      <c r="P1944">
        <v>46</v>
      </c>
      <c r="Q1944">
        <v>50</v>
      </c>
      <c r="R1944">
        <v>44</v>
      </c>
    </row>
    <row r="1945" spans="1:18" x14ac:dyDescent="0.25">
      <c r="A1945" t="s">
        <v>2074</v>
      </c>
      <c r="B1945" t="s">
        <v>55</v>
      </c>
      <c r="C1945" t="s">
        <v>2039</v>
      </c>
      <c r="D1945" t="s">
        <v>2040</v>
      </c>
      <c r="E1945" t="s">
        <v>78</v>
      </c>
      <c r="F1945" t="s">
        <v>252</v>
      </c>
      <c r="G1945">
        <v>6.5541999999999998</v>
      </c>
      <c r="H1945">
        <v>-74.786100000000005</v>
      </c>
      <c r="I1945" t="s">
        <v>2041</v>
      </c>
      <c r="J1945">
        <v>11</v>
      </c>
      <c r="M1945">
        <v>193</v>
      </c>
      <c r="N1945">
        <v>37</v>
      </c>
      <c r="O1945">
        <v>20</v>
      </c>
      <c r="P1945">
        <v>60</v>
      </c>
      <c r="Q1945">
        <v>40</v>
      </c>
      <c r="R1945">
        <v>33</v>
      </c>
    </row>
    <row r="1946" spans="1:18" x14ac:dyDescent="0.25">
      <c r="A1946" t="s">
        <v>2075</v>
      </c>
      <c r="B1946" t="s">
        <v>55</v>
      </c>
      <c r="C1946" t="s">
        <v>2039</v>
      </c>
      <c r="D1946" t="s">
        <v>2040</v>
      </c>
      <c r="E1946" t="s">
        <v>78</v>
      </c>
      <c r="F1946" t="s">
        <v>252</v>
      </c>
      <c r="G1946">
        <v>6.5541999999999998</v>
      </c>
      <c r="H1946">
        <v>-74.786100000000005</v>
      </c>
      <c r="I1946" t="s">
        <v>2041</v>
      </c>
      <c r="J1946">
        <v>11</v>
      </c>
      <c r="M1946">
        <v>193</v>
      </c>
      <c r="N1946">
        <v>32</v>
      </c>
      <c r="O1946">
        <v>30</v>
      </c>
      <c r="P1946">
        <v>50</v>
      </c>
      <c r="Q1946">
        <v>40</v>
      </c>
      <c r="R1946">
        <v>47</v>
      </c>
    </row>
    <row r="1947" spans="1:18" x14ac:dyDescent="0.25">
      <c r="A1947" t="s">
        <v>2076</v>
      </c>
      <c r="B1947" t="s">
        <v>55</v>
      </c>
      <c r="C1947" t="s">
        <v>2039</v>
      </c>
      <c r="D1947" t="s">
        <v>2040</v>
      </c>
      <c r="E1947" t="s">
        <v>78</v>
      </c>
      <c r="F1947" t="s">
        <v>252</v>
      </c>
      <c r="G1947">
        <v>6.5541999999999998</v>
      </c>
      <c r="H1947">
        <v>-74.786100000000005</v>
      </c>
      <c r="I1947" t="s">
        <v>2041</v>
      </c>
      <c r="J1947">
        <v>11</v>
      </c>
      <c r="M1947">
        <v>193</v>
      </c>
      <c r="N1947">
        <v>66</v>
      </c>
      <c r="O1947">
        <v>20</v>
      </c>
      <c r="P1947">
        <v>24</v>
      </c>
      <c r="Q1947">
        <v>41</v>
      </c>
      <c r="R1947">
        <v>47</v>
      </c>
    </row>
    <row r="1948" spans="1:18" x14ac:dyDescent="0.25">
      <c r="A1948" t="s">
        <v>2077</v>
      </c>
      <c r="B1948" t="s">
        <v>55</v>
      </c>
      <c r="C1948" t="s">
        <v>2039</v>
      </c>
      <c r="D1948" t="s">
        <v>2040</v>
      </c>
      <c r="E1948" t="s">
        <v>78</v>
      </c>
      <c r="F1948" t="s">
        <v>252</v>
      </c>
      <c r="G1948">
        <v>6.5541999999999998</v>
      </c>
      <c r="H1948">
        <v>-74.786100000000005</v>
      </c>
      <c r="I1948" t="s">
        <v>2041</v>
      </c>
      <c r="J1948">
        <v>11</v>
      </c>
      <c r="M1948">
        <v>184</v>
      </c>
      <c r="N1948">
        <v>34</v>
      </c>
      <c r="O1948">
        <v>32</v>
      </c>
      <c r="P1948">
        <v>58</v>
      </c>
      <c r="Q1948">
        <v>22</v>
      </c>
      <c r="R1948">
        <v>38</v>
      </c>
    </row>
    <row r="1949" spans="1:18" x14ac:dyDescent="0.25">
      <c r="A1949" t="s">
        <v>2078</v>
      </c>
      <c r="B1949" t="s">
        <v>55</v>
      </c>
      <c r="C1949" t="s">
        <v>2039</v>
      </c>
      <c r="D1949" t="s">
        <v>2040</v>
      </c>
      <c r="E1949" t="s">
        <v>78</v>
      </c>
      <c r="F1949" t="s">
        <v>252</v>
      </c>
      <c r="G1949">
        <v>6.5541999999999998</v>
      </c>
      <c r="H1949">
        <v>-74.786100000000005</v>
      </c>
      <c r="I1949" t="s">
        <v>2041</v>
      </c>
      <c r="J1949">
        <v>11</v>
      </c>
      <c r="M1949">
        <v>181</v>
      </c>
      <c r="N1949">
        <v>41</v>
      </c>
      <c r="O1949">
        <v>20</v>
      </c>
      <c r="P1949">
        <v>32</v>
      </c>
      <c r="Q1949">
        <v>48</v>
      </c>
      <c r="R1949">
        <v>45</v>
      </c>
    </row>
    <row r="1950" spans="1:18" x14ac:dyDescent="0.25">
      <c r="A1950" t="s">
        <v>2079</v>
      </c>
      <c r="B1950" t="s">
        <v>55</v>
      </c>
      <c r="C1950" t="s">
        <v>2080</v>
      </c>
      <c r="D1950" t="s">
        <v>2081</v>
      </c>
      <c r="E1950" t="s">
        <v>78</v>
      </c>
      <c r="F1950" t="s">
        <v>252</v>
      </c>
      <c r="G1950">
        <v>6.8483000000000001</v>
      </c>
      <c r="H1950">
        <v>-75.681700000000006</v>
      </c>
      <c r="I1950" t="s">
        <v>2082</v>
      </c>
      <c r="J1950">
        <v>11</v>
      </c>
      <c r="M1950">
        <v>284</v>
      </c>
      <c r="N1950">
        <v>56</v>
      </c>
      <c r="O1950">
        <v>28</v>
      </c>
      <c r="P1950">
        <v>74</v>
      </c>
      <c r="Q1950">
        <v>57</v>
      </c>
      <c r="R1950">
        <v>95</v>
      </c>
    </row>
    <row r="1951" spans="1:18" x14ac:dyDescent="0.25">
      <c r="A1951" t="s">
        <v>2083</v>
      </c>
      <c r="B1951" t="s">
        <v>55</v>
      </c>
      <c r="C1951" t="s">
        <v>2080</v>
      </c>
      <c r="D1951" t="s">
        <v>2081</v>
      </c>
      <c r="E1951" t="s">
        <v>78</v>
      </c>
      <c r="F1951" t="s">
        <v>252</v>
      </c>
      <c r="G1951">
        <v>6.8483000000000001</v>
      </c>
      <c r="H1951">
        <v>-75.681700000000006</v>
      </c>
      <c r="I1951" t="s">
        <v>2082</v>
      </c>
      <c r="J1951">
        <v>11</v>
      </c>
      <c r="M1951">
        <v>263</v>
      </c>
      <c r="N1951">
        <v>66</v>
      </c>
      <c r="O1951">
        <v>36</v>
      </c>
      <c r="P1951">
        <v>70</v>
      </c>
      <c r="Q1951">
        <v>31</v>
      </c>
      <c r="R1951">
        <v>76</v>
      </c>
    </row>
    <row r="1952" spans="1:18" x14ac:dyDescent="0.25">
      <c r="A1952" t="s">
        <v>2084</v>
      </c>
      <c r="B1952" t="s">
        <v>55</v>
      </c>
      <c r="C1952" t="s">
        <v>2080</v>
      </c>
      <c r="D1952" t="s">
        <v>2081</v>
      </c>
      <c r="E1952" t="s">
        <v>78</v>
      </c>
      <c r="F1952" t="s">
        <v>252</v>
      </c>
      <c r="G1952">
        <v>6.8483000000000001</v>
      </c>
      <c r="H1952">
        <v>-75.681700000000006</v>
      </c>
      <c r="I1952" t="s">
        <v>2082</v>
      </c>
      <c r="J1952">
        <v>11</v>
      </c>
      <c r="M1952">
        <v>247</v>
      </c>
      <c r="N1952">
        <v>66</v>
      </c>
      <c r="O1952">
        <v>32</v>
      </c>
      <c r="P1952">
        <v>60</v>
      </c>
      <c r="Q1952">
        <v>29</v>
      </c>
      <c r="R1952">
        <v>80</v>
      </c>
    </row>
    <row r="1953" spans="1:18" x14ac:dyDescent="0.25">
      <c r="A1953" t="s">
        <v>2085</v>
      </c>
      <c r="B1953" t="s">
        <v>55</v>
      </c>
      <c r="C1953" t="s">
        <v>2080</v>
      </c>
      <c r="D1953" t="s">
        <v>2081</v>
      </c>
      <c r="E1953" t="s">
        <v>78</v>
      </c>
      <c r="F1953" t="s">
        <v>252</v>
      </c>
      <c r="G1953">
        <v>6.8483000000000001</v>
      </c>
      <c r="H1953">
        <v>-75.681700000000006</v>
      </c>
      <c r="I1953" t="s">
        <v>2082</v>
      </c>
      <c r="J1953">
        <v>11</v>
      </c>
      <c r="M1953">
        <v>223</v>
      </c>
      <c r="N1953">
        <v>51</v>
      </c>
      <c r="O1953">
        <v>32</v>
      </c>
      <c r="P1953">
        <v>58</v>
      </c>
      <c r="Q1953">
        <v>40</v>
      </c>
      <c r="R1953">
        <v>38</v>
      </c>
    </row>
    <row r="1954" spans="1:18" x14ac:dyDescent="0.25">
      <c r="A1954" t="s">
        <v>2086</v>
      </c>
      <c r="B1954" t="s">
        <v>55</v>
      </c>
      <c r="C1954" t="s">
        <v>2080</v>
      </c>
      <c r="D1954" t="s">
        <v>2081</v>
      </c>
      <c r="E1954" t="s">
        <v>78</v>
      </c>
      <c r="F1954" t="s">
        <v>252</v>
      </c>
      <c r="G1954">
        <v>6.8483000000000001</v>
      </c>
      <c r="H1954">
        <v>-75.681700000000006</v>
      </c>
      <c r="I1954" t="s">
        <v>2082</v>
      </c>
      <c r="J1954">
        <v>11</v>
      </c>
      <c r="M1954">
        <v>217</v>
      </c>
      <c r="N1954">
        <v>44</v>
      </c>
      <c r="O1954">
        <v>38</v>
      </c>
      <c r="P1954">
        <v>62</v>
      </c>
      <c r="Q1954">
        <v>29</v>
      </c>
      <c r="R1954">
        <v>44</v>
      </c>
    </row>
    <row r="1955" spans="1:18" x14ac:dyDescent="0.25">
      <c r="A1955" t="s">
        <v>2087</v>
      </c>
      <c r="B1955" t="s">
        <v>55</v>
      </c>
      <c r="C1955" t="s">
        <v>2080</v>
      </c>
      <c r="D1955" t="s">
        <v>2081</v>
      </c>
      <c r="E1955" t="s">
        <v>78</v>
      </c>
      <c r="F1955" t="s">
        <v>252</v>
      </c>
      <c r="G1955">
        <v>6.8483000000000001</v>
      </c>
      <c r="H1955">
        <v>-75.681700000000006</v>
      </c>
      <c r="I1955" t="s">
        <v>2082</v>
      </c>
      <c r="J1955">
        <v>11</v>
      </c>
      <c r="M1955">
        <v>213</v>
      </c>
      <c r="N1955">
        <v>41</v>
      </c>
      <c r="O1955">
        <v>26</v>
      </c>
      <c r="P1955">
        <v>64</v>
      </c>
      <c r="Q1955">
        <v>29</v>
      </c>
      <c r="R1955">
        <v>71</v>
      </c>
    </row>
    <row r="1956" spans="1:18" x14ac:dyDescent="0.25">
      <c r="A1956" t="s">
        <v>2088</v>
      </c>
      <c r="B1956" t="s">
        <v>55</v>
      </c>
      <c r="C1956" t="s">
        <v>2080</v>
      </c>
      <c r="D1956" t="s">
        <v>2081</v>
      </c>
      <c r="E1956" t="s">
        <v>78</v>
      </c>
      <c r="F1956" t="s">
        <v>252</v>
      </c>
      <c r="G1956">
        <v>6.8483000000000001</v>
      </c>
      <c r="H1956">
        <v>-75.681700000000006</v>
      </c>
      <c r="I1956" t="s">
        <v>2082</v>
      </c>
      <c r="J1956">
        <v>11</v>
      </c>
      <c r="M1956">
        <v>208</v>
      </c>
      <c r="N1956">
        <v>51</v>
      </c>
      <c r="O1956">
        <v>32</v>
      </c>
      <c r="P1956">
        <v>52</v>
      </c>
      <c r="Q1956">
        <v>28</v>
      </c>
      <c r="R1956">
        <v>53</v>
      </c>
    </row>
    <row r="1957" spans="1:18" x14ac:dyDescent="0.25">
      <c r="A1957" t="s">
        <v>2089</v>
      </c>
      <c r="B1957" t="s">
        <v>55</v>
      </c>
      <c r="C1957" t="s">
        <v>2080</v>
      </c>
      <c r="D1957" t="s">
        <v>2081</v>
      </c>
      <c r="E1957" t="s">
        <v>78</v>
      </c>
      <c r="F1957" t="s">
        <v>252</v>
      </c>
      <c r="G1957">
        <v>6.8483000000000001</v>
      </c>
      <c r="H1957">
        <v>-75.681700000000006</v>
      </c>
      <c r="I1957" t="s">
        <v>2082</v>
      </c>
      <c r="J1957">
        <v>11</v>
      </c>
      <c r="M1957">
        <v>198</v>
      </c>
      <c r="N1957">
        <v>51</v>
      </c>
      <c r="O1957">
        <v>22</v>
      </c>
      <c r="P1957">
        <v>50</v>
      </c>
      <c r="Q1957">
        <v>34</v>
      </c>
      <c r="R1957">
        <v>42</v>
      </c>
    </row>
    <row r="1958" spans="1:18" x14ac:dyDescent="0.25">
      <c r="A1958" t="s">
        <v>2090</v>
      </c>
      <c r="B1958" t="s">
        <v>55</v>
      </c>
      <c r="C1958" t="s">
        <v>2080</v>
      </c>
      <c r="D1958" t="s">
        <v>2081</v>
      </c>
      <c r="E1958" t="s">
        <v>78</v>
      </c>
      <c r="F1958" t="s">
        <v>252</v>
      </c>
      <c r="G1958">
        <v>6.8483000000000001</v>
      </c>
      <c r="H1958">
        <v>-75.681700000000006</v>
      </c>
      <c r="I1958" t="s">
        <v>2082</v>
      </c>
      <c r="J1958">
        <v>11</v>
      </c>
      <c r="M1958">
        <v>189</v>
      </c>
      <c r="N1958">
        <v>39</v>
      </c>
      <c r="O1958">
        <v>34</v>
      </c>
      <c r="P1958">
        <v>48</v>
      </c>
      <c r="Q1958">
        <v>31</v>
      </c>
      <c r="R1958">
        <v>36</v>
      </c>
    </row>
    <row r="1959" spans="1:18" x14ac:dyDescent="0.25">
      <c r="A1959" t="s">
        <v>2091</v>
      </c>
      <c r="B1959" t="s">
        <v>55</v>
      </c>
      <c r="C1959" t="s">
        <v>2080</v>
      </c>
      <c r="D1959" t="s">
        <v>2081</v>
      </c>
      <c r="E1959" t="s">
        <v>78</v>
      </c>
      <c r="F1959" t="s">
        <v>252</v>
      </c>
      <c r="G1959">
        <v>6.8483000000000001</v>
      </c>
      <c r="H1959">
        <v>-75.681700000000006</v>
      </c>
      <c r="I1959" t="s">
        <v>2082</v>
      </c>
      <c r="J1959">
        <v>11</v>
      </c>
      <c r="M1959">
        <v>188</v>
      </c>
      <c r="N1959">
        <v>46</v>
      </c>
      <c r="O1959">
        <v>30</v>
      </c>
      <c r="P1959">
        <v>54</v>
      </c>
      <c r="Q1959">
        <v>19</v>
      </c>
      <c r="R1959">
        <v>42</v>
      </c>
    </row>
    <row r="1960" spans="1:18" x14ac:dyDescent="0.25">
      <c r="A1960" t="s">
        <v>2092</v>
      </c>
      <c r="B1960" t="s">
        <v>55</v>
      </c>
      <c r="C1960" t="s">
        <v>2080</v>
      </c>
      <c r="D1960" t="s">
        <v>2081</v>
      </c>
      <c r="E1960" t="s">
        <v>78</v>
      </c>
      <c r="F1960" t="s">
        <v>252</v>
      </c>
      <c r="G1960">
        <v>6.8483000000000001</v>
      </c>
      <c r="H1960">
        <v>-75.681700000000006</v>
      </c>
      <c r="I1960" t="s">
        <v>2082</v>
      </c>
      <c r="J1960">
        <v>11</v>
      </c>
      <c r="M1960">
        <v>186</v>
      </c>
      <c r="N1960">
        <v>41</v>
      </c>
      <c r="O1960">
        <v>32</v>
      </c>
      <c r="P1960">
        <v>46</v>
      </c>
      <c r="Q1960">
        <v>28</v>
      </c>
      <c r="R1960">
        <v>42</v>
      </c>
    </row>
    <row r="1961" spans="1:18" x14ac:dyDescent="0.25">
      <c r="A1961" t="s">
        <v>2093</v>
      </c>
      <c r="B1961" t="s">
        <v>55</v>
      </c>
      <c r="C1961" t="s">
        <v>2080</v>
      </c>
      <c r="D1961" t="s">
        <v>2081</v>
      </c>
      <c r="E1961" t="s">
        <v>78</v>
      </c>
      <c r="F1961" t="s">
        <v>252</v>
      </c>
      <c r="G1961">
        <v>6.8483000000000001</v>
      </c>
      <c r="H1961">
        <v>-75.681700000000006</v>
      </c>
      <c r="I1961" t="s">
        <v>2082</v>
      </c>
      <c r="J1961">
        <v>11</v>
      </c>
      <c r="M1961">
        <v>179</v>
      </c>
      <c r="N1961">
        <v>39</v>
      </c>
      <c r="O1961">
        <v>28</v>
      </c>
      <c r="P1961">
        <v>44</v>
      </c>
      <c r="Q1961">
        <v>29</v>
      </c>
      <c r="R1961">
        <v>44</v>
      </c>
    </row>
    <row r="1962" spans="1:18" x14ac:dyDescent="0.25">
      <c r="A1962" t="s">
        <v>2094</v>
      </c>
      <c r="B1962" t="s">
        <v>55</v>
      </c>
      <c r="C1962" t="s">
        <v>2080</v>
      </c>
      <c r="D1962" t="s">
        <v>2081</v>
      </c>
      <c r="E1962" t="s">
        <v>78</v>
      </c>
      <c r="F1962" t="s">
        <v>252</v>
      </c>
      <c r="G1962">
        <v>6.8483000000000001</v>
      </c>
      <c r="H1962">
        <v>-75.681700000000006</v>
      </c>
      <c r="I1962" t="s">
        <v>2082</v>
      </c>
      <c r="J1962">
        <v>11</v>
      </c>
      <c r="M1962">
        <v>174</v>
      </c>
      <c r="N1962">
        <v>44</v>
      </c>
      <c r="O1962">
        <v>26</v>
      </c>
      <c r="P1962">
        <v>40</v>
      </c>
      <c r="Q1962">
        <v>31</v>
      </c>
      <c r="R1962">
        <v>29</v>
      </c>
    </row>
    <row r="1963" spans="1:18" x14ac:dyDescent="0.25">
      <c r="A1963" t="s">
        <v>2095</v>
      </c>
      <c r="B1963" t="s">
        <v>55</v>
      </c>
      <c r="C1963" t="s">
        <v>2080</v>
      </c>
      <c r="D1963" t="s">
        <v>2081</v>
      </c>
      <c r="E1963" t="s">
        <v>78</v>
      </c>
      <c r="F1963" t="s">
        <v>252</v>
      </c>
      <c r="G1963">
        <v>6.8483000000000001</v>
      </c>
      <c r="H1963">
        <v>-75.681700000000006</v>
      </c>
      <c r="I1963" t="s">
        <v>2082</v>
      </c>
      <c r="J1963">
        <v>11</v>
      </c>
      <c r="M1963">
        <v>173</v>
      </c>
      <c r="N1963">
        <v>39</v>
      </c>
      <c r="O1963">
        <v>24</v>
      </c>
      <c r="P1963">
        <v>42</v>
      </c>
      <c r="Q1963">
        <v>29</v>
      </c>
      <c r="R1963">
        <v>47</v>
      </c>
    </row>
    <row r="1964" spans="1:18" x14ac:dyDescent="0.25">
      <c r="A1964" t="s">
        <v>2096</v>
      </c>
      <c r="B1964" t="s">
        <v>55</v>
      </c>
      <c r="C1964" t="s">
        <v>2080</v>
      </c>
      <c r="D1964" t="s">
        <v>2081</v>
      </c>
      <c r="E1964" t="s">
        <v>78</v>
      </c>
      <c r="F1964" t="s">
        <v>252</v>
      </c>
      <c r="G1964">
        <v>6.8483000000000001</v>
      </c>
      <c r="H1964">
        <v>-75.681700000000006</v>
      </c>
      <c r="I1964" t="s">
        <v>2082</v>
      </c>
      <c r="J1964">
        <v>11</v>
      </c>
      <c r="M1964">
        <v>173</v>
      </c>
      <c r="N1964">
        <v>34</v>
      </c>
      <c r="O1964">
        <v>32</v>
      </c>
      <c r="P1964">
        <v>46</v>
      </c>
      <c r="Q1964">
        <v>29</v>
      </c>
      <c r="R1964">
        <v>25</v>
      </c>
    </row>
    <row r="1965" spans="1:18" x14ac:dyDescent="0.25">
      <c r="A1965" t="s">
        <v>2097</v>
      </c>
      <c r="B1965" t="s">
        <v>55</v>
      </c>
      <c r="C1965" t="s">
        <v>2080</v>
      </c>
      <c r="D1965" t="s">
        <v>2081</v>
      </c>
      <c r="E1965" t="s">
        <v>78</v>
      </c>
      <c r="F1965" t="s">
        <v>252</v>
      </c>
      <c r="G1965">
        <v>6.8483000000000001</v>
      </c>
      <c r="H1965">
        <v>-75.681700000000006</v>
      </c>
      <c r="I1965" t="s">
        <v>2082</v>
      </c>
      <c r="J1965">
        <v>11</v>
      </c>
      <c r="M1965">
        <v>170</v>
      </c>
      <c r="N1965">
        <v>39</v>
      </c>
      <c r="O1965">
        <v>24</v>
      </c>
      <c r="P1965">
        <v>44</v>
      </c>
      <c r="Q1965">
        <v>31</v>
      </c>
      <c r="R1965">
        <v>29</v>
      </c>
    </row>
    <row r="1966" spans="1:18" x14ac:dyDescent="0.25">
      <c r="A1966" t="s">
        <v>2098</v>
      </c>
      <c r="B1966" t="s">
        <v>55</v>
      </c>
      <c r="C1966" t="s">
        <v>2080</v>
      </c>
      <c r="D1966" t="s">
        <v>2081</v>
      </c>
      <c r="E1966" t="s">
        <v>78</v>
      </c>
      <c r="F1966" t="s">
        <v>252</v>
      </c>
      <c r="G1966">
        <v>6.8483000000000001</v>
      </c>
      <c r="H1966">
        <v>-75.681700000000006</v>
      </c>
      <c r="I1966" t="s">
        <v>2082</v>
      </c>
      <c r="J1966">
        <v>11</v>
      </c>
      <c r="M1966">
        <v>169</v>
      </c>
      <c r="N1966">
        <v>46</v>
      </c>
      <c r="O1966">
        <v>20</v>
      </c>
      <c r="P1966">
        <v>40</v>
      </c>
      <c r="Q1966">
        <v>29</v>
      </c>
      <c r="R1966">
        <v>33</v>
      </c>
    </row>
    <row r="1967" spans="1:18" x14ac:dyDescent="0.25">
      <c r="A1967" t="s">
        <v>2099</v>
      </c>
      <c r="B1967" t="s">
        <v>55</v>
      </c>
      <c r="C1967" t="s">
        <v>2080</v>
      </c>
      <c r="D1967" t="s">
        <v>2081</v>
      </c>
      <c r="E1967" t="s">
        <v>78</v>
      </c>
      <c r="F1967" t="s">
        <v>252</v>
      </c>
      <c r="G1967">
        <v>6.8483000000000001</v>
      </c>
      <c r="H1967">
        <v>-75.681700000000006</v>
      </c>
      <c r="I1967" t="s">
        <v>2082</v>
      </c>
      <c r="J1967">
        <v>11</v>
      </c>
      <c r="M1967">
        <v>168</v>
      </c>
      <c r="N1967">
        <v>34</v>
      </c>
      <c r="O1967">
        <v>22</v>
      </c>
      <c r="P1967">
        <v>42</v>
      </c>
      <c r="Q1967">
        <v>36</v>
      </c>
      <c r="R1967">
        <v>35</v>
      </c>
    </row>
    <row r="1968" spans="1:18" x14ac:dyDescent="0.25">
      <c r="A1968" t="s">
        <v>2100</v>
      </c>
      <c r="B1968" t="s">
        <v>55</v>
      </c>
      <c r="C1968" t="s">
        <v>2080</v>
      </c>
      <c r="D1968" t="s">
        <v>2081</v>
      </c>
      <c r="E1968" t="s">
        <v>78</v>
      </c>
      <c r="F1968" t="s">
        <v>252</v>
      </c>
      <c r="G1968">
        <v>6.8483000000000001</v>
      </c>
      <c r="H1968">
        <v>-75.681700000000006</v>
      </c>
      <c r="I1968" t="s">
        <v>2082</v>
      </c>
      <c r="J1968">
        <v>11</v>
      </c>
      <c r="M1968">
        <v>165</v>
      </c>
      <c r="N1968">
        <v>37</v>
      </c>
      <c r="O1968">
        <v>24</v>
      </c>
      <c r="P1968">
        <v>50</v>
      </c>
      <c r="Q1968">
        <v>21</v>
      </c>
      <c r="R1968">
        <v>36</v>
      </c>
    </row>
    <row r="1969" spans="1:18" x14ac:dyDescent="0.25">
      <c r="A1969" t="s">
        <v>2101</v>
      </c>
      <c r="B1969" t="s">
        <v>55</v>
      </c>
      <c r="C1969" t="s">
        <v>2080</v>
      </c>
      <c r="D1969" t="s">
        <v>2081</v>
      </c>
      <c r="E1969" t="s">
        <v>78</v>
      </c>
      <c r="F1969" t="s">
        <v>252</v>
      </c>
      <c r="G1969">
        <v>6.8483000000000001</v>
      </c>
      <c r="H1969">
        <v>-75.681700000000006</v>
      </c>
      <c r="I1969" t="s">
        <v>2082</v>
      </c>
      <c r="J1969">
        <v>11</v>
      </c>
      <c r="M1969">
        <v>165</v>
      </c>
      <c r="N1969">
        <v>37</v>
      </c>
      <c r="O1969">
        <v>22</v>
      </c>
      <c r="P1969">
        <v>56</v>
      </c>
      <c r="Q1969">
        <v>19</v>
      </c>
      <c r="R1969">
        <v>27</v>
      </c>
    </row>
    <row r="1970" spans="1:18" x14ac:dyDescent="0.25">
      <c r="A1970" t="s">
        <v>2102</v>
      </c>
      <c r="B1970" t="s">
        <v>55</v>
      </c>
      <c r="C1970" t="s">
        <v>2080</v>
      </c>
      <c r="D1970" t="s">
        <v>2081</v>
      </c>
      <c r="E1970" t="s">
        <v>78</v>
      </c>
      <c r="F1970" t="s">
        <v>252</v>
      </c>
      <c r="G1970">
        <v>6.8483000000000001</v>
      </c>
      <c r="H1970">
        <v>-75.681700000000006</v>
      </c>
      <c r="I1970" t="s">
        <v>2082</v>
      </c>
      <c r="J1970">
        <v>11</v>
      </c>
      <c r="M1970">
        <v>164</v>
      </c>
      <c r="N1970">
        <v>37</v>
      </c>
      <c r="O1970">
        <v>30</v>
      </c>
      <c r="P1970">
        <v>40</v>
      </c>
      <c r="Q1970">
        <v>24</v>
      </c>
      <c r="R1970">
        <v>35</v>
      </c>
    </row>
    <row r="1971" spans="1:18" x14ac:dyDescent="0.25">
      <c r="A1971" t="s">
        <v>2103</v>
      </c>
      <c r="B1971" t="s">
        <v>55</v>
      </c>
      <c r="C1971" t="s">
        <v>2080</v>
      </c>
      <c r="D1971" t="s">
        <v>2081</v>
      </c>
      <c r="E1971" t="s">
        <v>78</v>
      </c>
      <c r="F1971" t="s">
        <v>252</v>
      </c>
      <c r="G1971">
        <v>6.8483000000000001</v>
      </c>
      <c r="H1971">
        <v>-75.681700000000006</v>
      </c>
      <c r="I1971" t="s">
        <v>2082</v>
      </c>
      <c r="J1971">
        <v>11</v>
      </c>
      <c r="M1971">
        <v>164</v>
      </c>
      <c r="N1971">
        <v>49</v>
      </c>
      <c r="O1971">
        <v>18</v>
      </c>
      <c r="P1971">
        <v>32</v>
      </c>
      <c r="Q1971">
        <v>29</v>
      </c>
      <c r="R1971">
        <v>42</v>
      </c>
    </row>
    <row r="1972" spans="1:18" x14ac:dyDescent="0.25">
      <c r="A1972" t="s">
        <v>2104</v>
      </c>
      <c r="B1972" t="s">
        <v>55</v>
      </c>
      <c r="C1972" t="s">
        <v>2080</v>
      </c>
      <c r="D1972" t="s">
        <v>2081</v>
      </c>
      <c r="E1972" t="s">
        <v>78</v>
      </c>
      <c r="F1972" t="s">
        <v>252</v>
      </c>
      <c r="G1972">
        <v>6.8483000000000001</v>
      </c>
      <c r="H1972">
        <v>-75.681700000000006</v>
      </c>
      <c r="I1972" t="s">
        <v>2082</v>
      </c>
      <c r="J1972">
        <v>11</v>
      </c>
      <c r="M1972">
        <v>159</v>
      </c>
      <c r="N1972">
        <v>46</v>
      </c>
      <c r="O1972">
        <v>12</v>
      </c>
      <c r="P1972">
        <v>36</v>
      </c>
      <c r="Q1972">
        <v>33</v>
      </c>
      <c r="R1972">
        <v>31</v>
      </c>
    </row>
    <row r="1973" spans="1:18" x14ac:dyDescent="0.25">
      <c r="A1973" t="s">
        <v>2105</v>
      </c>
      <c r="B1973" t="s">
        <v>55</v>
      </c>
      <c r="C1973" t="s">
        <v>2080</v>
      </c>
      <c r="D1973" t="s">
        <v>2081</v>
      </c>
      <c r="E1973" t="s">
        <v>78</v>
      </c>
      <c r="F1973" t="s">
        <v>252</v>
      </c>
      <c r="G1973">
        <v>6.8483000000000001</v>
      </c>
      <c r="H1973">
        <v>-75.681700000000006</v>
      </c>
      <c r="I1973" t="s">
        <v>2082</v>
      </c>
      <c r="J1973">
        <v>11</v>
      </c>
      <c r="M1973">
        <v>154</v>
      </c>
      <c r="N1973">
        <v>39</v>
      </c>
      <c r="O1973">
        <v>28</v>
      </c>
      <c r="P1973">
        <v>30</v>
      </c>
      <c r="Q1973">
        <v>26</v>
      </c>
      <c r="R1973">
        <v>33</v>
      </c>
    </row>
    <row r="1974" spans="1:18" x14ac:dyDescent="0.25">
      <c r="A1974" t="s">
        <v>2106</v>
      </c>
      <c r="B1974" t="s">
        <v>55</v>
      </c>
      <c r="C1974" t="s">
        <v>2080</v>
      </c>
      <c r="D1974" t="s">
        <v>2081</v>
      </c>
      <c r="E1974" t="s">
        <v>78</v>
      </c>
      <c r="F1974" t="s">
        <v>252</v>
      </c>
      <c r="G1974">
        <v>6.8483000000000001</v>
      </c>
      <c r="H1974">
        <v>-75.681700000000006</v>
      </c>
      <c r="I1974" t="s">
        <v>2082</v>
      </c>
      <c r="J1974">
        <v>11</v>
      </c>
      <c r="M1974">
        <v>152</v>
      </c>
      <c r="N1974">
        <v>39</v>
      </c>
      <c r="O1974">
        <v>14</v>
      </c>
      <c r="P1974">
        <v>30</v>
      </c>
      <c r="Q1974">
        <v>34</v>
      </c>
      <c r="R1974">
        <v>44</v>
      </c>
    </row>
    <row r="1975" spans="1:18" x14ac:dyDescent="0.25">
      <c r="A1975" t="s">
        <v>2107</v>
      </c>
      <c r="B1975" t="s">
        <v>55</v>
      </c>
      <c r="C1975" t="s">
        <v>2080</v>
      </c>
      <c r="D1975" t="s">
        <v>2081</v>
      </c>
      <c r="E1975" t="s">
        <v>78</v>
      </c>
      <c r="F1975" t="s">
        <v>252</v>
      </c>
      <c r="G1975">
        <v>6.8483000000000001</v>
      </c>
      <c r="H1975">
        <v>-75.681700000000006</v>
      </c>
      <c r="I1975" t="s">
        <v>2082</v>
      </c>
      <c r="J1975">
        <v>11</v>
      </c>
      <c r="M1975">
        <v>147</v>
      </c>
      <c r="N1975">
        <v>27</v>
      </c>
      <c r="O1975">
        <v>24</v>
      </c>
      <c r="P1975">
        <v>42</v>
      </c>
      <c r="Q1975">
        <v>22</v>
      </c>
      <c r="R1975">
        <v>36</v>
      </c>
    </row>
    <row r="1976" spans="1:18" x14ac:dyDescent="0.25">
      <c r="A1976" t="s">
        <v>2108</v>
      </c>
      <c r="B1976" t="s">
        <v>55</v>
      </c>
      <c r="C1976" t="s">
        <v>2080</v>
      </c>
      <c r="D1976" t="s">
        <v>2081</v>
      </c>
      <c r="E1976" t="s">
        <v>78</v>
      </c>
      <c r="F1976" t="s">
        <v>252</v>
      </c>
      <c r="G1976">
        <v>6.8483000000000001</v>
      </c>
      <c r="H1976">
        <v>-75.681700000000006</v>
      </c>
      <c r="I1976" t="s">
        <v>2082</v>
      </c>
      <c r="J1976">
        <v>11</v>
      </c>
      <c r="M1976">
        <v>146</v>
      </c>
      <c r="N1976">
        <v>34</v>
      </c>
      <c r="O1976">
        <v>16</v>
      </c>
      <c r="P1976">
        <v>38</v>
      </c>
      <c r="Q1976">
        <v>28</v>
      </c>
      <c r="R1976">
        <v>33</v>
      </c>
    </row>
    <row r="1977" spans="1:18" x14ac:dyDescent="0.25">
      <c r="A1977" t="s">
        <v>2109</v>
      </c>
      <c r="B1977" t="s">
        <v>55</v>
      </c>
      <c r="C1977" t="s">
        <v>2080</v>
      </c>
      <c r="D1977" t="s">
        <v>2081</v>
      </c>
      <c r="E1977" t="s">
        <v>78</v>
      </c>
      <c r="F1977" t="s">
        <v>252</v>
      </c>
      <c r="G1977">
        <v>6.8483000000000001</v>
      </c>
      <c r="H1977">
        <v>-75.681700000000006</v>
      </c>
      <c r="I1977" t="s">
        <v>2082</v>
      </c>
      <c r="J1977">
        <v>11</v>
      </c>
      <c r="M1977">
        <v>145</v>
      </c>
      <c r="N1977">
        <v>34</v>
      </c>
      <c r="O1977">
        <v>26</v>
      </c>
      <c r="P1977">
        <v>30</v>
      </c>
      <c r="Q1977">
        <v>26</v>
      </c>
      <c r="R1977">
        <v>29</v>
      </c>
    </row>
    <row r="1978" spans="1:18" x14ac:dyDescent="0.25">
      <c r="A1978" t="s">
        <v>2110</v>
      </c>
      <c r="B1978" t="s">
        <v>55</v>
      </c>
      <c r="C1978" t="s">
        <v>2080</v>
      </c>
      <c r="D1978" t="s">
        <v>2081</v>
      </c>
      <c r="E1978" t="s">
        <v>78</v>
      </c>
      <c r="F1978" t="s">
        <v>252</v>
      </c>
      <c r="G1978">
        <v>6.8483000000000001</v>
      </c>
      <c r="H1978">
        <v>-75.681700000000006</v>
      </c>
      <c r="I1978" t="s">
        <v>2082</v>
      </c>
      <c r="J1978">
        <v>11</v>
      </c>
      <c r="M1978">
        <v>145</v>
      </c>
      <c r="N1978">
        <v>32</v>
      </c>
      <c r="O1978">
        <v>16</v>
      </c>
      <c r="P1978">
        <v>40</v>
      </c>
      <c r="Q1978">
        <v>22</v>
      </c>
      <c r="R1978">
        <v>45</v>
      </c>
    </row>
    <row r="1979" spans="1:18" x14ac:dyDescent="0.25">
      <c r="A1979" t="s">
        <v>2111</v>
      </c>
      <c r="B1979" t="s">
        <v>55</v>
      </c>
      <c r="C1979" t="s">
        <v>2080</v>
      </c>
      <c r="D1979" t="s">
        <v>2081</v>
      </c>
      <c r="E1979" t="s">
        <v>78</v>
      </c>
      <c r="F1979" t="s">
        <v>252</v>
      </c>
      <c r="G1979">
        <v>6.8483000000000001</v>
      </c>
      <c r="H1979">
        <v>-75.681700000000006</v>
      </c>
      <c r="I1979" t="s">
        <v>2082</v>
      </c>
      <c r="J1979">
        <v>11</v>
      </c>
      <c r="M1979">
        <v>137</v>
      </c>
      <c r="N1979">
        <v>27</v>
      </c>
      <c r="O1979">
        <v>26</v>
      </c>
      <c r="P1979">
        <v>28</v>
      </c>
      <c r="Q1979">
        <v>22</v>
      </c>
      <c r="R1979">
        <v>45</v>
      </c>
    </row>
    <row r="1980" spans="1:18" x14ac:dyDescent="0.25">
      <c r="A1980" t="s">
        <v>2112</v>
      </c>
      <c r="B1980" t="s">
        <v>55</v>
      </c>
      <c r="C1980" t="s">
        <v>2080</v>
      </c>
      <c r="D1980" t="s">
        <v>2081</v>
      </c>
      <c r="E1980" t="s">
        <v>78</v>
      </c>
      <c r="F1980" t="s">
        <v>252</v>
      </c>
      <c r="G1980">
        <v>6.8483000000000001</v>
      </c>
      <c r="H1980">
        <v>-75.681700000000006</v>
      </c>
      <c r="I1980" t="s">
        <v>2082</v>
      </c>
      <c r="J1980">
        <v>11</v>
      </c>
      <c r="M1980">
        <v>131</v>
      </c>
      <c r="N1980">
        <v>29</v>
      </c>
      <c r="O1980">
        <v>22</v>
      </c>
      <c r="P1980">
        <v>26</v>
      </c>
      <c r="Q1980">
        <v>24</v>
      </c>
      <c r="R1980">
        <v>36</v>
      </c>
    </row>
    <row r="1981" spans="1:18" x14ac:dyDescent="0.25">
      <c r="A1981" t="s">
        <v>2113</v>
      </c>
      <c r="B1981" t="s">
        <v>55</v>
      </c>
      <c r="C1981" t="s">
        <v>2080</v>
      </c>
      <c r="D1981" t="s">
        <v>2081</v>
      </c>
      <c r="E1981" t="s">
        <v>78</v>
      </c>
      <c r="F1981" t="s">
        <v>252</v>
      </c>
      <c r="G1981">
        <v>6.8483000000000001</v>
      </c>
      <c r="H1981">
        <v>-75.681700000000006</v>
      </c>
      <c r="I1981" t="s">
        <v>2082</v>
      </c>
      <c r="J1981">
        <v>11</v>
      </c>
      <c r="M1981">
        <v>130</v>
      </c>
      <c r="N1981">
        <v>27</v>
      </c>
      <c r="O1981">
        <v>30</v>
      </c>
      <c r="P1981">
        <v>20</v>
      </c>
      <c r="Q1981">
        <v>29</v>
      </c>
      <c r="R1981">
        <v>20</v>
      </c>
    </row>
    <row r="1982" spans="1:18" x14ac:dyDescent="0.25">
      <c r="A1982" t="s">
        <v>2114</v>
      </c>
      <c r="B1982" t="s">
        <v>55</v>
      </c>
      <c r="C1982" t="s">
        <v>2080</v>
      </c>
      <c r="D1982" t="s">
        <v>2081</v>
      </c>
      <c r="E1982" t="s">
        <v>78</v>
      </c>
      <c r="F1982" t="s">
        <v>252</v>
      </c>
      <c r="G1982">
        <v>6.8483000000000001</v>
      </c>
      <c r="H1982">
        <v>-75.681700000000006</v>
      </c>
      <c r="I1982" t="s">
        <v>2082</v>
      </c>
      <c r="J1982">
        <v>11</v>
      </c>
      <c r="M1982">
        <v>129</v>
      </c>
      <c r="N1982">
        <v>29</v>
      </c>
      <c r="O1982">
        <v>20</v>
      </c>
      <c r="P1982">
        <v>36</v>
      </c>
      <c r="Q1982">
        <v>17</v>
      </c>
      <c r="R1982">
        <v>29</v>
      </c>
    </row>
    <row r="1983" spans="1:18" x14ac:dyDescent="0.25">
      <c r="A1983" t="s">
        <v>2115</v>
      </c>
      <c r="B1983" t="s">
        <v>55</v>
      </c>
      <c r="C1983" t="s">
        <v>2080</v>
      </c>
      <c r="D1983" t="s">
        <v>2081</v>
      </c>
      <c r="E1983" t="s">
        <v>78</v>
      </c>
      <c r="F1983" t="s">
        <v>252</v>
      </c>
      <c r="G1983">
        <v>6.8483000000000001</v>
      </c>
      <c r="H1983">
        <v>-75.681700000000006</v>
      </c>
      <c r="I1983" t="s">
        <v>2082</v>
      </c>
      <c r="J1983">
        <v>11</v>
      </c>
      <c r="M1983">
        <v>128</v>
      </c>
      <c r="N1983">
        <v>27</v>
      </c>
      <c r="O1983">
        <v>16</v>
      </c>
      <c r="P1983">
        <v>36</v>
      </c>
      <c r="Q1983">
        <v>28</v>
      </c>
      <c r="R1983">
        <v>15</v>
      </c>
    </row>
    <row r="1984" spans="1:18" x14ac:dyDescent="0.25">
      <c r="A1984" t="s">
        <v>2116</v>
      </c>
      <c r="B1984" t="s">
        <v>55</v>
      </c>
      <c r="C1984" t="s">
        <v>2080</v>
      </c>
      <c r="D1984" t="s">
        <v>2081</v>
      </c>
      <c r="E1984" t="s">
        <v>78</v>
      </c>
      <c r="F1984" t="s">
        <v>252</v>
      </c>
      <c r="G1984">
        <v>6.8483000000000001</v>
      </c>
      <c r="H1984">
        <v>-75.681700000000006</v>
      </c>
      <c r="I1984" t="s">
        <v>2082</v>
      </c>
      <c r="J1984">
        <v>11</v>
      </c>
      <c r="M1984">
        <v>127</v>
      </c>
      <c r="N1984">
        <v>22</v>
      </c>
      <c r="O1984">
        <v>32</v>
      </c>
      <c r="P1984">
        <v>26</v>
      </c>
      <c r="Q1984">
        <v>19</v>
      </c>
      <c r="R1984">
        <v>33</v>
      </c>
    </row>
    <row r="1985" spans="1:18" x14ac:dyDescent="0.25">
      <c r="A1985" t="s">
        <v>2117</v>
      </c>
      <c r="B1985" t="s">
        <v>55</v>
      </c>
      <c r="C1985" t="s">
        <v>2080</v>
      </c>
      <c r="D1985" t="s">
        <v>2081</v>
      </c>
      <c r="E1985" t="s">
        <v>78</v>
      </c>
      <c r="F1985" t="s">
        <v>252</v>
      </c>
      <c r="G1985">
        <v>6.8483000000000001</v>
      </c>
      <c r="H1985">
        <v>-75.681700000000006</v>
      </c>
      <c r="I1985" t="s">
        <v>2082</v>
      </c>
      <c r="J1985">
        <v>11</v>
      </c>
      <c r="M1985">
        <v>111</v>
      </c>
      <c r="N1985">
        <v>10</v>
      </c>
      <c r="O1985">
        <v>26</v>
      </c>
      <c r="P1985">
        <v>26</v>
      </c>
      <c r="Q1985">
        <v>28</v>
      </c>
      <c r="R1985">
        <v>22</v>
      </c>
    </row>
    <row r="1986" spans="1:18" x14ac:dyDescent="0.25">
      <c r="A1986" t="s">
        <v>2118</v>
      </c>
      <c r="B1986" t="s">
        <v>55</v>
      </c>
      <c r="C1986" t="s">
        <v>2119</v>
      </c>
      <c r="D1986" t="s">
        <v>2120</v>
      </c>
      <c r="E1986" t="s">
        <v>78</v>
      </c>
      <c r="F1986" t="s">
        <v>252</v>
      </c>
      <c r="G1986">
        <v>6.4863999999999997</v>
      </c>
      <c r="H1986">
        <v>-74.760000000000005</v>
      </c>
      <c r="I1986" t="s">
        <v>2121</v>
      </c>
      <c r="J1986">
        <v>11</v>
      </c>
      <c r="M1986">
        <v>304</v>
      </c>
      <c r="N1986">
        <v>73</v>
      </c>
      <c r="O1986">
        <v>46</v>
      </c>
      <c r="P1986">
        <v>60</v>
      </c>
      <c r="Q1986">
        <v>64</v>
      </c>
      <c r="R1986">
        <v>62</v>
      </c>
    </row>
    <row r="1987" spans="1:18" x14ac:dyDescent="0.25">
      <c r="A1987" t="s">
        <v>2122</v>
      </c>
      <c r="B1987" t="s">
        <v>55</v>
      </c>
      <c r="C1987" t="s">
        <v>2119</v>
      </c>
      <c r="D1987" t="s">
        <v>2120</v>
      </c>
      <c r="E1987" t="s">
        <v>78</v>
      </c>
      <c r="F1987" t="s">
        <v>252</v>
      </c>
      <c r="G1987">
        <v>6.4863999999999997</v>
      </c>
      <c r="H1987">
        <v>-74.760000000000005</v>
      </c>
      <c r="I1987" t="s">
        <v>2121</v>
      </c>
      <c r="J1987">
        <v>11</v>
      </c>
      <c r="M1987">
        <v>292</v>
      </c>
      <c r="N1987">
        <v>68</v>
      </c>
      <c r="O1987">
        <v>42</v>
      </c>
      <c r="P1987">
        <v>64</v>
      </c>
      <c r="Q1987">
        <v>60</v>
      </c>
      <c r="R1987">
        <v>55</v>
      </c>
    </row>
    <row r="1988" spans="1:18" x14ac:dyDescent="0.25">
      <c r="A1988" t="s">
        <v>2123</v>
      </c>
      <c r="B1988" t="s">
        <v>55</v>
      </c>
      <c r="C1988" t="s">
        <v>2119</v>
      </c>
      <c r="D1988" t="s">
        <v>2120</v>
      </c>
      <c r="E1988" t="s">
        <v>78</v>
      </c>
      <c r="F1988" t="s">
        <v>252</v>
      </c>
      <c r="G1988">
        <v>6.4863999999999997</v>
      </c>
      <c r="H1988">
        <v>-74.760000000000005</v>
      </c>
      <c r="I1988" t="s">
        <v>2121</v>
      </c>
      <c r="J1988">
        <v>11</v>
      </c>
      <c r="M1988">
        <v>286</v>
      </c>
      <c r="N1988">
        <v>63</v>
      </c>
      <c r="O1988">
        <v>42</v>
      </c>
      <c r="P1988">
        <v>64</v>
      </c>
      <c r="Q1988">
        <v>60</v>
      </c>
      <c r="R1988">
        <v>55</v>
      </c>
    </row>
    <row r="1989" spans="1:18" x14ac:dyDescent="0.25">
      <c r="A1989" t="s">
        <v>2124</v>
      </c>
      <c r="B1989" t="s">
        <v>55</v>
      </c>
      <c r="C1989" t="s">
        <v>2119</v>
      </c>
      <c r="D1989" t="s">
        <v>2120</v>
      </c>
      <c r="E1989" t="s">
        <v>78</v>
      </c>
      <c r="F1989" t="s">
        <v>252</v>
      </c>
      <c r="G1989">
        <v>6.4863999999999997</v>
      </c>
      <c r="H1989">
        <v>-74.760000000000005</v>
      </c>
      <c r="I1989" t="s">
        <v>2121</v>
      </c>
      <c r="J1989">
        <v>11</v>
      </c>
      <c r="M1989">
        <v>283</v>
      </c>
      <c r="N1989">
        <v>63</v>
      </c>
      <c r="O1989">
        <v>42</v>
      </c>
      <c r="P1989">
        <v>64</v>
      </c>
      <c r="Q1989">
        <v>60</v>
      </c>
      <c r="R1989">
        <v>45</v>
      </c>
    </row>
    <row r="1990" spans="1:18" x14ac:dyDescent="0.25">
      <c r="A1990" t="s">
        <v>2125</v>
      </c>
      <c r="B1990" t="s">
        <v>55</v>
      </c>
      <c r="C1990" t="s">
        <v>2119</v>
      </c>
      <c r="D1990" t="s">
        <v>2120</v>
      </c>
      <c r="E1990" t="s">
        <v>78</v>
      </c>
      <c r="F1990" t="s">
        <v>252</v>
      </c>
      <c r="G1990">
        <v>6.4863999999999997</v>
      </c>
      <c r="H1990">
        <v>-74.760000000000005</v>
      </c>
      <c r="I1990" t="s">
        <v>2121</v>
      </c>
      <c r="J1990">
        <v>11</v>
      </c>
      <c r="M1990">
        <v>275</v>
      </c>
      <c r="N1990">
        <v>56</v>
      </c>
      <c r="O1990">
        <v>46</v>
      </c>
      <c r="P1990">
        <v>64</v>
      </c>
      <c r="Q1990">
        <v>48</v>
      </c>
      <c r="R1990">
        <v>73</v>
      </c>
    </row>
    <row r="1991" spans="1:18" x14ac:dyDescent="0.25">
      <c r="A1991" t="s">
        <v>2126</v>
      </c>
      <c r="B1991" t="s">
        <v>55</v>
      </c>
      <c r="C1991" t="s">
        <v>2119</v>
      </c>
      <c r="D1991" t="s">
        <v>2120</v>
      </c>
      <c r="E1991" t="s">
        <v>78</v>
      </c>
      <c r="F1991" t="s">
        <v>252</v>
      </c>
      <c r="G1991">
        <v>6.4863999999999997</v>
      </c>
      <c r="H1991">
        <v>-74.760000000000005</v>
      </c>
      <c r="I1991" t="s">
        <v>2121</v>
      </c>
      <c r="J1991">
        <v>11</v>
      </c>
      <c r="M1991">
        <v>263</v>
      </c>
      <c r="N1991">
        <v>63</v>
      </c>
      <c r="O1991">
        <v>28</v>
      </c>
      <c r="P1991">
        <v>62</v>
      </c>
      <c r="Q1991">
        <v>59</v>
      </c>
      <c r="R1991">
        <v>47</v>
      </c>
    </row>
    <row r="1992" spans="1:18" x14ac:dyDescent="0.25">
      <c r="A1992" t="s">
        <v>2127</v>
      </c>
      <c r="B1992" t="s">
        <v>55</v>
      </c>
      <c r="C1992" t="s">
        <v>2119</v>
      </c>
      <c r="D1992" t="s">
        <v>2120</v>
      </c>
      <c r="E1992" t="s">
        <v>78</v>
      </c>
      <c r="F1992" t="s">
        <v>252</v>
      </c>
      <c r="G1992">
        <v>6.4863999999999997</v>
      </c>
      <c r="H1992">
        <v>-74.760000000000005</v>
      </c>
      <c r="I1992" t="s">
        <v>2121</v>
      </c>
      <c r="J1992">
        <v>11</v>
      </c>
      <c r="M1992">
        <v>261</v>
      </c>
      <c r="N1992">
        <v>59</v>
      </c>
      <c r="O1992">
        <v>50</v>
      </c>
      <c r="P1992">
        <v>54</v>
      </c>
      <c r="Q1992">
        <v>40</v>
      </c>
      <c r="R1992">
        <v>71</v>
      </c>
    </row>
    <row r="1993" spans="1:18" x14ac:dyDescent="0.25">
      <c r="A1993" t="s">
        <v>2128</v>
      </c>
      <c r="B1993" t="s">
        <v>55</v>
      </c>
      <c r="C1993" t="s">
        <v>2119</v>
      </c>
      <c r="D1993" t="s">
        <v>2120</v>
      </c>
      <c r="E1993" t="s">
        <v>78</v>
      </c>
      <c r="F1993" t="s">
        <v>252</v>
      </c>
      <c r="G1993">
        <v>6.4863999999999997</v>
      </c>
      <c r="H1993">
        <v>-74.760000000000005</v>
      </c>
      <c r="I1993" t="s">
        <v>2121</v>
      </c>
      <c r="J1993">
        <v>11</v>
      </c>
      <c r="M1993">
        <v>256</v>
      </c>
      <c r="N1993">
        <v>49</v>
      </c>
      <c r="O1993">
        <v>44</v>
      </c>
      <c r="P1993">
        <v>64</v>
      </c>
      <c r="Q1993">
        <v>45</v>
      </c>
      <c r="R1993">
        <v>62</v>
      </c>
    </row>
    <row r="1994" spans="1:18" x14ac:dyDescent="0.25">
      <c r="A1994" t="s">
        <v>2129</v>
      </c>
      <c r="B1994" t="s">
        <v>55</v>
      </c>
      <c r="C1994" t="s">
        <v>2119</v>
      </c>
      <c r="D1994" t="s">
        <v>2120</v>
      </c>
      <c r="E1994" t="s">
        <v>78</v>
      </c>
      <c r="F1994" t="s">
        <v>252</v>
      </c>
      <c r="G1994">
        <v>6.4863999999999997</v>
      </c>
      <c r="H1994">
        <v>-74.760000000000005</v>
      </c>
      <c r="I1994" t="s">
        <v>2121</v>
      </c>
      <c r="J1994">
        <v>11</v>
      </c>
      <c r="M1994">
        <v>256</v>
      </c>
      <c r="N1994">
        <v>61</v>
      </c>
      <c r="O1994">
        <v>40</v>
      </c>
      <c r="P1994">
        <v>48</v>
      </c>
      <c r="Q1994">
        <v>53</v>
      </c>
      <c r="R1994">
        <v>58</v>
      </c>
    </row>
    <row r="1995" spans="1:18" x14ac:dyDescent="0.25">
      <c r="A1995" t="s">
        <v>2130</v>
      </c>
      <c r="B1995" t="s">
        <v>55</v>
      </c>
      <c r="C1995" t="s">
        <v>2119</v>
      </c>
      <c r="D1995" t="s">
        <v>2120</v>
      </c>
      <c r="E1995" t="s">
        <v>78</v>
      </c>
      <c r="F1995" t="s">
        <v>252</v>
      </c>
      <c r="G1995">
        <v>6.4863999999999997</v>
      </c>
      <c r="H1995">
        <v>-74.760000000000005</v>
      </c>
      <c r="I1995" t="s">
        <v>2121</v>
      </c>
      <c r="J1995">
        <v>11</v>
      </c>
      <c r="M1995">
        <v>254</v>
      </c>
      <c r="N1995">
        <v>61</v>
      </c>
      <c r="O1995">
        <v>44</v>
      </c>
      <c r="P1995">
        <v>62</v>
      </c>
      <c r="Q1995">
        <v>36</v>
      </c>
      <c r="R1995">
        <v>51</v>
      </c>
    </row>
    <row r="1996" spans="1:18" x14ac:dyDescent="0.25">
      <c r="A1996" t="s">
        <v>2131</v>
      </c>
      <c r="B1996" t="s">
        <v>55</v>
      </c>
      <c r="C1996" t="s">
        <v>2119</v>
      </c>
      <c r="D1996" t="s">
        <v>2120</v>
      </c>
      <c r="E1996" t="s">
        <v>78</v>
      </c>
      <c r="F1996" t="s">
        <v>252</v>
      </c>
      <c r="G1996">
        <v>6.4863999999999997</v>
      </c>
      <c r="H1996">
        <v>-74.760000000000005</v>
      </c>
      <c r="I1996" t="s">
        <v>2121</v>
      </c>
      <c r="J1996">
        <v>11</v>
      </c>
      <c r="M1996">
        <v>252</v>
      </c>
      <c r="N1996">
        <v>63</v>
      </c>
      <c r="O1996">
        <v>34</v>
      </c>
      <c r="P1996">
        <v>70</v>
      </c>
      <c r="Q1996">
        <v>34</v>
      </c>
      <c r="R1996">
        <v>49</v>
      </c>
    </row>
    <row r="1997" spans="1:18" x14ac:dyDescent="0.25">
      <c r="A1997" t="s">
        <v>2132</v>
      </c>
      <c r="B1997" t="s">
        <v>55</v>
      </c>
      <c r="C1997" t="s">
        <v>2119</v>
      </c>
      <c r="D1997" t="s">
        <v>2120</v>
      </c>
      <c r="E1997" t="s">
        <v>78</v>
      </c>
      <c r="F1997" t="s">
        <v>252</v>
      </c>
      <c r="G1997">
        <v>6.4863999999999997</v>
      </c>
      <c r="H1997">
        <v>-74.760000000000005</v>
      </c>
      <c r="I1997" t="s">
        <v>2121</v>
      </c>
      <c r="J1997">
        <v>11</v>
      </c>
      <c r="M1997">
        <v>249</v>
      </c>
      <c r="N1997">
        <v>49</v>
      </c>
      <c r="O1997">
        <v>46</v>
      </c>
      <c r="P1997">
        <v>50</v>
      </c>
      <c r="Q1997">
        <v>52</v>
      </c>
      <c r="R1997">
        <v>58</v>
      </c>
    </row>
    <row r="1998" spans="1:18" x14ac:dyDescent="0.25">
      <c r="A1998" t="s">
        <v>2133</v>
      </c>
      <c r="B1998" t="s">
        <v>55</v>
      </c>
      <c r="C1998" t="s">
        <v>2119</v>
      </c>
      <c r="D1998" t="s">
        <v>2120</v>
      </c>
      <c r="E1998" t="s">
        <v>78</v>
      </c>
      <c r="F1998" t="s">
        <v>252</v>
      </c>
      <c r="G1998">
        <v>6.4863999999999997</v>
      </c>
      <c r="H1998">
        <v>-74.760000000000005</v>
      </c>
      <c r="I1998" t="s">
        <v>2121</v>
      </c>
      <c r="J1998">
        <v>11</v>
      </c>
      <c r="M1998">
        <v>248</v>
      </c>
      <c r="N1998">
        <v>63</v>
      </c>
      <c r="O1998">
        <v>36</v>
      </c>
      <c r="P1998">
        <v>44</v>
      </c>
      <c r="Q1998">
        <v>52</v>
      </c>
      <c r="R1998">
        <v>58</v>
      </c>
    </row>
    <row r="1999" spans="1:18" x14ac:dyDescent="0.25">
      <c r="A1999" t="s">
        <v>2134</v>
      </c>
      <c r="B1999" t="s">
        <v>55</v>
      </c>
      <c r="C1999" t="s">
        <v>2119</v>
      </c>
      <c r="D1999" t="s">
        <v>2120</v>
      </c>
      <c r="E1999" t="s">
        <v>78</v>
      </c>
      <c r="F1999" t="s">
        <v>252</v>
      </c>
      <c r="G1999">
        <v>6.4863999999999997</v>
      </c>
      <c r="H1999">
        <v>-74.760000000000005</v>
      </c>
      <c r="I1999" t="s">
        <v>2121</v>
      </c>
      <c r="J1999">
        <v>11</v>
      </c>
      <c r="M1999">
        <v>244</v>
      </c>
      <c r="N1999">
        <v>61</v>
      </c>
      <c r="O1999">
        <v>48</v>
      </c>
      <c r="P1999">
        <v>56</v>
      </c>
      <c r="Q1999">
        <v>28</v>
      </c>
      <c r="R1999">
        <v>56</v>
      </c>
    </row>
    <row r="2000" spans="1:18" x14ac:dyDescent="0.25">
      <c r="A2000" t="s">
        <v>2135</v>
      </c>
      <c r="B2000" t="s">
        <v>55</v>
      </c>
      <c r="C2000" t="s">
        <v>2119</v>
      </c>
      <c r="D2000" t="s">
        <v>2120</v>
      </c>
      <c r="E2000" t="s">
        <v>78</v>
      </c>
      <c r="F2000" t="s">
        <v>252</v>
      </c>
      <c r="G2000">
        <v>6.4863999999999997</v>
      </c>
      <c r="H2000">
        <v>-74.760000000000005</v>
      </c>
      <c r="I2000" t="s">
        <v>2121</v>
      </c>
      <c r="J2000">
        <v>11</v>
      </c>
      <c r="M2000">
        <v>240</v>
      </c>
      <c r="N2000">
        <v>44</v>
      </c>
      <c r="O2000">
        <v>32</v>
      </c>
      <c r="P2000">
        <v>62</v>
      </c>
      <c r="Q2000">
        <v>52</v>
      </c>
      <c r="R2000">
        <v>56</v>
      </c>
    </row>
    <row r="2001" spans="1:18" x14ac:dyDescent="0.25">
      <c r="A2001" t="s">
        <v>2136</v>
      </c>
      <c r="B2001" t="s">
        <v>55</v>
      </c>
      <c r="C2001" t="s">
        <v>2119</v>
      </c>
      <c r="D2001" t="s">
        <v>2120</v>
      </c>
      <c r="E2001" t="s">
        <v>78</v>
      </c>
      <c r="F2001" t="s">
        <v>252</v>
      </c>
      <c r="G2001">
        <v>6.4863999999999997</v>
      </c>
      <c r="H2001">
        <v>-74.760000000000005</v>
      </c>
      <c r="I2001" t="s">
        <v>2121</v>
      </c>
      <c r="J2001">
        <v>11</v>
      </c>
      <c r="M2001">
        <v>236</v>
      </c>
      <c r="N2001">
        <v>63</v>
      </c>
      <c r="O2001">
        <v>32</v>
      </c>
      <c r="P2001">
        <v>56</v>
      </c>
      <c r="Q2001">
        <v>41</v>
      </c>
      <c r="R2001">
        <v>36</v>
      </c>
    </row>
    <row r="2002" spans="1:18" x14ac:dyDescent="0.25">
      <c r="A2002" t="s">
        <v>2137</v>
      </c>
      <c r="B2002" t="s">
        <v>55</v>
      </c>
      <c r="C2002" t="s">
        <v>2119</v>
      </c>
      <c r="D2002" t="s">
        <v>2120</v>
      </c>
      <c r="E2002" t="s">
        <v>78</v>
      </c>
      <c r="F2002" t="s">
        <v>252</v>
      </c>
      <c r="G2002">
        <v>6.4863999999999997</v>
      </c>
      <c r="H2002">
        <v>-74.760000000000005</v>
      </c>
      <c r="I2002" t="s">
        <v>2121</v>
      </c>
      <c r="J2002">
        <v>11</v>
      </c>
      <c r="M2002">
        <v>232</v>
      </c>
      <c r="N2002">
        <v>51</v>
      </c>
      <c r="O2002">
        <v>38</v>
      </c>
      <c r="P2002">
        <v>40</v>
      </c>
      <c r="Q2002">
        <v>55</v>
      </c>
      <c r="R2002">
        <v>49</v>
      </c>
    </row>
    <row r="2003" spans="1:18" x14ac:dyDescent="0.25">
      <c r="A2003" t="s">
        <v>2138</v>
      </c>
      <c r="B2003" t="s">
        <v>55</v>
      </c>
      <c r="C2003" t="s">
        <v>2119</v>
      </c>
      <c r="D2003" t="s">
        <v>2120</v>
      </c>
      <c r="E2003" t="s">
        <v>78</v>
      </c>
      <c r="F2003" t="s">
        <v>252</v>
      </c>
      <c r="G2003">
        <v>6.4863999999999997</v>
      </c>
      <c r="H2003">
        <v>-74.760000000000005</v>
      </c>
      <c r="I2003" t="s">
        <v>2121</v>
      </c>
      <c r="J2003">
        <v>11</v>
      </c>
      <c r="M2003">
        <v>217</v>
      </c>
      <c r="N2003">
        <v>41</v>
      </c>
      <c r="O2003">
        <v>26</v>
      </c>
      <c r="P2003">
        <v>52</v>
      </c>
      <c r="Q2003">
        <v>52</v>
      </c>
      <c r="R2003">
        <v>51</v>
      </c>
    </row>
    <row r="2004" spans="1:18" x14ac:dyDescent="0.25">
      <c r="A2004" t="s">
        <v>2139</v>
      </c>
      <c r="B2004" t="s">
        <v>55</v>
      </c>
      <c r="C2004" t="s">
        <v>2119</v>
      </c>
      <c r="D2004" t="s">
        <v>2120</v>
      </c>
      <c r="E2004" t="s">
        <v>78</v>
      </c>
      <c r="F2004" t="s">
        <v>252</v>
      </c>
      <c r="G2004">
        <v>6.4863999999999997</v>
      </c>
      <c r="H2004">
        <v>-74.760000000000005</v>
      </c>
      <c r="I2004" t="s">
        <v>2121</v>
      </c>
      <c r="J2004">
        <v>11</v>
      </c>
      <c r="M2004">
        <v>217</v>
      </c>
      <c r="N2004">
        <v>34</v>
      </c>
      <c r="O2004">
        <v>48</v>
      </c>
      <c r="P2004">
        <v>54</v>
      </c>
      <c r="Q2004">
        <v>36</v>
      </c>
      <c r="R2004">
        <v>47</v>
      </c>
    </row>
    <row r="2005" spans="1:18" x14ac:dyDescent="0.25">
      <c r="A2005" t="s">
        <v>2140</v>
      </c>
      <c r="B2005" t="s">
        <v>55</v>
      </c>
      <c r="C2005" t="s">
        <v>2119</v>
      </c>
      <c r="D2005" t="s">
        <v>2120</v>
      </c>
      <c r="E2005" t="s">
        <v>78</v>
      </c>
      <c r="F2005" t="s">
        <v>252</v>
      </c>
      <c r="G2005">
        <v>6.4863999999999997</v>
      </c>
      <c r="H2005">
        <v>-74.760000000000005</v>
      </c>
      <c r="I2005" t="s">
        <v>2121</v>
      </c>
      <c r="J2005">
        <v>11</v>
      </c>
      <c r="M2005">
        <v>209</v>
      </c>
      <c r="N2005">
        <v>46</v>
      </c>
      <c r="O2005">
        <v>36</v>
      </c>
      <c r="P2005">
        <v>56</v>
      </c>
      <c r="Q2005">
        <v>31</v>
      </c>
      <c r="R2005">
        <v>35</v>
      </c>
    </row>
    <row r="2006" spans="1:18" x14ac:dyDescent="0.25">
      <c r="A2006" t="s">
        <v>2141</v>
      </c>
      <c r="B2006" t="s">
        <v>55</v>
      </c>
      <c r="C2006" t="s">
        <v>2119</v>
      </c>
      <c r="D2006" t="s">
        <v>2120</v>
      </c>
      <c r="E2006" t="s">
        <v>78</v>
      </c>
      <c r="F2006" t="s">
        <v>252</v>
      </c>
      <c r="G2006">
        <v>6.4863999999999997</v>
      </c>
      <c r="H2006">
        <v>-74.760000000000005</v>
      </c>
      <c r="I2006" t="s">
        <v>2121</v>
      </c>
      <c r="J2006">
        <v>11</v>
      </c>
      <c r="M2006">
        <v>170</v>
      </c>
      <c r="N2006">
        <v>61</v>
      </c>
      <c r="O2006">
        <v>16</v>
      </c>
      <c r="P2006">
        <v>32</v>
      </c>
      <c r="Q2006">
        <v>38</v>
      </c>
      <c r="R2006">
        <v>0</v>
      </c>
    </row>
    <row r="2007" spans="1:18" x14ac:dyDescent="0.25">
      <c r="A2007" t="s">
        <v>2142</v>
      </c>
      <c r="B2007" t="s">
        <v>55</v>
      </c>
      <c r="C2007" t="s">
        <v>2119</v>
      </c>
      <c r="D2007" t="s">
        <v>2120</v>
      </c>
      <c r="E2007" t="s">
        <v>78</v>
      </c>
      <c r="F2007" t="s">
        <v>252</v>
      </c>
      <c r="G2007">
        <v>6.4863999999999997</v>
      </c>
      <c r="H2007">
        <v>-74.760000000000005</v>
      </c>
      <c r="I2007" t="s">
        <v>2121</v>
      </c>
      <c r="J2007">
        <v>11</v>
      </c>
      <c r="M2007">
        <v>166</v>
      </c>
      <c r="N2007">
        <v>61</v>
      </c>
      <c r="O2007">
        <v>22</v>
      </c>
      <c r="P2007">
        <v>32</v>
      </c>
      <c r="Q2007">
        <v>29</v>
      </c>
      <c r="R2007">
        <v>0</v>
      </c>
    </row>
    <row r="2008" spans="1:18" x14ac:dyDescent="0.25">
      <c r="A2008" t="s">
        <v>2143</v>
      </c>
      <c r="B2008" t="s">
        <v>55</v>
      </c>
      <c r="C2008" t="s">
        <v>2119</v>
      </c>
      <c r="D2008" t="s">
        <v>2120</v>
      </c>
      <c r="E2008" t="s">
        <v>78</v>
      </c>
      <c r="F2008" t="s">
        <v>252</v>
      </c>
      <c r="G2008">
        <v>6.4863999999999997</v>
      </c>
      <c r="H2008">
        <v>-74.760000000000005</v>
      </c>
      <c r="I2008" t="s">
        <v>2121</v>
      </c>
      <c r="J2008">
        <v>11</v>
      </c>
      <c r="M2008">
        <v>107</v>
      </c>
      <c r="N2008">
        <v>41</v>
      </c>
      <c r="O2008">
        <v>14</v>
      </c>
      <c r="P2008">
        <v>22</v>
      </c>
      <c r="Q2008">
        <v>16</v>
      </c>
      <c r="R2008">
        <v>0</v>
      </c>
    </row>
    <row r="2009" spans="1:18" x14ac:dyDescent="0.25">
      <c r="A2009" t="s">
        <v>2144</v>
      </c>
      <c r="B2009" t="s">
        <v>55</v>
      </c>
      <c r="C2009" t="s">
        <v>2119</v>
      </c>
      <c r="D2009" t="s">
        <v>2120</v>
      </c>
      <c r="E2009" t="s">
        <v>78</v>
      </c>
      <c r="F2009" t="s">
        <v>252</v>
      </c>
      <c r="G2009">
        <v>6.4863999999999997</v>
      </c>
      <c r="H2009">
        <v>-74.760000000000005</v>
      </c>
      <c r="I2009" t="s">
        <v>2121</v>
      </c>
      <c r="J2009">
        <v>11</v>
      </c>
      <c r="M2009">
        <v>98</v>
      </c>
      <c r="N2009">
        <v>0</v>
      </c>
      <c r="O2009">
        <v>22</v>
      </c>
      <c r="P2009">
        <v>32</v>
      </c>
      <c r="Q2009">
        <v>17</v>
      </c>
      <c r="R2009">
        <v>40</v>
      </c>
    </row>
    <row r="2010" spans="1:18" x14ac:dyDescent="0.25">
      <c r="A2010" t="s">
        <v>2145</v>
      </c>
      <c r="B2010" t="s">
        <v>55</v>
      </c>
      <c r="C2010" t="s">
        <v>2119</v>
      </c>
      <c r="D2010" t="s">
        <v>2120</v>
      </c>
      <c r="E2010" t="s">
        <v>78</v>
      </c>
      <c r="F2010" t="s">
        <v>252</v>
      </c>
      <c r="G2010">
        <v>6.4863999999999997</v>
      </c>
      <c r="H2010">
        <v>-74.760000000000005</v>
      </c>
      <c r="I2010" t="s">
        <v>2121</v>
      </c>
      <c r="J2010">
        <v>11</v>
      </c>
      <c r="M2010">
        <v>84</v>
      </c>
      <c r="N2010">
        <v>0</v>
      </c>
      <c r="O2010">
        <v>8</v>
      </c>
      <c r="P2010">
        <v>32</v>
      </c>
      <c r="Q2010">
        <v>19</v>
      </c>
      <c r="R2010">
        <v>42</v>
      </c>
    </row>
    <row r="2011" spans="1:18" x14ac:dyDescent="0.25">
      <c r="A2011" t="s">
        <v>2146</v>
      </c>
      <c r="B2011" t="s">
        <v>55</v>
      </c>
      <c r="C2011" t="s">
        <v>2119</v>
      </c>
      <c r="D2011" t="s">
        <v>2120</v>
      </c>
      <c r="E2011" t="s">
        <v>78</v>
      </c>
      <c r="F2011" t="s">
        <v>252</v>
      </c>
      <c r="G2011">
        <v>6.4863999999999997</v>
      </c>
      <c r="H2011">
        <v>-74.760000000000005</v>
      </c>
      <c r="I2011" t="s">
        <v>2121</v>
      </c>
      <c r="J2011">
        <v>11</v>
      </c>
      <c r="M2011">
        <v>71</v>
      </c>
      <c r="N2011">
        <v>0</v>
      </c>
      <c r="O2011">
        <v>2</v>
      </c>
      <c r="P2011">
        <v>34</v>
      </c>
      <c r="Q2011">
        <v>16</v>
      </c>
      <c r="R2011">
        <v>31</v>
      </c>
    </row>
    <row r="2012" spans="1:18" x14ac:dyDescent="0.25">
      <c r="A2012" t="s">
        <v>2147</v>
      </c>
      <c r="B2012" t="s">
        <v>55</v>
      </c>
      <c r="C2012" t="s">
        <v>2148</v>
      </c>
      <c r="D2012" t="s">
        <v>2149</v>
      </c>
      <c r="E2012" t="s">
        <v>78</v>
      </c>
      <c r="F2012" t="s">
        <v>252</v>
      </c>
      <c r="G2012">
        <v>7.5758000000000001</v>
      </c>
      <c r="H2012">
        <v>-75.348600000000005</v>
      </c>
      <c r="I2012" t="s">
        <v>2150</v>
      </c>
      <c r="J2012">
        <v>11</v>
      </c>
      <c r="M2012">
        <v>232</v>
      </c>
      <c r="N2012">
        <v>59</v>
      </c>
      <c r="O2012">
        <v>34</v>
      </c>
      <c r="P2012">
        <v>54</v>
      </c>
      <c r="Q2012">
        <v>41</v>
      </c>
      <c r="R2012">
        <v>38</v>
      </c>
    </row>
    <row r="2013" spans="1:18" x14ac:dyDescent="0.25">
      <c r="A2013" t="s">
        <v>2151</v>
      </c>
      <c r="B2013" t="s">
        <v>55</v>
      </c>
      <c r="C2013" t="s">
        <v>2148</v>
      </c>
      <c r="D2013" t="s">
        <v>2149</v>
      </c>
      <c r="E2013" t="s">
        <v>78</v>
      </c>
      <c r="F2013" t="s">
        <v>252</v>
      </c>
      <c r="G2013">
        <v>7.5758000000000001</v>
      </c>
      <c r="H2013">
        <v>-75.348600000000005</v>
      </c>
      <c r="I2013" t="s">
        <v>2150</v>
      </c>
      <c r="J2013">
        <v>11</v>
      </c>
      <c r="M2013">
        <v>222</v>
      </c>
      <c r="N2013">
        <v>54</v>
      </c>
      <c r="O2013">
        <v>34</v>
      </c>
      <c r="P2013">
        <v>60</v>
      </c>
      <c r="Q2013">
        <v>29</v>
      </c>
      <c r="R2013">
        <v>45</v>
      </c>
    </row>
    <row r="2014" spans="1:18" x14ac:dyDescent="0.25">
      <c r="A2014" t="s">
        <v>2152</v>
      </c>
      <c r="B2014" t="s">
        <v>55</v>
      </c>
      <c r="C2014" t="s">
        <v>2148</v>
      </c>
      <c r="D2014" t="s">
        <v>2149</v>
      </c>
      <c r="E2014" t="s">
        <v>78</v>
      </c>
      <c r="F2014" t="s">
        <v>252</v>
      </c>
      <c r="G2014">
        <v>7.5758000000000001</v>
      </c>
      <c r="H2014">
        <v>-75.348600000000005</v>
      </c>
      <c r="I2014" t="s">
        <v>2150</v>
      </c>
      <c r="J2014">
        <v>11</v>
      </c>
      <c r="M2014">
        <v>217</v>
      </c>
      <c r="N2014">
        <v>56</v>
      </c>
      <c r="O2014">
        <v>22</v>
      </c>
      <c r="P2014">
        <v>64</v>
      </c>
      <c r="Q2014">
        <v>31</v>
      </c>
      <c r="R2014">
        <v>44</v>
      </c>
    </row>
    <row r="2015" spans="1:18" x14ac:dyDescent="0.25">
      <c r="A2015" t="s">
        <v>2153</v>
      </c>
      <c r="B2015" t="s">
        <v>55</v>
      </c>
      <c r="C2015" t="s">
        <v>2148</v>
      </c>
      <c r="D2015" t="s">
        <v>2149</v>
      </c>
      <c r="E2015" t="s">
        <v>78</v>
      </c>
      <c r="F2015" t="s">
        <v>252</v>
      </c>
      <c r="G2015">
        <v>7.5758000000000001</v>
      </c>
      <c r="H2015">
        <v>-75.348600000000005</v>
      </c>
      <c r="I2015" t="s">
        <v>2150</v>
      </c>
      <c r="J2015">
        <v>11</v>
      </c>
      <c r="M2015">
        <v>209</v>
      </c>
      <c r="N2015">
        <v>59</v>
      </c>
      <c r="O2015">
        <v>34</v>
      </c>
      <c r="P2015">
        <v>34</v>
      </c>
      <c r="Q2015">
        <v>36</v>
      </c>
      <c r="R2015">
        <v>56</v>
      </c>
    </row>
    <row r="2016" spans="1:18" x14ac:dyDescent="0.25">
      <c r="A2016" t="s">
        <v>2154</v>
      </c>
      <c r="B2016" t="s">
        <v>55</v>
      </c>
      <c r="C2016" t="s">
        <v>2148</v>
      </c>
      <c r="D2016" t="s">
        <v>2149</v>
      </c>
      <c r="E2016" t="s">
        <v>78</v>
      </c>
      <c r="F2016" t="s">
        <v>252</v>
      </c>
      <c r="G2016">
        <v>7.5758000000000001</v>
      </c>
      <c r="H2016">
        <v>-75.348600000000005</v>
      </c>
      <c r="I2016" t="s">
        <v>2150</v>
      </c>
      <c r="J2016">
        <v>11</v>
      </c>
      <c r="M2016">
        <v>207</v>
      </c>
      <c r="N2016">
        <v>56</v>
      </c>
      <c r="O2016">
        <v>38</v>
      </c>
      <c r="P2016">
        <v>48</v>
      </c>
      <c r="Q2016">
        <v>24</v>
      </c>
      <c r="R2016">
        <v>40</v>
      </c>
    </row>
    <row r="2017" spans="1:18" x14ac:dyDescent="0.25">
      <c r="A2017" t="s">
        <v>2155</v>
      </c>
      <c r="B2017" t="s">
        <v>55</v>
      </c>
      <c r="C2017" t="s">
        <v>2148</v>
      </c>
      <c r="D2017" t="s">
        <v>2149</v>
      </c>
      <c r="E2017" t="s">
        <v>78</v>
      </c>
      <c r="F2017" t="s">
        <v>252</v>
      </c>
      <c r="G2017">
        <v>7.5758000000000001</v>
      </c>
      <c r="H2017">
        <v>-75.348600000000005</v>
      </c>
      <c r="I2017" t="s">
        <v>2150</v>
      </c>
      <c r="J2017">
        <v>11</v>
      </c>
      <c r="M2017">
        <v>201</v>
      </c>
      <c r="N2017">
        <v>54</v>
      </c>
      <c r="O2017">
        <v>20</v>
      </c>
      <c r="P2017">
        <v>56</v>
      </c>
      <c r="Q2017">
        <v>31</v>
      </c>
      <c r="R2017">
        <v>42</v>
      </c>
    </row>
    <row r="2018" spans="1:18" x14ac:dyDescent="0.25">
      <c r="A2018" t="s">
        <v>2156</v>
      </c>
      <c r="B2018" t="s">
        <v>55</v>
      </c>
      <c r="C2018" t="s">
        <v>2148</v>
      </c>
      <c r="D2018" t="s">
        <v>2149</v>
      </c>
      <c r="E2018" t="s">
        <v>78</v>
      </c>
      <c r="F2018" t="s">
        <v>252</v>
      </c>
      <c r="G2018">
        <v>7.5758000000000001</v>
      </c>
      <c r="H2018">
        <v>-75.348600000000005</v>
      </c>
      <c r="I2018" t="s">
        <v>2150</v>
      </c>
      <c r="J2018">
        <v>11</v>
      </c>
      <c r="M2018">
        <v>199</v>
      </c>
      <c r="N2018">
        <v>46</v>
      </c>
      <c r="O2018">
        <v>32</v>
      </c>
      <c r="P2018">
        <v>48</v>
      </c>
      <c r="Q2018">
        <v>33</v>
      </c>
      <c r="R2018">
        <v>40</v>
      </c>
    </row>
    <row r="2019" spans="1:18" x14ac:dyDescent="0.25">
      <c r="A2019" t="s">
        <v>2157</v>
      </c>
      <c r="B2019" t="s">
        <v>55</v>
      </c>
      <c r="C2019" t="s">
        <v>2148</v>
      </c>
      <c r="D2019" t="s">
        <v>2149</v>
      </c>
      <c r="E2019" t="s">
        <v>78</v>
      </c>
      <c r="F2019" t="s">
        <v>252</v>
      </c>
      <c r="G2019">
        <v>7.5758000000000001</v>
      </c>
      <c r="H2019">
        <v>-75.348600000000005</v>
      </c>
      <c r="I2019" t="s">
        <v>2150</v>
      </c>
      <c r="J2019">
        <v>11</v>
      </c>
      <c r="M2019">
        <v>199</v>
      </c>
      <c r="N2019">
        <v>44</v>
      </c>
      <c r="O2019">
        <v>40</v>
      </c>
      <c r="P2019">
        <v>36</v>
      </c>
      <c r="Q2019">
        <v>40</v>
      </c>
      <c r="R2019">
        <v>38</v>
      </c>
    </row>
    <row r="2020" spans="1:18" x14ac:dyDescent="0.25">
      <c r="A2020" t="s">
        <v>2158</v>
      </c>
      <c r="B2020" t="s">
        <v>55</v>
      </c>
      <c r="C2020" t="s">
        <v>2148</v>
      </c>
      <c r="D2020" t="s">
        <v>2149</v>
      </c>
      <c r="E2020" t="s">
        <v>78</v>
      </c>
      <c r="F2020" t="s">
        <v>252</v>
      </c>
      <c r="G2020">
        <v>7.5758000000000001</v>
      </c>
      <c r="H2020">
        <v>-75.348600000000005</v>
      </c>
      <c r="I2020" t="s">
        <v>2150</v>
      </c>
      <c r="J2020">
        <v>11</v>
      </c>
      <c r="M2020">
        <v>198</v>
      </c>
      <c r="N2020">
        <v>59</v>
      </c>
      <c r="O2020">
        <v>28</v>
      </c>
      <c r="P2020">
        <v>52</v>
      </c>
      <c r="Q2020">
        <v>19</v>
      </c>
      <c r="R2020">
        <v>42</v>
      </c>
    </row>
    <row r="2021" spans="1:18" x14ac:dyDescent="0.25">
      <c r="A2021" t="s">
        <v>2159</v>
      </c>
      <c r="B2021" t="s">
        <v>55</v>
      </c>
      <c r="C2021" t="s">
        <v>2148</v>
      </c>
      <c r="D2021" t="s">
        <v>2149</v>
      </c>
      <c r="E2021" t="s">
        <v>78</v>
      </c>
      <c r="F2021" t="s">
        <v>252</v>
      </c>
      <c r="G2021">
        <v>7.5758000000000001</v>
      </c>
      <c r="H2021">
        <v>-75.348600000000005</v>
      </c>
      <c r="I2021" t="s">
        <v>2150</v>
      </c>
      <c r="J2021">
        <v>11</v>
      </c>
      <c r="M2021">
        <v>193</v>
      </c>
      <c r="N2021">
        <v>49</v>
      </c>
      <c r="O2021">
        <v>28</v>
      </c>
      <c r="P2021">
        <v>48</v>
      </c>
      <c r="Q2021">
        <v>26</v>
      </c>
      <c r="R2021">
        <v>51</v>
      </c>
    </row>
    <row r="2022" spans="1:18" x14ac:dyDescent="0.25">
      <c r="A2022" t="s">
        <v>2160</v>
      </c>
      <c r="B2022" t="s">
        <v>55</v>
      </c>
      <c r="C2022" t="s">
        <v>2148</v>
      </c>
      <c r="D2022" t="s">
        <v>2149</v>
      </c>
      <c r="E2022" t="s">
        <v>78</v>
      </c>
      <c r="F2022" t="s">
        <v>252</v>
      </c>
      <c r="G2022">
        <v>7.5758000000000001</v>
      </c>
      <c r="H2022">
        <v>-75.348600000000005</v>
      </c>
      <c r="I2022" t="s">
        <v>2150</v>
      </c>
      <c r="J2022">
        <v>11</v>
      </c>
      <c r="M2022">
        <v>186</v>
      </c>
      <c r="N2022">
        <v>49</v>
      </c>
      <c r="O2022">
        <v>22</v>
      </c>
      <c r="P2022">
        <v>48</v>
      </c>
      <c r="Q2022">
        <v>26</v>
      </c>
      <c r="R2022">
        <v>51</v>
      </c>
    </row>
    <row r="2023" spans="1:18" x14ac:dyDescent="0.25">
      <c r="A2023" t="s">
        <v>2161</v>
      </c>
      <c r="B2023" t="s">
        <v>55</v>
      </c>
      <c r="C2023" t="s">
        <v>2148</v>
      </c>
      <c r="D2023" t="s">
        <v>2149</v>
      </c>
      <c r="E2023" t="s">
        <v>78</v>
      </c>
      <c r="F2023" t="s">
        <v>252</v>
      </c>
      <c r="G2023">
        <v>7.5758000000000001</v>
      </c>
      <c r="H2023">
        <v>-75.348600000000005</v>
      </c>
      <c r="I2023" t="s">
        <v>2150</v>
      </c>
      <c r="J2023">
        <v>11</v>
      </c>
      <c r="M2023">
        <v>185</v>
      </c>
      <c r="N2023">
        <v>54</v>
      </c>
      <c r="O2023">
        <v>38</v>
      </c>
      <c r="P2023">
        <v>40</v>
      </c>
      <c r="Q2023">
        <v>22</v>
      </c>
      <c r="R2023">
        <v>20</v>
      </c>
    </row>
    <row r="2024" spans="1:18" x14ac:dyDescent="0.25">
      <c r="A2024" t="s">
        <v>2162</v>
      </c>
      <c r="B2024" t="s">
        <v>55</v>
      </c>
      <c r="C2024" t="s">
        <v>2148</v>
      </c>
      <c r="D2024" t="s">
        <v>2149</v>
      </c>
      <c r="E2024" t="s">
        <v>78</v>
      </c>
      <c r="F2024" t="s">
        <v>252</v>
      </c>
      <c r="G2024">
        <v>7.5758000000000001</v>
      </c>
      <c r="H2024">
        <v>-75.348600000000005</v>
      </c>
      <c r="I2024" t="s">
        <v>2150</v>
      </c>
      <c r="J2024">
        <v>11</v>
      </c>
      <c r="M2024">
        <v>182</v>
      </c>
      <c r="N2024">
        <v>46</v>
      </c>
      <c r="O2024">
        <v>30</v>
      </c>
      <c r="P2024">
        <v>46</v>
      </c>
      <c r="Q2024">
        <v>22</v>
      </c>
      <c r="R2024">
        <v>38</v>
      </c>
    </row>
    <row r="2025" spans="1:18" x14ac:dyDescent="0.25">
      <c r="A2025" t="s">
        <v>2163</v>
      </c>
      <c r="B2025" t="s">
        <v>55</v>
      </c>
      <c r="C2025" t="s">
        <v>2148</v>
      </c>
      <c r="D2025" t="s">
        <v>2149</v>
      </c>
      <c r="E2025" t="s">
        <v>78</v>
      </c>
      <c r="F2025" t="s">
        <v>252</v>
      </c>
      <c r="G2025">
        <v>7.5758000000000001</v>
      </c>
      <c r="H2025">
        <v>-75.348600000000005</v>
      </c>
      <c r="I2025" t="s">
        <v>2150</v>
      </c>
      <c r="J2025">
        <v>11</v>
      </c>
      <c r="M2025">
        <v>180</v>
      </c>
      <c r="N2025">
        <v>46</v>
      </c>
      <c r="O2025">
        <v>22</v>
      </c>
      <c r="P2025">
        <v>44</v>
      </c>
      <c r="Q2025">
        <v>29</v>
      </c>
      <c r="R2025">
        <v>42</v>
      </c>
    </row>
    <row r="2026" spans="1:18" x14ac:dyDescent="0.25">
      <c r="A2026" t="s">
        <v>2164</v>
      </c>
      <c r="B2026" t="s">
        <v>55</v>
      </c>
      <c r="C2026" t="s">
        <v>2148</v>
      </c>
      <c r="D2026" t="s">
        <v>2149</v>
      </c>
      <c r="E2026" t="s">
        <v>78</v>
      </c>
      <c r="F2026" t="s">
        <v>252</v>
      </c>
      <c r="G2026">
        <v>7.5758000000000001</v>
      </c>
      <c r="H2026">
        <v>-75.348600000000005</v>
      </c>
      <c r="I2026" t="s">
        <v>2150</v>
      </c>
      <c r="J2026">
        <v>11</v>
      </c>
      <c r="M2026">
        <v>175</v>
      </c>
      <c r="N2026">
        <v>44</v>
      </c>
      <c r="O2026">
        <v>14</v>
      </c>
      <c r="P2026">
        <v>42</v>
      </c>
      <c r="Q2026">
        <v>36</v>
      </c>
      <c r="R2026">
        <v>47</v>
      </c>
    </row>
    <row r="2027" spans="1:18" x14ac:dyDescent="0.25">
      <c r="A2027" t="s">
        <v>2165</v>
      </c>
      <c r="B2027" t="s">
        <v>55</v>
      </c>
      <c r="C2027" t="s">
        <v>2148</v>
      </c>
      <c r="D2027" t="s">
        <v>2149</v>
      </c>
      <c r="E2027" t="s">
        <v>78</v>
      </c>
      <c r="F2027" t="s">
        <v>252</v>
      </c>
      <c r="G2027">
        <v>7.5758000000000001</v>
      </c>
      <c r="H2027">
        <v>-75.348600000000005</v>
      </c>
      <c r="I2027" t="s">
        <v>2150</v>
      </c>
      <c r="J2027">
        <v>11</v>
      </c>
      <c r="M2027">
        <v>174</v>
      </c>
      <c r="N2027">
        <v>34</v>
      </c>
      <c r="O2027">
        <v>24</v>
      </c>
      <c r="P2027">
        <v>50</v>
      </c>
      <c r="Q2027">
        <v>31</v>
      </c>
      <c r="R2027">
        <v>35</v>
      </c>
    </row>
    <row r="2028" spans="1:18" x14ac:dyDescent="0.25">
      <c r="A2028" t="s">
        <v>2166</v>
      </c>
      <c r="B2028" t="s">
        <v>55</v>
      </c>
      <c r="C2028" t="s">
        <v>2148</v>
      </c>
      <c r="D2028" t="s">
        <v>2149</v>
      </c>
      <c r="E2028" t="s">
        <v>78</v>
      </c>
      <c r="F2028" t="s">
        <v>252</v>
      </c>
      <c r="G2028">
        <v>7.5758000000000001</v>
      </c>
      <c r="H2028">
        <v>-75.348600000000005</v>
      </c>
      <c r="I2028" t="s">
        <v>2150</v>
      </c>
      <c r="J2028">
        <v>11</v>
      </c>
      <c r="M2028">
        <v>173</v>
      </c>
      <c r="N2028">
        <v>39</v>
      </c>
      <c r="O2028">
        <v>22</v>
      </c>
      <c r="P2028">
        <v>50</v>
      </c>
      <c r="Q2028">
        <v>28</v>
      </c>
      <c r="R2028">
        <v>35</v>
      </c>
    </row>
    <row r="2029" spans="1:18" x14ac:dyDescent="0.25">
      <c r="A2029" t="s">
        <v>2167</v>
      </c>
      <c r="B2029" t="s">
        <v>55</v>
      </c>
      <c r="C2029" t="s">
        <v>2148</v>
      </c>
      <c r="D2029" t="s">
        <v>2149</v>
      </c>
      <c r="E2029" t="s">
        <v>78</v>
      </c>
      <c r="F2029" t="s">
        <v>252</v>
      </c>
      <c r="G2029">
        <v>7.5758000000000001</v>
      </c>
      <c r="H2029">
        <v>-75.348600000000005</v>
      </c>
      <c r="I2029" t="s">
        <v>2150</v>
      </c>
      <c r="J2029">
        <v>11</v>
      </c>
      <c r="M2029">
        <v>172</v>
      </c>
      <c r="N2029">
        <v>29</v>
      </c>
      <c r="O2029">
        <v>32</v>
      </c>
      <c r="P2029">
        <v>50</v>
      </c>
      <c r="Q2029">
        <v>26</v>
      </c>
      <c r="R2029">
        <v>36</v>
      </c>
    </row>
    <row r="2030" spans="1:18" x14ac:dyDescent="0.25">
      <c r="A2030" t="s">
        <v>2168</v>
      </c>
      <c r="B2030" t="s">
        <v>55</v>
      </c>
      <c r="C2030" t="s">
        <v>2148</v>
      </c>
      <c r="D2030" t="s">
        <v>2149</v>
      </c>
      <c r="E2030" t="s">
        <v>78</v>
      </c>
      <c r="F2030" t="s">
        <v>252</v>
      </c>
      <c r="G2030">
        <v>7.5758000000000001</v>
      </c>
      <c r="H2030">
        <v>-75.348600000000005</v>
      </c>
      <c r="I2030" t="s">
        <v>2150</v>
      </c>
      <c r="J2030">
        <v>11</v>
      </c>
      <c r="M2030">
        <v>170</v>
      </c>
      <c r="N2030">
        <v>44</v>
      </c>
      <c r="O2030">
        <v>30</v>
      </c>
      <c r="P2030">
        <v>38</v>
      </c>
      <c r="Q2030">
        <v>24</v>
      </c>
      <c r="R2030">
        <v>35</v>
      </c>
    </row>
    <row r="2031" spans="1:18" x14ac:dyDescent="0.25">
      <c r="A2031" t="s">
        <v>2169</v>
      </c>
      <c r="B2031" t="s">
        <v>55</v>
      </c>
      <c r="C2031" t="s">
        <v>2148</v>
      </c>
      <c r="D2031" t="s">
        <v>2149</v>
      </c>
      <c r="E2031" t="s">
        <v>78</v>
      </c>
      <c r="F2031" t="s">
        <v>252</v>
      </c>
      <c r="G2031">
        <v>7.5758000000000001</v>
      </c>
      <c r="H2031">
        <v>-75.348600000000005</v>
      </c>
      <c r="I2031" t="s">
        <v>2150</v>
      </c>
      <c r="J2031">
        <v>11</v>
      </c>
      <c r="M2031">
        <v>170</v>
      </c>
      <c r="N2031">
        <v>39</v>
      </c>
      <c r="O2031">
        <v>26</v>
      </c>
      <c r="P2031">
        <v>40</v>
      </c>
      <c r="Q2031">
        <v>28</v>
      </c>
      <c r="R2031">
        <v>44</v>
      </c>
    </row>
    <row r="2032" spans="1:18" x14ac:dyDescent="0.25">
      <c r="A2032" t="s">
        <v>2170</v>
      </c>
      <c r="B2032" t="s">
        <v>55</v>
      </c>
      <c r="C2032" t="s">
        <v>2148</v>
      </c>
      <c r="D2032" t="s">
        <v>2149</v>
      </c>
      <c r="E2032" t="s">
        <v>78</v>
      </c>
      <c r="F2032" t="s">
        <v>252</v>
      </c>
      <c r="G2032">
        <v>7.5758000000000001</v>
      </c>
      <c r="H2032">
        <v>-75.348600000000005</v>
      </c>
      <c r="I2032" t="s">
        <v>2150</v>
      </c>
      <c r="J2032">
        <v>11</v>
      </c>
      <c r="M2032">
        <v>170</v>
      </c>
      <c r="N2032">
        <v>37</v>
      </c>
      <c r="O2032">
        <v>24</v>
      </c>
      <c r="P2032">
        <v>38</v>
      </c>
      <c r="Q2032">
        <v>36</v>
      </c>
      <c r="R2032">
        <v>36</v>
      </c>
    </row>
    <row r="2033" spans="1:18" x14ac:dyDescent="0.25">
      <c r="A2033" t="s">
        <v>2171</v>
      </c>
      <c r="B2033" t="s">
        <v>55</v>
      </c>
      <c r="C2033" t="s">
        <v>2148</v>
      </c>
      <c r="D2033" t="s">
        <v>2149</v>
      </c>
      <c r="E2033" t="s">
        <v>78</v>
      </c>
      <c r="F2033" t="s">
        <v>252</v>
      </c>
      <c r="G2033">
        <v>7.5758000000000001</v>
      </c>
      <c r="H2033">
        <v>-75.348600000000005</v>
      </c>
      <c r="I2033" t="s">
        <v>2150</v>
      </c>
      <c r="J2033">
        <v>11</v>
      </c>
      <c r="M2033">
        <v>168</v>
      </c>
      <c r="N2033">
        <v>32</v>
      </c>
      <c r="O2033">
        <v>26</v>
      </c>
      <c r="P2033">
        <v>48</v>
      </c>
      <c r="Q2033">
        <v>29</v>
      </c>
      <c r="R2033">
        <v>33</v>
      </c>
    </row>
    <row r="2034" spans="1:18" x14ac:dyDescent="0.25">
      <c r="A2034" t="s">
        <v>2172</v>
      </c>
      <c r="B2034" t="s">
        <v>55</v>
      </c>
      <c r="C2034" t="s">
        <v>2148</v>
      </c>
      <c r="D2034" t="s">
        <v>2149</v>
      </c>
      <c r="E2034" t="s">
        <v>78</v>
      </c>
      <c r="F2034" t="s">
        <v>252</v>
      </c>
      <c r="G2034">
        <v>7.5758000000000001</v>
      </c>
      <c r="H2034">
        <v>-75.348600000000005</v>
      </c>
      <c r="I2034" t="s">
        <v>2150</v>
      </c>
      <c r="J2034">
        <v>11</v>
      </c>
      <c r="M2034">
        <v>168</v>
      </c>
      <c r="N2034">
        <v>34</v>
      </c>
      <c r="O2034">
        <v>24</v>
      </c>
      <c r="P2034">
        <v>52</v>
      </c>
      <c r="Q2034">
        <v>26</v>
      </c>
      <c r="R2034">
        <v>29</v>
      </c>
    </row>
    <row r="2035" spans="1:18" x14ac:dyDescent="0.25">
      <c r="A2035" t="s">
        <v>2173</v>
      </c>
      <c r="B2035" t="s">
        <v>55</v>
      </c>
      <c r="C2035" t="s">
        <v>2148</v>
      </c>
      <c r="D2035" t="s">
        <v>2149</v>
      </c>
      <c r="E2035" t="s">
        <v>78</v>
      </c>
      <c r="F2035" t="s">
        <v>252</v>
      </c>
      <c r="G2035">
        <v>7.5758000000000001</v>
      </c>
      <c r="H2035">
        <v>-75.348600000000005</v>
      </c>
      <c r="I2035" t="s">
        <v>2150</v>
      </c>
      <c r="J2035">
        <v>11</v>
      </c>
      <c r="M2035">
        <v>167</v>
      </c>
      <c r="N2035">
        <v>41</v>
      </c>
      <c r="O2035">
        <v>20</v>
      </c>
      <c r="P2035">
        <v>40</v>
      </c>
      <c r="Q2035">
        <v>31</v>
      </c>
      <c r="R2035">
        <v>36</v>
      </c>
    </row>
    <row r="2036" spans="1:18" x14ac:dyDescent="0.25">
      <c r="A2036" t="s">
        <v>2174</v>
      </c>
      <c r="B2036" t="s">
        <v>55</v>
      </c>
      <c r="C2036" t="s">
        <v>2148</v>
      </c>
      <c r="D2036" t="s">
        <v>2149</v>
      </c>
      <c r="E2036" t="s">
        <v>78</v>
      </c>
      <c r="F2036" t="s">
        <v>252</v>
      </c>
      <c r="G2036">
        <v>7.5758000000000001</v>
      </c>
      <c r="H2036">
        <v>-75.348600000000005</v>
      </c>
      <c r="I2036" t="s">
        <v>2150</v>
      </c>
      <c r="J2036">
        <v>11</v>
      </c>
      <c r="M2036">
        <v>166</v>
      </c>
      <c r="N2036">
        <v>32</v>
      </c>
      <c r="O2036">
        <v>28</v>
      </c>
      <c r="P2036">
        <v>38</v>
      </c>
      <c r="Q2036">
        <v>36</v>
      </c>
      <c r="R2036">
        <v>31</v>
      </c>
    </row>
    <row r="2037" spans="1:18" x14ac:dyDescent="0.25">
      <c r="A2037" t="s">
        <v>2175</v>
      </c>
      <c r="B2037" t="s">
        <v>55</v>
      </c>
      <c r="C2037" t="s">
        <v>2148</v>
      </c>
      <c r="D2037" t="s">
        <v>2149</v>
      </c>
      <c r="E2037" t="s">
        <v>78</v>
      </c>
      <c r="F2037" t="s">
        <v>252</v>
      </c>
      <c r="G2037">
        <v>7.5758000000000001</v>
      </c>
      <c r="H2037">
        <v>-75.348600000000005</v>
      </c>
      <c r="I2037" t="s">
        <v>2150</v>
      </c>
      <c r="J2037">
        <v>11</v>
      </c>
      <c r="M2037">
        <v>166</v>
      </c>
      <c r="N2037">
        <v>39</v>
      </c>
      <c r="O2037">
        <v>24</v>
      </c>
      <c r="P2037">
        <v>36</v>
      </c>
      <c r="Q2037">
        <v>34</v>
      </c>
      <c r="R2037">
        <v>31</v>
      </c>
    </row>
    <row r="2038" spans="1:18" x14ac:dyDescent="0.25">
      <c r="A2038" t="s">
        <v>2176</v>
      </c>
      <c r="B2038" t="s">
        <v>55</v>
      </c>
      <c r="C2038" t="s">
        <v>2148</v>
      </c>
      <c r="D2038" t="s">
        <v>2149</v>
      </c>
      <c r="E2038" t="s">
        <v>78</v>
      </c>
      <c r="F2038" t="s">
        <v>252</v>
      </c>
      <c r="G2038">
        <v>7.5758000000000001</v>
      </c>
      <c r="H2038">
        <v>-75.348600000000005</v>
      </c>
      <c r="I2038" t="s">
        <v>2150</v>
      </c>
      <c r="J2038">
        <v>11</v>
      </c>
      <c r="M2038">
        <v>165</v>
      </c>
      <c r="N2038">
        <v>41</v>
      </c>
      <c r="O2038">
        <v>26</v>
      </c>
      <c r="P2038">
        <v>36</v>
      </c>
      <c r="Q2038">
        <v>29</v>
      </c>
      <c r="R2038">
        <v>31</v>
      </c>
    </row>
    <row r="2039" spans="1:18" x14ac:dyDescent="0.25">
      <c r="A2039" t="s">
        <v>2177</v>
      </c>
      <c r="B2039" t="s">
        <v>55</v>
      </c>
      <c r="C2039" t="s">
        <v>2148</v>
      </c>
      <c r="D2039" t="s">
        <v>2149</v>
      </c>
      <c r="E2039" t="s">
        <v>78</v>
      </c>
      <c r="F2039" t="s">
        <v>252</v>
      </c>
      <c r="G2039">
        <v>7.5758000000000001</v>
      </c>
      <c r="H2039">
        <v>-75.348600000000005</v>
      </c>
      <c r="I2039" t="s">
        <v>2150</v>
      </c>
      <c r="J2039">
        <v>11</v>
      </c>
      <c r="M2039">
        <v>161</v>
      </c>
      <c r="N2039">
        <v>37</v>
      </c>
      <c r="O2039">
        <v>28</v>
      </c>
      <c r="P2039">
        <v>42</v>
      </c>
      <c r="Q2039">
        <v>24</v>
      </c>
      <c r="R2039">
        <v>25</v>
      </c>
    </row>
    <row r="2040" spans="1:18" x14ac:dyDescent="0.25">
      <c r="A2040" t="s">
        <v>2178</v>
      </c>
      <c r="B2040" t="s">
        <v>55</v>
      </c>
      <c r="C2040" t="s">
        <v>2148</v>
      </c>
      <c r="D2040" t="s">
        <v>2149</v>
      </c>
      <c r="E2040" t="s">
        <v>78</v>
      </c>
      <c r="F2040" t="s">
        <v>252</v>
      </c>
      <c r="G2040">
        <v>7.5758000000000001</v>
      </c>
      <c r="H2040">
        <v>-75.348600000000005</v>
      </c>
      <c r="I2040" t="s">
        <v>2150</v>
      </c>
      <c r="J2040">
        <v>11</v>
      </c>
      <c r="M2040">
        <v>160</v>
      </c>
      <c r="N2040">
        <v>39</v>
      </c>
      <c r="O2040">
        <v>24</v>
      </c>
      <c r="P2040">
        <v>34</v>
      </c>
      <c r="Q2040">
        <v>31</v>
      </c>
      <c r="R2040">
        <v>31</v>
      </c>
    </row>
    <row r="2041" spans="1:18" x14ac:dyDescent="0.25">
      <c r="A2041" t="s">
        <v>2179</v>
      </c>
      <c r="B2041" t="s">
        <v>55</v>
      </c>
      <c r="C2041" t="s">
        <v>2148</v>
      </c>
      <c r="D2041" t="s">
        <v>2149</v>
      </c>
      <c r="E2041" t="s">
        <v>78</v>
      </c>
      <c r="F2041" t="s">
        <v>252</v>
      </c>
      <c r="G2041">
        <v>7.5758000000000001</v>
      </c>
      <c r="H2041">
        <v>-75.348600000000005</v>
      </c>
      <c r="I2041" t="s">
        <v>2150</v>
      </c>
      <c r="J2041">
        <v>11</v>
      </c>
      <c r="M2041">
        <v>159</v>
      </c>
      <c r="N2041">
        <v>32</v>
      </c>
      <c r="O2041">
        <v>20</v>
      </c>
      <c r="P2041">
        <v>42</v>
      </c>
      <c r="Q2041">
        <v>29</v>
      </c>
      <c r="R2041">
        <v>44</v>
      </c>
    </row>
    <row r="2042" spans="1:18" x14ac:dyDescent="0.25">
      <c r="A2042" t="s">
        <v>2180</v>
      </c>
      <c r="B2042" t="s">
        <v>55</v>
      </c>
      <c r="C2042" t="s">
        <v>2148</v>
      </c>
      <c r="D2042" t="s">
        <v>2149</v>
      </c>
      <c r="E2042" t="s">
        <v>78</v>
      </c>
      <c r="F2042" t="s">
        <v>252</v>
      </c>
      <c r="G2042">
        <v>7.5758000000000001</v>
      </c>
      <c r="H2042">
        <v>-75.348600000000005</v>
      </c>
      <c r="I2042" t="s">
        <v>2150</v>
      </c>
      <c r="J2042">
        <v>11</v>
      </c>
      <c r="M2042">
        <v>157</v>
      </c>
      <c r="N2042">
        <v>41</v>
      </c>
      <c r="O2042">
        <v>24</v>
      </c>
      <c r="P2042">
        <v>24</v>
      </c>
      <c r="Q2042">
        <v>34</v>
      </c>
      <c r="R2042">
        <v>36</v>
      </c>
    </row>
    <row r="2043" spans="1:18" x14ac:dyDescent="0.25">
      <c r="A2043" t="s">
        <v>2181</v>
      </c>
      <c r="B2043" t="s">
        <v>55</v>
      </c>
      <c r="C2043" t="s">
        <v>2148</v>
      </c>
      <c r="D2043" t="s">
        <v>2149</v>
      </c>
      <c r="E2043" t="s">
        <v>78</v>
      </c>
      <c r="F2043" t="s">
        <v>252</v>
      </c>
      <c r="G2043">
        <v>7.5758000000000001</v>
      </c>
      <c r="H2043">
        <v>-75.348600000000005</v>
      </c>
      <c r="I2043" t="s">
        <v>2150</v>
      </c>
      <c r="J2043">
        <v>11</v>
      </c>
      <c r="M2043">
        <v>156</v>
      </c>
      <c r="N2043">
        <v>37</v>
      </c>
      <c r="O2043">
        <v>28</v>
      </c>
      <c r="P2043">
        <v>46</v>
      </c>
      <c r="Q2043">
        <v>14</v>
      </c>
      <c r="R2043">
        <v>33</v>
      </c>
    </row>
    <row r="2044" spans="1:18" x14ac:dyDescent="0.25">
      <c r="A2044" t="s">
        <v>2182</v>
      </c>
      <c r="B2044" t="s">
        <v>55</v>
      </c>
      <c r="C2044" t="s">
        <v>2148</v>
      </c>
      <c r="D2044" t="s">
        <v>2149</v>
      </c>
      <c r="E2044" t="s">
        <v>78</v>
      </c>
      <c r="F2044" t="s">
        <v>252</v>
      </c>
      <c r="G2044">
        <v>7.5758000000000001</v>
      </c>
      <c r="H2044">
        <v>-75.348600000000005</v>
      </c>
      <c r="I2044" t="s">
        <v>2150</v>
      </c>
      <c r="J2044">
        <v>11</v>
      </c>
      <c r="M2044">
        <v>154</v>
      </c>
      <c r="N2044">
        <v>27</v>
      </c>
      <c r="O2044">
        <v>26</v>
      </c>
      <c r="P2044">
        <v>40</v>
      </c>
      <c r="Q2044">
        <v>29</v>
      </c>
      <c r="R2044">
        <v>35</v>
      </c>
    </row>
    <row r="2045" spans="1:18" x14ac:dyDescent="0.25">
      <c r="A2045" t="s">
        <v>2183</v>
      </c>
      <c r="B2045" t="s">
        <v>55</v>
      </c>
      <c r="C2045" t="s">
        <v>2148</v>
      </c>
      <c r="D2045" t="s">
        <v>2149</v>
      </c>
      <c r="E2045" t="s">
        <v>78</v>
      </c>
      <c r="F2045" t="s">
        <v>252</v>
      </c>
      <c r="G2045">
        <v>7.5758000000000001</v>
      </c>
      <c r="H2045">
        <v>-75.348600000000005</v>
      </c>
      <c r="I2045" t="s">
        <v>2150</v>
      </c>
      <c r="J2045">
        <v>11</v>
      </c>
      <c r="M2045">
        <v>153</v>
      </c>
      <c r="N2045">
        <v>32</v>
      </c>
      <c r="O2045">
        <v>34</v>
      </c>
      <c r="P2045">
        <v>34</v>
      </c>
      <c r="Q2045">
        <v>24</v>
      </c>
      <c r="R2045">
        <v>27</v>
      </c>
    </row>
    <row r="2046" spans="1:18" x14ac:dyDescent="0.25">
      <c r="A2046" t="s">
        <v>2184</v>
      </c>
      <c r="B2046" t="s">
        <v>55</v>
      </c>
      <c r="C2046" t="s">
        <v>2148</v>
      </c>
      <c r="D2046" t="s">
        <v>2149</v>
      </c>
      <c r="E2046" t="s">
        <v>78</v>
      </c>
      <c r="F2046" t="s">
        <v>252</v>
      </c>
      <c r="G2046">
        <v>7.5758000000000001</v>
      </c>
      <c r="H2046">
        <v>-75.348600000000005</v>
      </c>
      <c r="I2046" t="s">
        <v>2150</v>
      </c>
      <c r="J2046">
        <v>11</v>
      </c>
      <c r="M2046">
        <v>150</v>
      </c>
      <c r="N2046">
        <v>41</v>
      </c>
      <c r="O2046">
        <v>28</v>
      </c>
      <c r="P2046">
        <v>18</v>
      </c>
      <c r="Q2046">
        <v>28</v>
      </c>
      <c r="R2046">
        <v>44</v>
      </c>
    </row>
    <row r="2047" spans="1:18" x14ac:dyDescent="0.25">
      <c r="A2047" t="s">
        <v>2185</v>
      </c>
      <c r="B2047" t="s">
        <v>55</v>
      </c>
      <c r="C2047" t="s">
        <v>2148</v>
      </c>
      <c r="D2047" t="s">
        <v>2149</v>
      </c>
      <c r="E2047" t="s">
        <v>78</v>
      </c>
      <c r="F2047" t="s">
        <v>252</v>
      </c>
      <c r="G2047">
        <v>7.5758000000000001</v>
      </c>
      <c r="H2047">
        <v>-75.348600000000005</v>
      </c>
      <c r="I2047" t="s">
        <v>2150</v>
      </c>
      <c r="J2047">
        <v>11</v>
      </c>
      <c r="M2047">
        <v>149</v>
      </c>
      <c r="N2047">
        <v>34</v>
      </c>
      <c r="O2047">
        <v>12</v>
      </c>
      <c r="P2047">
        <v>48</v>
      </c>
      <c r="Q2047">
        <v>26</v>
      </c>
      <c r="R2047">
        <v>27</v>
      </c>
    </row>
    <row r="2048" spans="1:18" x14ac:dyDescent="0.25">
      <c r="A2048" t="s">
        <v>2186</v>
      </c>
      <c r="B2048" t="s">
        <v>55</v>
      </c>
      <c r="C2048" t="s">
        <v>2148</v>
      </c>
      <c r="D2048" t="s">
        <v>2149</v>
      </c>
      <c r="E2048" t="s">
        <v>78</v>
      </c>
      <c r="F2048" t="s">
        <v>252</v>
      </c>
      <c r="G2048">
        <v>7.5758000000000001</v>
      </c>
      <c r="H2048">
        <v>-75.348600000000005</v>
      </c>
      <c r="I2048" t="s">
        <v>2150</v>
      </c>
      <c r="J2048">
        <v>11</v>
      </c>
      <c r="M2048">
        <v>149</v>
      </c>
      <c r="N2048">
        <v>24</v>
      </c>
      <c r="O2048">
        <v>30</v>
      </c>
      <c r="P2048">
        <v>38</v>
      </c>
      <c r="Q2048">
        <v>29</v>
      </c>
      <c r="R2048">
        <v>22</v>
      </c>
    </row>
    <row r="2049" spans="1:18" x14ac:dyDescent="0.25">
      <c r="A2049" t="s">
        <v>2187</v>
      </c>
      <c r="B2049" t="s">
        <v>55</v>
      </c>
      <c r="C2049" t="s">
        <v>2148</v>
      </c>
      <c r="D2049" t="s">
        <v>2149</v>
      </c>
      <c r="E2049" t="s">
        <v>78</v>
      </c>
      <c r="F2049" t="s">
        <v>252</v>
      </c>
      <c r="G2049">
        <v>7.5758000000000001</v>
      </c>
      <c r="H2049">
        <v>-75.348600000000005</v>
      </c>
      <c r="I2049" t="s">
        <v>2150</v>
      </c>
      <c r="J2049">
        <v>11</v>
      </c>
      <c r="M2049">
        <v>147</v>
      </c>
      <c r="N2049">
        <v>32</v>
      </c>
      <c r="O2049">
        <v>28</v>
      </c>
      <c r="P2049">
        <v>24</v>
      </c>
      <c r="Q2049">
        <v>34</v>
      </c>
      <c r="R2049">
        <v>27</v>
      </c>
    </row>
    <row r="2050" spans="1:18" x14ac:dyDescent="0.25">
      <c r="A2050" t="s">
        <v>2188</v>
      </c>
      <c r="B2050" t="s">
        <v>55</v>
      </c>
      <c r="C2050" t="s">
        <v>2148</v>
      </c>
      <c r="D2050" t="s">
        <v>2149</v>
      </c>
      <c r="E2050" t="s">
        <v>78</v>
      </c>
      <c r="F2050" t="s">
        <v>252</v>
      </c>
      <c r="G2050">
        <v>7.5758000000000001</v>
      </c>
      <c r="H2050">
        <v>-75.348600000000005</v>
      </c>
      <c r="I2050" t="s">
        <v>2150</v>
      </c>
      <c r="J2050">
        <v>11</v>
      </c>
      <c r="M2050">
        <v>146</v>
      </c>
      <c r="N2050">
        <v>37</v>
      </c>
      <c r="O2050">
        <v>18</v>
      </c>
      <c r="P2050">
        <v>24</v>
      </c>
      <c r="Q2050">
        <v>36</v>
      </c>
      <c r="R2050">
        <v>36</v>
      </c>
    </row>
    <row r="2051" spans="1:18" x14ac:dyDescent="0.25">
      <c r="A2051" t="s">
        <v>2189</v>
      </c>
      <c r="B2051" t="s">
        <v>55</v>
      </c>
      <c r="C2051" t="s">
        <v>2148</v>
      </c>
      <c r="D2051" t="s">
        <v>2149</v>
      </c>
      <c r="E2051" t="s">
        <v>78</v>
      </c>
      <c r="F2051" t="s">
        <v>252</v>
      </c>
      <c r="G2051">
        <v>7.5758000000000001</v>
      </c>
      <c r="H2051">
        <v>-75.348600000000005</v>
      </c>
      <c r="I2051" t="s">
        <v>2150</v>
      </c>
      <c r="J2051">
        <v>11</v>
      </c>
      <c r="M2051">
        <v>142</v>
      </c>
      <c r="N2051">
        <v>44</v>
      </c>
      <c r="O2051">
        <v>24</v>
      </c>
      <c r="P2051">
        <v>26</v>
      </c>
      <c r="Q2051">
        <v>21</v>
      </c>
      <c r="R2051">
        <v>25</v>
      </c>
    </row>
    <row r="2052" spans="1:18" x14ac:dyDescent="0.25">
      <c r="A2052" t="s">
        <v>2190</v>
      </c>
      <c r="B2052" t="s">
        <v>55</v>
      </c>
      <c r="C2052" t="s">
        <v>2148</v>
      </c>
      <c r="D2052" t="s">
        <v>2149</v>
      </c>
      <c r="E2052" t="s">
        <v>78</v>
      </c>
      <c r="F2052" t="s">
        <v>252</v>
      </c>
      <c r="G2052">
        <v>7.5758000000000001</v>
      </c>
      <c r="H2052">
        <v>-75.348600000000005</v>
      </c>
      <c r="I2052" t="s">
        <v>2150</v>
      </c>
      <c r="J2052">
        <v>11</v>
      </c>
      <c r="M2052">
        <v>141</v>
      </c>
      <c r="N2052">
        <v>34</v>
      </c>
      <c r="O2052">
        <v>16</v>
      </c>
      <c r="P2052">
        <v>30</v>
      </c>
      <c r="Q2052">
        <v>26</v>
      </c>
      <c r="R2052">
        <v>49</v>
      </c>
    </row>
    <row r="2053" spans="1:18" x14ac:dyDescent="0.25">
      <c r="A2053" t="s">
        <v>2191</v>
      </c>
      <c r="B2053" t="s">
        <v>55</v>
      </c>
      <c r="C2053" t="s">
        <v>2148</v>
      </c>
      <c r="D2053" t="s">
        <v>2149</v>
      </c>
      <c r="E2053" t="s">
        <v>78</v>
      </c>
      <c r="F2053" t="s">
        <v>252</v>
      </c>
      <c r="G2053">
        <v>7.5758000000000001</v>
      </c>
      <c r="H2053">
        <v>-75.348600000000005</v>
      </c>
      <c r="I2053" t="s">
        <v>2150</v>
      </c>
      <c r="J2053">
        <v>11</v>
      </c>
      <c r="M2053">
        <v>141</v>
      </c>
      <c r="N2053">
        <v>39</v>
      </c>
      <c r="O2053">
        <v>32</v>
      </c>
      <c r="P2053">
        <v>32</v>
      </c>
      <c r="Q2053">
        <v>12</v>
      </c>
      <c r="R2053">
        <v>22</v>
      </c>
    </row>
    <row r="2054" spans="1:18" x14ac:dyDescent="0.25">
      <c r="A2054" t="s">
        <v>2192</v>
      </c>
      <c r="B2054" t="s">
        <v>55</v>
      </c>
      <c r="C2054" t="s">
        <v>2148</v>
      </c>
      <c r="D2054" t="s">
        <v>2149</v>
      </c>
      <c r="E2054" t="s">
        <v>78</v>
      </c>
      <c r="F2054" t="s">
        <v>252</v>
      </c>
      <c r="G2054">
        <v>7.5758000000000001</v>
      </c>
      <c r="H2054">
        <v>-75.348600000000005</v>
      </c>
      <c r="I2054" t="s">
        <v>2150</v>
      </c>
      <c r="J2054">
        <v>11</v>
      </c>
      <c r="M2054">
        <v>140</v>
      </c>
      <c r="N2054">
        <v>34</v>
      </c>
      <c r="O2054">
        <v>22</v>
      </c>
      <c r="P2054">
        <v>32</v>
      </c>
      <c r="Q2054">
        <v>21</v>
      </c>
      <c r="R2054">
        <v>36</v>
      </c>
    </row>
    <row r="2055" spans="1:18" x14ac:dyDescent="0.25">
      <c r="A2055" t="s">
        <v>2193</v>
      </c>
      <c r="B2055" t="s">
        <v>55</v>
      </c>
      <c r="C2055" t="s">
        <v>2148</v>
      </c>
      <c r="D2055" t="s">
        <v>2149</v>
      </c>
      <c r="E2055" t="s">
        <v>78</v>
      </c>
      <c r="F2055" t="s">
        <v>252</v>
      </c>
      <c r="G2055">
        <v>7.5758000000000001</v>
      </c>
      <c r="H2055">
        <v>-75.348600000000005</v>
      </c>
      <c r="I2055" t="s">
        <v>2150</v>
      </c>
      <c r="J2055">
        <v>11</v>
      </c>
      <c r="M2055">
        <v>139</v>
      </c>
      <c r="N2055">
        <v>22</v>
      </c>
      <c r="O2055">
        <v>24</v>
      </c>
      <c r="P2055">
        <v>32</v>
      </c>
      <c r="Q2055">
        <v>36</v>
      </c>
      <c r="R2055">
        <v>20</v>
      </c>
    </row>
    <row r="2056" spans="1:18" x14ac:dyDescent="0.25">
      <c r="A2056" t="s">
        <v>2194</v>
      </c>
      <c r="B2056" t="s">
        <v>55</v>
      </c>
      <c r="C2056" t="s">
        <v>2148</v>
      </c>
      <c r="D2056" t="s">
        <v>2149</v>
      </c>
      <c r="E2056" t="s">
        <v>78</v>
      </c>
      <c r="F2056" t="s">
        <v>252</v>
      </c>
      <c r="G2056">
        <v>7.5758000000000001</v>
      </c>
      <c r="H2056">
        <v>-75.348600000000005</v>
      </c>
      <c r="I2056" t="s">
        <v>2150</v>
      </c>
      <c r="J2056">
        <v>11</v>
      </c>
      <c r="M2056">
        <v>138</v>
      </c>
      <c r="N2056">
        <v>29</v>
      </c>
      <c r="O2056">
        <v>28</v>
      </c>
      <c r="P2056">
        <v>32</v>
      </c>
      <c r="Q2056">
        <v>22</v>
      </c>
      <c r="R2056">
        <v>24</v>
      </c>
    </row>
    <row r="2057" spans="1:18" x14ac:dyDescent="0.25">
      <c r="A2057" t="s">
        <v>2195</v>
      </c>
      <c r="B2057" t="s">
        <v>55</v>
      </c>
      <c r="C2057" t="s">
        <v>2148</v>
      </c>
      <c r="D2057" t="s">
        <v>2149</v>
      </c>
      <c r="E2057" t="s">
        <v>78</v>
      </c>
      <c r="F2057" t="s">
        <v>252</v>
      </c>
      <c r="G2057">
        <v>7.5758000000000001</v>
      </c>
      <c r="H2057">
        <v>-75.348600000000005</v>
      </c>
      <c r="I2057" t="s">
        <v>2150</v>
      </c>
      <c r="J2057">
        <v>11</v>
      </c>
      <c r="M2057">
        <v>138</v>
      </c>
      <c r="N2057">
        <v>34</v>
      </c>
      <c r="O2057">
        <v>18</v>
      </c>
      <c r="P2057">
        <v>30</v>
      </c>
      <c r="Q2057">
        <v>26</v>
      </c>
      <c r="R2057">
        <v>35</v>
      </c>
    </row>
    <row r="2058" spans="1:18" x14ac:dyDescent="0.25">
      <c r="A2058" t="s">
        <v>2196</v>
      </c>
      <c r="B2058" t="s">
        <v>55</v>
      </c>
      <c r="C2058" t="s">
        <v>2148</v>
      </c>
      <c r="D2058" t="s">
        <v>2149</v>
      </c>
      <c r="E2058" t="s">
        <v>78</v>
      </c>
      <c r="F2058" t="s">
        <v>252</v>
      </c>
      <c r="G2058">
        <v>7.5758000000000001</v>
      </c>
      <c r="H2058">
        <v>-75.348600000000005</v>
      </c>
      <c r="I2058" t="s">
        <v>2150</v>
      </c>
      <c r="J2058">
        <v>11</v>
      </c>
      <c r="M2058">
        <v>138</v>
      </c>
      <c r="N2058">
        <v>32</v>
      </c>
      <c r="O2058">
        <v>28</v>
      </c>
      <c r="P2058">
        <v>22</v>
      </c>
      <c r="Q2058">
        <v>19</v>
      </c>
      <c r="R2058">
        <v>56</v>
      </c>
    </row>
    <row r="2059" spans="1:18" x14ac:dyDescent="0.25">
      <c r="A2059" t="s">
        <v>2197</v>
      </c>
      <c r="B2059" t="s">
        <v>55</v>
      </c>
      <c r="C2059" t="s">
        <v>2148</v>
      </c>
      <c r="D2059" t="s">
        <v>2149</v>
      </c>
      <c r="E2059" t="s">
        <v>78</v>
      </c>
      <c r="F2059" t="s">
        <v>252</v>
      </c>
      <c r="G2059">
        <v>7.5758000000000001</v>
      </c>
      <c r="H2059">
        <v>-75.348600000000005</v>
      </c>
      <c r="I2059" t="s">
        <v>2150</v>
      </c>
      <c r="J2059">
        <v>11</v>
      </c>
      <c r="M2059">
        <v>136</v>
      </c>
      <c r="N2059">
        <v>37</v>
      </c>
      <c r="O2059">
        <v>22</v>
      </c>
      <c r="P2059">
        <v>32</v>
      </c>
      <c r="Q2059">
        <v>19</v>
      </c>
      <c r="R2059">
        <v>25</v>
      </c>
    </row>
    <row r="2060" spans="1:18" x14ac:dyDescent="0.25">
      <c r="A2060" t="s">
        <v>2198</v>
      </c>
      <c r="B2060" t="s">
        <v>55</v>
      </c>
      <c r="C2060" t="s">
        <v>2148</v>
      </c>
      <c r="D2060" t="s">
        <v>2149</v>
      </c>
      <c r="E2060" t="s">
        <v>78</v>
      </c>
      <c r="F2060" t="s">
        <v>252</v>
      </c>
      <c r="G2060">
        <v>7.5758000000000001</v>
      </c>
      <c r="H2060">
        <v>-75.348600000000005</v>
      </c>
      <c r="I2060" t="s">
        <v>2150</v>
      </c>
      <c r="J2060">
        <v>11</v>
      </c>
      <c r="M2060">
        <v>132</v>
      </c>
      <c r="N2060">
        <v>24</v>
      </c>
      <c r="O2060">
        <v>28</v>
      </c>
      <c r="P2060">
        <v>26</v>
      </c>
      <c r="Q2060">
        <v>24</v>
      </c>
      <c r="R2060">
        <v>35</v>
      </c>
    </row>
    <row r="2061" spans="1:18" x14ac:dyDescent="0.25">
      <c r="A2061" t="s">
        <v>2199</v>
      </c>
      <c r="B2061" t="s">
        <v>55</v>
      </c>
      <c r="C2061" t="s">
        <v>2148</v>
      </c>
      <c r="D2061" t="s">
        <v>2149</v>
      </c>
      <c r="E2061" t="s">
        <v>78</v>
      </c>
      <c r="F2061" t="s">
        <v>252</v>
      </c>
      <c r="G2061">
        <v>7.5758000000000001</v>
      </c>
      <c r="H2061">
        <v>-75.348600000000005</v>
      </c>
      <c r="I2061" t="s">
        <v>2150</v>
      </c>
      <c r="J2061">
        <v>11</v>
      </c>
      <c r="M2061">
        <v>128</v>
      </c>
      <c r="N2061">
        <v>32</v>
      </c>
      <c r="O2061">
        <v>26</v>
      </c>
      <c r="P2061">
        <v>26</v>
      </c>
      <c r="Q2061">
        <v>17</v>
      </c>
      <c r="R2061">
        <v>31</v>
      </c>
    </row>
    <row r="2062" spans="1:18" x14ac:dyDescent="0.25">
      <c r="A2062" t="s">
        <v>2200</v>
      </c>
      <c r="B2062" t="s">
        <v>55</v>
      </c>
      <c r="C2062" t="s">
        <v>2148</v>
      </c>
      <c r="D2062" t="s">
        <v>2149</v>
      </c>
      <c r="E2062" t="s">
        <v>78</v>
      </c>
      <c r="F2062" t="s">
        <v>252</v>
      </c>
      <c r="G2062">
        <v>7.5758000000000001</v>
      </c>
      <c r="H2062">
        <v>-75.348600000000005</v>
      </c>
      <c r="I2062" t="s">
        <v>2150</v>
      </c>
      <c r="J2062">
        <v>11</v>
      </c>
      <c r="M2062">
        <v>127</v>
      </c>
      <c r="N2062">
        <v>15</v>
      </c>
      <c r="O2062">
        <v>34</v>
      </c>
      <c r="P2062">
        <v>30</v>
      </c>
      <c r="Q2062">
        <v>22</v>
      </c>
      <c r="R2062">
        <v>27</v>
      </c>
    </row>
    <row r="2063" spans="1:18" x14ac:dyDescent="0.25">
      <c r="A2063" t="s">
        <v>2201</v>
      </c>
      <c r="B2063" t="s">
        <v>55</v>
      </c>
      <c r="C2063" t="s">
        <v>2148</v>
      </c>
      <c r="D2063" t="s">
        <v>2149</v>
      </c>
      <c r="E2063" t="s">
        <v>78</v>
      </c>
      <c r="F2063" t="s">
        <v>252</v>
      </c>
      <c r="G2063">
        <v>7.5758000000000001</v>
      </c>
      <c r="H2063">
        <v>-75.348600000000005</v>
      </c>
      <c r="I2063" t="s">
        <v>2150</v>
      </c>
      <c r="J2063">
        <v>11</v>
      </c>
      <c r="M2063">
        <v>126</v>
      </c>
      <c r="N2063">
        <v>27</v>
      </c>
      <c r="O2063">
        <v>26</v>
      </c>
      <c r="P2063">
        <v>24</v>
      </c>
      <c r="Q2063">
        <v>24</v>
      </c>
      <c r="R2063">
        <v>25</v>
      </c>
    </row>
    <row r="2064" spans="1:18" x14ac:dyDescent="0.25">
      <c r="A2064" t="s">
        <v>2202</v>
      </c>
      <c r="B2064" t="s">
        <v>55</v>
      </c>
      <c r="C2064" t="s">
        <v>2148</v>
      </c>
      <c r="D2064" t="s">
        <v>2149</v>
      </c>
      <c r="E2064" t="s">
        <v>78</v>
      </c>
      <c r="F2064" t="s">
        <v>252</v>
      </c>
      <c r="G2064">
        <v>7.5758000000000001</v>
      </c>
      <c r="H2064">
        <v>-75.348600000000005</v>
      </c>
      <c r="I2064" t="s">
        <v>2150</v>
      </c>
      <c r="J2064">
        <v>11</v>
      </c>
      <c r="M2064">
        <v>124</v>
      </c>
      <c r="N2064">
        <v>27</v>
      </c>
      <c r="O2064">
        <v>12</v>
      </c>
      <c r="P2064">
        <v>36</v>
      </c>
      <c r="Q2064">
        <v>22</v>
      </c>
      <c r="R2064">
        <v>31</v>
      </c>
    </row>
    <row r="2065" spans="1:18" x14ac:dyDescent="0.25">
      <c r="A2065" t="s">
        <v>2203</v>
      </c>
      <c r="B2065" t="s">
        <v>55</v>
      </c>
      <c r="C2065" t="s">
        <v>2148</v>
      </c>
      <c r="D2065" t="s">
        <v>2149</v>
      </c>
      <c r="E2065" t="s">
        <v>78</v>
      </c>
      <c r="F2065" t="s">
        <v>252</v>
      </c>
      <c r="G2065">
        <v>7.5758000000000001</v>
      </c>
      <c r="H2065">
        <v>-75.348600000000005</v>
      </c>
      <c r="I2065" t="s">
        <v>2150</v>
      </c>
      <c r="J2065">
        <v>11</v>
      </c>
      <c r="M2065">
        <v>121</v>
      </c>
      <c r="N2065">
        <v>37</v>
      </c>
      <c r="O2065">
        <v>16</v>
      </c>
      <c r="P2065">
        <v>28</v>
      </c>
      <c r="Q2065">
        <v>16</v>
      </c>
      <c r="R2065">
        <v>27</v>
      </c>
    </row>
    <row r="2066" spans="1:18" x14ac:dyDescent="0.25">
      <c r="A2066" t="s">
        <v>2204</v>
      </c>
      <c r="B2066" t="s">
        <v>55</v>
      </c>
      <c r="C2066" t="s">
        <v>2148</v>
      </c>
      <c r="D2066" t="s">
        <v>2149</v>
      </c>
      <c r="E2066" t="s">
        <v>78</v>
      </c>
      <c r="F2066" t="s">
        <v>252</v>
      </c>
      <c r="G2066">
        <v>7.5758000000000001</v>
      </c>
      <c r="H2066">
        <v>-75.348600000000005</v>
      </c>
      <c r="I2066" t="s">
        <v>2150</v>
      </c>
      <c r="J2066">
        <v>11</v>
      </c>
      <c r="M2066">
        <v>120</v>
      </c>
      <c r="N2066">
        <v>27</v>
      </c>
      <c r="O2066">
        <v>18</v>
      </c>
      <c r="P2066">
        <v>28</v>
      </c>
      <c r="Q2066">
        <v>22</v>
      </c>
      <c r="R2066">
        <v>27</v>
      </c>
    </row>
    <row r="2067" spans="1:18" x14ac:dyDescent="0.25">
      <c r="A2067" t="s">
        <v>2205</v>
      </c>
      <c r="B2067" t="s">
        <v>55</v>
      </c>
      <c r="C2067" t="s">
        <v>2148</v>
      </c>
      <c r="D2067" t="s">
        <v>2149</v>
      </c>
      <c r="E2067" t="s">
        <v>78</v>
      </c>
      <c r="F2067" t="s">
        <v>252</v>
      </c>
      <c r="G2067">
        <v>7.5758000000000001</v>
      </c>
      <c r="H2067">
        <v>-75.348600000000005</v>
      </c>
      <c r="I2067" t="s">
        <v>2150</v>
      </c>
      <c r="J2067">
        <v>11</v>
      </c>
      <c r="M2067">
        <v>119</v>
      </c>
      <c r="N2067">
        <v>29</v>
      </c>
      <c r="O2067">
        <v>32</v>
      </c>
      <c r="P2067">
        <v>14</v>
      </c>
      <c r="Q2067">
        <v>17</v>
      </c>
      <c r="R2067">
        <v>31</v>
      </c>
    </row>
    <row r="2068" spans="1:18" x14ac:dyDescent="0.25">
      <c r="A2068" t="s">
        <v>2206</v>
      </c>
      <c r="B2068" t="s">
        <v>55</v>
      </c>
      <c r="C2068" t="s">
        <v>2148</v>
      </c>
      <c r="D2068" t="s">
        <v>2149</v>
      </c>
      <c r="E2068" t="s">
        <v>78</v>
      </c>
      <c r="F2068" t="s">
        <v>252</v>
      </c>
      <c r="G2068">
        <v>7.5758000000000001</v>
      </c>
      <c r="H2068">
        <v>-75.348600000000005</v>
      </c>
      <c r="I2068" t="s">
        <v>2150</v>
      </c>
      <c r="J2068">
        <v>11</v>
      </c>
      <c r="M2068">
        <v>103</v>
      </c>
      <c r="N2068">
        <v>17</v>
      </c>
      <c r="O2068">
        <v>18</v>
      </c>
      <c r="P2068">
        <v>20</v>
      </c>
      <c r="Q2068">
        <v>24</v>
      </c>
      <c r="R2068">
        <v>31</v>
      </c>
    </row>
    <row r="2069" spans="1:18" x14ac:dyDescent="0.25">
      <c r="A2069" t="s">
        <v>2207</v>
      </c>
      <c r="B2069" t="s">
        <v>55</v>
      </c>
      <c r="C2069" t="s">
        <v>2208</v>
      </c>
      <c r="D2069" t="s">
        <v>2209</v>
      </c>
      <c r="E2069" t="s">
        <v>78</v>
      </c>
      <c r="F2069" t="s">
        <v>252</v>
      </c>
      <c r="G2069">
        <v>5.8789999999999996</v>
      </c>
      <c r="H2069">
        <v>-75.583299999999994</v>
      </c>
      <c r="I2069" t="s">
        <v>2210</v>
      </c>
      <c r="J2069">
        <v>11</v>
      </c>
      <c r="M2069">
        <v>291</v>
      </c>
      <c r="N2069">
        <v>68</v>
      </c>
      <c r="O2069">
        <v>56</v>
      </c>
      <c r="P2069">
        <v>68</v>
      </c>
      <c r="Q2069">
        <v>31</v>
      </c>
      <c r="R2069">
        <v>85</v>
      </c>
    </row>
    <row r="2070" spans="1:18" x14ac:dyDescent="0.25">
      <c r="A2070" t="s">
        <v>2211</v>
      </c>
      <c r="B2070" t="s">
        <v>55</v>
      </c>
      <c r="C2070" t="s">
        <v>2208</v>
      </c>
      <c r="D2070" t="s">
        <v>2209</v>
      </c>
      <c r="E2070" t="s">
        <v>78</v>
      </c>
      <c r="F2070" t="s">
        <v>252</v>
      </c>
      <c r="G2070">
        <v>5.8789999999999996</v>
      </c>
      <c r="H2070">
        <v>-75.583299999999994</v>
      </c>
      <c r="I2070" t="s">
        <v>2210</v>
      </c>
      <c r="J2070">
        <v>11</v>
      </c>
      <c r="M2070">
        <v>225</v>
      </c>
      <c r="N2070">
        <v>56</v>
      </c>
      <c r="O2070">
        <v>30</v>
      </c>
      <c r="P2070">
        <v>52</v>
      </c>
      <c r="Q2070">
        <v>36</v>
      </c>
      <c r="R2070">
        <v>62</v>
      </c>
    </row>
    <row r="2071" spans="1:18" x14ac:dyDescent="0.25">
      <c r="A2071" t="s">
        <v>2212</v>
      </c>
      <c r="B2071" t="s">
        <v>55</v>
      </c>
      <c r="C2071" t="s">
        <v>2208</v>
      </c>
      <c r="D2071" t="s">
        <v>2209</v>
      </c>
      <c r="E2071" t="s">
        <v>78</v>
      </c>
      <c r="F2071" t="s">
        <v>252</v>
      </c>
      <c r="G2071">
        <v>5.8789999999999996</v>
      </c>
      <c r="H2071">
        <v>-75.583299999999994</v>
      </c>
      <c r="I2071" t="s">
        <v>2210</v>
      </c>
      <c r="J2071">
        <v>11</v>
      </c>
      <c r="M2071">
        <v>221</v>
      </c>
      <c r="N2071">
        <v>54</v>
      </c>
      <c r="O2071">
        <v>32</v>
      </c>
      <c r="P2071">
        <v>54</v>
      </c>
      <c r="Q2071">
        <v>43</v>
      </c>
      <c r="R2071">
        <v>27</v>
      </c>
    </row>
    <row r="2072" spans="1:18" x14ac:dyDescent="0.25">
      <c r="A2072" t="s">
        <v>2213</v>
      </c>
      <c r="B2072" t="s">
        <v>55</v>
      </c>
      <c r="C2072" t="s">
        <v>2208</v>
      </c>
      <c r="D2072" t="s">
        <v>2209</v>
      </c>
      <c r="E2072" t="s">
        <v>78</v>
      </c>
      <c r="F2072" t="s">
        <v>252</v>
      </c>
      <c r="G2072">
        <v>5.8789999999999996</v>
      </c>
      <c r="H2072">
        <v>-75.583299999999994</v>
      </c>
      <c r="I2072" t="s">
        <v>2210</v>
      </c>
      <c r="J2072">
        <v>11</v>
      </c>
      <c r="M2072">
        <v>220</v>
      </c>
      <c r="N2072">
        <v>39</v>
      </c>
      <c r="O2072">
        <v>24</v>
      </c>
      <c r="P2072">
        <v>54</v>
      </c>
      <c r="Q2072">
        <v>50</v>
      </c>
      <c r="R2072">
        <v>71</v>
      </c>
    </row>
    <row r="2073" spans="1:18" x14ac:dyDescent="0.25">
      <c r="A2073" t="s">
        <v>2214</v>
      </c>
      <c r="B2073" t="s">
        <v>55</v>
      </c>
      <c r="C2073" t="s">
        <v>2208</v>
      </c>
      <c r="D2073" t="s">
        <v>2209</v>
      </c>
      <c r="E2073" t="s">
        <v>78</v>
      </c>
      <c r="F2073" t="s">
        <v>252</v>
      </c>
      <c r="G2073">
        <v>5.8789999999999996</v>
      </c>
      <c r="H2073">
        <v>-75.583299999999994</v>
      </c>
      <c r="I2073" t="s">
        <v>2210</v>
      </c>
      <c r="J2073">
        <v>11</v>
      </c>
      <c r="M2073">
        <v>212</v>
      </c>
      <c r="N2073">
        <v>59</v>
      </c>
      <c r="O2073">
        <v>22</v>
      </c>
      <c r="P2073">
        <v>58</v>
      </c>
      <c r="Q2073">
        <v>28</v>
      </c>
      <c r="R2073">
        <v>53</v>
      </c>
    </row>
    <row r="2074" spans="1:18" x14ac:dyDescent="0.25">
      <c r="A2074" t="s">
        <v>2215</v>
      </c>
      <c r="B2074" t="s">
        <v>55</v>
      </c>
      <c r="C2074" t="s">
        <v>2208</v>
      </c>
      <c r="D2074" t="s">
        <v>2209</v>
      </c>
      <c r="E2074" t="s">
        <v>78</v>
      </c>
      <c r="F2074" t="s">
        <v>252</v>
      </c>
      <c r="G2074">
        <v>5.8789999999999996</v>
      </c>
      <c r="H2074">
        <v>-75.583299999999994</v>
      </c>
      <c r="I2074" t="s">
        <v>2210</v>
      </c>
      <c r="J2074">
        <v>11</v>
      </c>
      <c r="M2074">
        <v>205</v>
      </c>
      <c r="N2074">
        <v>49</v>
      </c>
      <c r="O2074">
        <v>30</v>
      </c>
      <c r="P2074">
        <v>56</v>
      </c>
      <c r="Q2074">
        <v>29</v>
      </c>
      <c r="R2074">
        <v>40</v>
      </c>
    </row>
    <row r="2075" spans="1:18" x14ac:dyDescent="0.25">
      <c r="A2075" t="s">
        <v>2216</v>
      </c>
      <c r="B2075" t="s">
        <v>55</v>
      </c>
      <c r="C2075" t="s">
        <v>2208</v>
      </c>
      <c r="D2075" t="s">
        <v>2209</v>
      </c>
      <c r="E2075" t="s">
        <v>78</v>
      </c>
      <c r="F2075" t="s">
        <v>252</v>
      </c>
      <c r="G2075">
        <v>5.8789999999999996</v>
      </c>
      <c r="H2075">
        <v>-75.583299999999994</v>
      </c>
      <c r="I2075" t="s">
        <v>2210</v>
      </c>
      <c r="J2075">
        <v>11</v>
      </c>
      <c r="M2075">
        <v>196</v>
      </c>
      <c r="N2075">
        <v>54</v>
      </c>
      <c r="O2075">
        <v>22</v>
      </c>
      <c r="P2075">
        <v>46</v>
      </c>
      <c r="Q2075">
        <v>34</v>
      </c>
      <c r="R2075">
        <v>42</v>
      </c>
    </row>
    <row r="2076" spans="1:18" x14ac:dyDescent="0.25">
      <c r="A2076" t="s">
        <v>2217</v>
      </c>
      <c r="B2076" t="s">
        <v>55</v>
      </c>
      <c r="C2076" t="s">
        <v>2208</v>
      </c>
      <c r="D2076" t="s">
        <v>2209</v>
      </c>
      <c r="E2076" t="s">
        <v>78</v>
      </c>
      <c r="F2076" t="s">
        <v>252</v>
      </c>
      <c r="G2076">
        <v>5.8789999999999996</v>
      </c>
      <c r="H2076">
        <v>-75.583299999999994</v>
      </c>
      <c r="I2076" t="s">
        <v>2210</v>
      </c>
      <c r="J2076">
        <v>11</v>
      </c>
      <c r="M2076">
        <v>196</v>
      </c>
      <c r="N2076">
        <v>44</v>
      </c>
      <c r="O2076">
        <v>26</v>
      </c>
      <c r="P2076">
        <v>42</v>
      </c>
      <c r="Q2076">
        <v>45</v>
      </c>
      <c r="R2076">
        <v>38</v>
      </c>
    </row>
    <row r="2077" spans="1:18" x14ac:dyDescent="0.25">
      <c r="A2077" t="s">
        <v>2218</v>
      </c>
      <c r="B2077" t="s">
        <v>55</v>
      </c>
      <c r="C2077" t="s">
        <v>2208</v>
      </c>
      <c r="D2077" t="s">
        <v>2209</v>
      </c>
      <c r="E2077" t="s">
        <v>78</v>
      </c>
      <c r="F2077" t="s">
        <v>252</v>
      </c>
      <c r="G2077">
        <v>5.8789999999999996</v>
      </c>
      <c r="H2077">
        <v>-75.583299999999994</v>
      </c>
      <c r="I2077" t="s">
        <v>2210</v>
      </c>
      <c r="J2077">
        <v>11</v>
      </c>
      <c r="M2077">
        <v>193</v>
      </c>
      <c r="N2077">
        <v>63</v>
      </c>
      <c r="O2077">
        <v>18</v>
      </c>
      <c r="P2077">
        <v>50</v>
      </c>
      <c r="Q2077">
        <v>22</v>
      </c>
      <c r="R2077">
        <v>40</v>
      </c>
    </row>
    <row r="2078" spans="1:18" x14ac:dyDescent="0.25">
      <c r="A2078" t="s">
        <v>2219</v>
      </c>
      <c r="B2078" t="s">
        <v>55</v>
      </c>
      <c r="C2078" t="s">
        <v>2208</v>
      </c>
      <c r="D2078" t="s">
        <v>2209</v>
      </c>
      <c r="E2078" t="s">
        <v>78</v>
      </c>
      <c r="F2078" t="s">
        <v>252</v>
      </c>
      <c r="G2078">
        <v>5.8789999999999996</v>
      </c>
      <c r="H2078">
        <v>-75.583299999999994</v>
      </c>
      <c r="I2078" t="s">
        <v>2210</v>
      </c>
      <c r="J2078">
        <v>11</v>
      </c>
      <c r="M2078">
        <v>189</v>
      </c>
      <c r="N2078">
        <v>44</v>
      </c>
      <c r="O2078">
        <v>24</v>
      </c>
      <c r="P2078">
        <v>48</v>
      </c>
      <c r="Q2078">
        <v>34</v>
      </c>
      <c r="R2078">
        <v>40</v>
      </c>
    </row>
    <row r="2079" spans="1:18" x14ac:dyDescent="0.25">
      <c r="A2079" t="s">
        <v>2220</v>
      </c>
      <c r="B2079" t="s">
        <v>55</v>
      </c>
      <c r="C2079" t="s">
        <v>2208</v>
      </c>
      <c r="D2079" t="s">
        <v>2209</v>
      </c>
      <c r="E2079" t="s">
        <v>78</v>
      </c>
      <c r="F2079" t="s">
        <v>252</v>
      </c>
      <c r="G2079">
        <v>5.8789999999999996</v>
      </c>
      <c r="H2079">
        <v>-75.583299999999994</v>
      </c>
      <c r="I2079" t="s">
        <v>2210</v>
      </c>
      <c r="J2079">
        <v>11</v>
      </c>
      <c r="M2079">
        <v>187</v>
      </c>
      <c r="N2079">
        <v>41</v>
      </c>
      <c r="O2079">
        <v>28</v>
      </c>
      <c r="P2079">
        <v>50</v>
      </c>
      <c r="Q2079">
        <v>26</v>
      </c>
      <c r="R2079">
        <v>51</v>
      </c>
    </row>
    <row r="2080" spans="1:18" x14ac:dyDescent="0.25">
      <c r="A2080" t="s">
        <v>2221</v>
      </c>
      <c r="B2080" t="s">
        <v>55</v>
      </c>
      <c r="C2080" t="s">
        <v>2208</v>
      </c>
      <c r="D2080" t="s">
        <v>2209</v>
      </c>
      <c r="E2080" t="s">
        <v>78</v>
      </c>
      <c r="F2080" t="s">
        <v>252</v>
      </c>
      <c r="G2080">
        <v>5.8789999999999996</v>
      </c>
      <c r="H2080">
        <v>-75.583299999999994</v>
      </c>
      <c r="I2080" t="s">
        <v>2210</v>
      </c>
      <c r="J2080">
        <v>11</v>
      </c>
      <c r="M2080">
        <v>186</v>
      </c>
      <c r="N2080">
        <v>54</v>
      </c>
      <c r="O2080">
        <v>28</v>
      </c>
      <c r="P2080">
        <v>42</v>
      </c>
      <c r="Q2080">
        <v>24</v>
      </c>
      <c r="R2080">
        <v>40</v>
      </c>
    </row>
    <row r="2081" spans="1:18" x14ac:dyDescent="0.25">
      <c r="A2081" t="s">
        <v>2222</v>
      </c>
      <c r="B2081" t="s">
        <v>55</v>
      </c>
      <c r="C2081" t="s">
        <v>2208</v>
      </c>
      <c r="D2081" t="s">
        <v>2209</v>
      </c>
      <c r="E2081" t="s">
        <v>78</v>
      </c>
      <c r="F2081" t="s">
        <v>252</v>
      </c>
      <c r="G2081">
        <v>5.8789999999999996</v>
      </c>
      <c r="H2081">
        <v>-75.583299999999994</v>
      </c>
      <c r="I2081" t="s">
        <v>2210</v>
      </c>
      <c r="J2081">
        <v>11</v>
      </c>
      <c r="M2081">
        <v>185</v>
      </c>
      <c r="N2081">
        <v>51</v>
      </c>
      <c r="O2081">
        <v>32</v>
      </c>
      <c r="P2081">
        <v>40</v>
      </c>
      <c r="Q2081">
        <v>26</v>
      </c>
      <c r="R2081">
        <v>35</v>
      </c>
    </row>
    <row r="2082" spans="1:18" x14ac:dyDescent="0.25">
      <c r="A2082" t="s">
        <v>2223</v>
      </c>
      <c r="B2082" t="s">
        <v>55</v>
      </c>
      <c r="C2082" t="s">
        <v>2208</v>
      </c>
      <c r="D2082" t="s">
        <v>2209</v>
      </c>
      <c r="E2082" t="s">
        <v>78</v>
      </c>
      <c r="F2082" t="s">
        <v>252</v>
      </c>
      <c r="G2082">
        <v>5.8789999999999996</v>
      </c>
      <c r="H2082">
        <v>-75.583299999999994</v>
      </c>
      <c r="I2082" t="s">
        <v>2210</v>
      </c>
      <c r="J2082">
        <v>11</v>
      </c>
      <c r="M2082">
        <v>182</v>
      </c>
      <c r="N2082">
        <v>44</v>
      </c>
      <c r="O2082">
        <v>40</v>
      </c>
      <c r="P2082">
        <v>32</v>
      </c>
      <c r="Q2082">
        <v>31</v>
      </c>
      <c r="R2082">
        <v>33</v>
      </c>
    </row>
    <row r="2083" spans="1:18" x14ac:dyDescent="0.25">
      <c r="A2083" t="s">
        <v>2224</v>
      </c>
      <c r="B2083" t="s">
        <v>55</v>
      </c>
      <c r="C2083" t="s">
        <v>2208</v>
      </c>
      <c r="D2083" t="s">
        <v>2209</v>
      </c>
      <c r="E2083" t="s">
        <v>78</v>
      </c>
      <c r="F2083" t="s">
        <v>252</v>
      </c>
      <c r="G2083">
        <v>5.8789999999999996</v>
      </c>
      <c r="H2083">
        <v>-75.583299999999994</v>
      </c>
      <c r="I2083" t="s">
        <v>2210</v>
      </c>
      <c r="J2083">
        <v>11</v>
      </c>
      <c r="M2083">
        <v>174</v>
      </c>
      <c r="N2083">
        <v>29</v>
      </c>
      <c r="O2083">
        <v>40</v>
      </c>
      <c r="P2083">
        <v>46</v>
      </c>
      <c r="Q2083">
        <v>26</v>
      </c>
      <c r="R2083">
        <v>29</v>
      </c>
    </row>
    <row r="2084" spans="1:18" x14ac:dyDescent="0.25">
      <c r="A2084" t="s">
        <v>2225</v>
      </c>
      <c r="B2084" t="s">
        <v>55</v>
      </c>
      <c r="C2084" t="s">
        <v>2208</v>
      </c>
      <c r="D2084" t="s">
        <v>2209</v>
      </c>
      <c r="E2084" t="s">
        <v>78</v>
      </c>
      <c r="F2084" t="s">
        <v>252</v>
      </c>
      <c r="G2084">
        <v>5.8789999999999996</v>
      </c>
      <c r="H2084">
        <v>-75.583299999999994</v>
      </c>
      <c r="I2084" t="s">
        <v>2210</v>
      </c>
      <c r="J2084">
        <v>11</v>
      </c>
      <c r="M2084">
        <v>174</v>
      </c>
      <c r="N2084">
        <v>39</v>
      </c>
      <c r="O2084">
        <v>38</v>
      </c>
      <c r="P2084">
        <v>32</v>
      </c>
      <c r="Q2084">
        <v>26</v>
      </c>
      <c r="R2084">
        <v>47</v>
      </c>
    </row>
    <row r="2085" spans="1:18" x14ac:dyDescent="0.25">
      <c r="A2085" t="s">
        <v>2226</v>
      </c>
      <c r="B2085" t="s">
        <v>55</v>
      </c>
      <c r="C2085" t="s">
        <v>2208</v>
      </c>
      <c r="D2085" t="s">
        <v>2209</v>
      </c>
      <c r="E2085" t="s">
        <v>78</v>
      </c>
      <c r="F2085" t="s">
        <v>252</v>
      </c>
      <c r="G2085">
        <v>5.8789999999999996</v>
      </c>
      <c r="H2085">
        <v>-75.583299999999994</v>
      </c>
      <c r="I2085" t="s">
        <v>2210</v>
      </c>
      <c r="J2085">
        <v>11</v>
      </c>
      <c r="M2085">
        <v>174</v>
      </c>
      <c r="N2085">
        <v>44</v>
      </c>
      <c r="O2085">
        <v>32</v>
      </c>
      <c r="P2085">
        <v>36</v>
      </c>
      <c r="Q2085">
        <v>28</v>
      </c>
      <c r="R2085">
        <v>33</v>
      </c>
    </row>
    <row r="2086" spans="1:18" x14ac:dyDescent="0.25">
      <c r="A2086" t="s">
        <v>2227</v>
      </c>
      <c r="B2086" t="s">
        <v>55</v>
      </c>
      <c r="C2086" t="s">
        <v>2208</v>
      </c>
      <c r="D2086" t="s">
        <v>2209</v>
      </c>
      <c r="E2086" t="s">
        <v>78</v>
      </c>
      <c r="F2086" t="s">
        <v>252</v>
      </c>
      <c r="G2086">
        <v>5.8789999999999996</v>
      </c>
      <c r="H2086">
        <v>-75.583299999999994</v>
      </c>
      <c r="I2086" t="s">
        <v>2210</v>
      </c>
      <c r="J2086">
        <v>11</v>
      </c>
      <c r="M2086">
        <v>171</v>
      </c>
      <c r="N2086">
        <v>41</v>
      </c>
      <c r="O2086">
        <v>32</v>
      </c>
      <c r="P2086">
        <v>40</v>
      </c>
      <c r="Q2086">
        <v>21</v>
      </c>
      <c r="R2086">
        <v>42</v>
      </c>
    </row>
    <row r="2087" spans="1:18" x14ac:dyDescent="0.25">
      <c r="A2087" t="s">
        <v>2228</v>
      </c>
      <c r="B2087" t="s">
        <v>55</v>
      </c>
      <c r="C2087" t="s">
        <v>2208</v>
      </c>
      <c r="D2087" t="s">
        <v>2209</v>
      </c>
      <c r="E2087" t="s">
        <v>78</v>
      </c>
      <c r="F2087" t="s">
        <v>252</v>
      </c>
      <c r="G2087">
        <v>5.8789999999999996</v>
      </c>
      <c r="H2087">
        <v>-75.583299999999994</v>
      </c>
      <c r="I2087" t="s">
        <v>2210</v>
      </c>
      <c r="J2087">
        <v>11</v>
      </c>
      <c r="M2087">
        <v>169</v>
      </c>
      <c r="N2087">
        <v>29</v>
      </c>
      <c r="O2087">
        <v>20</v>
      </c>
      <c r="P2087">
        <v>46</v>
      </c>
      <c r="Q2087">
        <v>34</v>
      </c>
      <c r="R2087">
        <v>49</v>
      </c>
    </row>
    <row r="2088" spans="1:18" x14ac:dyDescent="0.25">
      <c r="A2088" t="s">
        <v>2229</v>
      </c>
      <c r="B2088" t="s">
        <v>55</v>
      </c>
      <c r="C2088" t="s">
        <v>2208</v>
      </c>
      <c r="D2088" t="s">
        <v>2209</v>
      </c>
      <c r="E2088" t="s">
        <v>78</v>
      </c>
      <c r="F2088" t="s">
        <v>252</v>
      </c>
      <c r="G2088">
        <v>5.8789999999999996</v>
      </c>
      <c r="H2088">
        <v>-75.583299999999994</v>
      </c>
      <c r="I2088" t="s">
        <v>2210</v>
      </c>
      <c r="J2088">
        <v>11</v>
      </c>
      <c r="M2088">
        <v>168</v>
      </c>
      <c r="N2088">
        <v>41</v>
      </c>
      <c r="O2088">
        <v>26</v>
      </c>
      <c r="P2088">
        <v>40</v>
      </c>
      <c r="Q2088">
        <v>24</v>
      </c>
      <c r="R2088">
        <v>42</v>
      </c>
    </row>
    <row r="2089" spans="1:18" x14ac:dyDescent="0.25">
      <c r="A2089" t="s">
        <v>2230</v>
      </c>
      <c r="B2089" t="s">
        <v>55</v>
      </c>
      <c r="C2089" t="s">
        <v>2208</v>
      </c>
      <c r="D2089" t="s">
        <v>2209</v>
      </c>
      <c r="E2089" t="s">
        <v>78</v>
      </c>
      <c r="F2089" t="s">
        <v>252</v>
      </c>
      <c r="G2089">
        <v>5.8789999999999996</v>
      </c>
      <c r="H2089">
        <v>-75.583299999999994</v>
      </c>
      <c r="I2089" t="s">
        <v>2210</v>
      </c>
      <c r="J2089">
        <v>11</v>
      </c>
      <c r="M2089">
        <v>167</v>
      </c>
      <c r="N2089">
        <v>44</v>
      </c>
      <c r="O2089">
        <v>22</v>
      </c>
      <c r="P2089">
        <v>42</v>
      </c>
      <c r="Q2089">
        <v>21</v>
      </c>
      <c r="R2089">
        <v>49</v>
      </c>
    </row>
    <row r="2090" spans="1:18" x14ac:dyDescent="0.25">
      <c r="A2090" t="s">
        <v>2231</v>
      </c>
      <c r="B2090" t="s">
        <v>55</v>
      </c>
      <c r="C2090" t="s">
        <v>2208</v>
      </c>
      <c r="D2090" t="s">
        <v>2209</v>
      </c>
      <c r="E2090" t="s">
        <v>78</v>
      </c>
      <c r="F2090" t="s">
        <v>252</v>
      </c>
      <c r="G2090">
        <v>5.8789999999999996</v>
      </c>
      <c r="H2090">
        <v>-75.583299999999994</v>
      </c>
      <c r="I2090" t="s">
        <v>2210</v>
      </c>
      <c r="J2090">
        <v>11</v>
      </c>
      <c r="M2090">
        <v>166</v>
      </c>
      <c r="N2090">
        <v>59</v>
      </c>
      <c r="O2090">
        <v>28</v>
      </c>
      <c r="P2090">
        <v>32</v>
      </c>
      <c r="Q2090">
        <v>19</v>
      </c>
      <c r="R2090">
        <v>18</v>
      </c>
    </row>
    <row r="2091" spans="1:18" x14ac:dyDescent="0.25">
      <c r="A2091" t="s">
        <v>2232</v>
      </c>
      <c r="B2091" t="s">
        <v>55</v>
      </c>
      <c r="C2091" t="s">
        <v>2208</v>
      </c>
      <c r="D2091" t="s">
        <v>2209</v>
      </c>
      <c r="E2091" t="s">
        <v>78</v>
      </c>
      <c r="F2091" t="s">
        <v>252</v>
      </c>
      <c r="G2091">
        <v>5.8789999999999996</v>
      </c>
      <c r="H2091">
        <v>-75.583299999999994</v>
      </c>
      <c r="I2091" t="s">
        <v>2210</v>
      </c>
      <c r="J2091">
        <v>11</v>
      </c>
      <c r="M2091">
        <v>165</v>
      </c>
      <c r="N2091">
        <v>27</v>
      </c>
      <c r="O2091">
        <v>34</v>
      </c>
      <c r="P2091">
        <v>34</v>
      </c>
      <c r="Q2091">
        <v>22</v>
      </c>
      <c r="R2091">
        <v>78</v>
      </c>
    </row>
    <row r="2092" spans="1:18" x14ac:dyDescent="0.25">
      <c r="A2092" t="s">
        <v>2233</v>
      </c>
      <c r="B2092" t="s">
        <v>55</v>
      </c>
      <c r="C2092" t="s">
        <v>2208</v>
      </c>
      <c r="D2092" t="s">
        <v>2209</v>
      </c>
      <c r="E2092" t="s">
        <v>78</v>
      </c>
      <c r="F2092" t="s">
        <v>252</v>
      </c>
      <c r="G2092">
        <v>5.8789999999999996</v>
      </c>
      <c r="H2092">
        <v>-75.583299999999994</v>
      </c>
      <c r="I2092" t="s">
        <v>2210</v>
      </c>
      <c r="J2092">
        <v>11</v>
      </c>
      <c r="M2092">
        <v>165</v>
      </c>
      <c r="N2092">
        <v>49</v>
      </c>
      <c r="O2092">
        <v>22</v>
      </c>
      <c r="P2092">
        <v>30</v>
      </c>
      <c r="Q2092">
        <v>33</v>
      </c>
      <c r="R2092">
        <v>29</v>
      </c>
    </row>
    <row r="2093" spans="1:18" x14ac:dyDescent="0.25">
      <c r="A2093" t="s">
        <v>2234</v>
      </c>
      <c r="B2093" t="s">
        <v>55</v>
      </c>
      <c r="C2093" t="s">
        <v>2208</v>
      </c>
      <c r="D2093" t="s">
        <v>2209</v>
      </c>
      <c r="E2093" t="s">
        <v>78</v>
      </c>
      <c r="F2093" t="s">
        <v>252</v>
      </c>
      <c r="G2093">
        <v>5.8789999999999996</v>
      </c>
      <c r="H2093">
        <v>-75.583299999999994</v>
      </c>
      <c r="I2093" t="s">
        <v>2210</v>
      </c>
      <c r="J2093">
        <v>11</v>
      </c>
      <c r="M2093">
        <v>164</v>
      </c>
      <c r="N2093">
        <v>34</v>
      </c>
      <c r="O2093">
        <v>14</v>
      </c>
      <c r="P2093">
        <v>44</v>
      </c>
      <c r="Q2093">
        <v>38</v>
      </c>
      <c r="R2093">
        <v>36</v>
      </c>
    </row>
    <row r="2094" spans="1:18" x14ac:dyDescent="0.25">
      <c r="A2094" t="s">
        <v>2235</v>
      </c>
      <c r="B2094" t="s">
        <v>55</v>
      </c>
      <c r="C2094" t="s">
        <v>2208</v>
      </c>
      <c r="D2094" t="s">
        <v>2209</v>
      </c>
      <c r="E2094" t="s">
        <v>78</v>
      </c>
      <c r="F2094" t="s">
        <v>252</v>
      </c>
      <c r="G2094">
        <v>5.8789999999999996</v>
      </c>
      <c r="H2094">
        <v>-75.583299999999994</v>
      </c>
      <c r="I2094" t="s">
        <v>2210</v>
      </c>
      <c r="J2094">
        <v>11</v>
      </c>
      <c r="M2094">
        <v>164</v>
      </c>
      <c r="N2094">
        <v>34</v>
      </c>
      <c r="O2094">
        <v>32</v>
      </c>
      <c r="P2094">
        <v>46</v>
      </c>
      <c r="Q2094">
        <v>19</v>
      </c>
      <c r="R2094">
        <v>33</v>
      </c>
    </row>
    <row r="2095" spans="1:18" x14ac:dyDescent="0.25">
      <c r="A2095" t="s">
        <v>2236</v>
      </c>
      <c r="B2095" t="s">
        <v>55</v>
      </c>
      <c r="C2095" t="s">
        <v>2208</v>
      </c>
      <c r="D2095" t="s">
        <v>2209</v>
      </c>
      <c r="E2095" t="s">
        <v>78</v>
      </c>
      <c r="F2095" t="s">
        <v>252</v>
      </c>
      <c r="G2095">
        <v>5.8789999999999996</v>
      </c>
      <c r="H2095">
        <v>-75.583299999999994</v>
      </c>
      <c r="I2095" t="s">
        <v>2210</v>
      </c>
      <c r="J2095">
        <v>11</v>
      </c>
      <c r="M2095">
        <v>164</v>
      </c>
      <c r="N2095">
        <v>41</v>
      </c>
      <c r="O2095">
        <v>28</v>
      </c>
      <c r="P2095">
        <v>26</v>
      </c>
      <c r="Q2095">
        <v>36</v>
      </c>
      <c r="R2095">
        <v>31</v>
      </c>
    </row>
    <row r="2096" spans="1:18" x14ac:dyDescent="0.25">
      <c r="A2096" t="s">
        <v>2237</v>
      </c>
      <c r="B2096" t="s">
        <v>55</v>
      </c>
      <c r="C2096" t="s">
        <v>2208</v>
      </c>
      <c r="D2096" t="s">
        <v>2209</v>
      </c>
      <c r="E2096" t="s">
        <v>78</v>
      </c>
      <c r="F2096" t="s">
        <v>252</v>
      </c>
      <c r="G2096">
        <v>5.8789999999999996</v>
      </c>
      <c r="H2096">
        <v>-75.583299999999994</v>
      </c>
      <c r="I2096" t="s">
        <v>2210</v>
      </c>
      <c r="J2096">
        <v>11</v>
      </c>
      <c r="M2096">
        <v>164</v>
      </c>
      <c r="N2096">
        <v>41</v>
      </c>
      <c r="O2096">
        <v>26</v>
      </c>
      <c r="P2096">
        <v>36</v>
      </c>
      <c r="Q2096">
        <v>21</v>
      </c>
      <c r="R2096">
        <v>53</v>
      </c>
    </row>
    <row r="2097" spans="1:18" x14ac:dyDescent="0.25">
      <c r="A2097" t="s">
        <v>2238</v>
      </c>
      <c r="B2097" t="s">
        <v>55</v>
      </c>
      <c r="C2097" t="s">
        <v>2208</v>
      </c>
      <c r="D2097" t="s">
        <v>2209</v>
      </c>
      <c r="E2097" t="s">
        <v>78</v>
      </c>
      <c r="F2097" t="s">
        <v>252</v>
      </c>
      <c r="G2097">
        <v>5.8789999999999996</v>
      </c>
      <c r="H2097">
        <v>-75.583299999999994</v>
      </c>
      <c r="I2097" t="s">
        <v>2210</v>
      </c>
      <c r="J2097">
        <v>11</v>
      </c>
      <c r="M2097">
        <v>160</v>
      </c>
      <c r="N2097">
        <v>37</v>
      </c>
      <c r="O2097">
        <v>28</v>
      </c>
      <c r="P2097">
        <v>32</v>
      </c>
      <c r="Q2097">
        <v>22</v>
      </c>
      <c r="R2097">
        <v>60</v>
      </c>
    </row>
    <row r="2098" spans="1:18" x14ac:dyDescent="0.25">
      <c r="A2098" t="s">
        <v>2239</v>
      </c>
      <c r="B2098" t="s">
        <v>55</v>
      </c>
      <c r="C2098" t="s">
        <v>2208</v>
      </c>
      <c r="D2098" t="s">
        <v>2209</v>
      </c>
      <c r="E2098" t="s">
        <v>78</v>
      </c>
      <c r="F2098" t="s">
        <v>252</v>
      </c>
      <c r="G2098">
        <v>5.8789999999999996</v>
      </c>
      <c r="H2098">
        <v>-75.583299999999994</v>
      </c>
      <c r="I2098" t="s">
        <v>2210</v>
      </c>
      <c r="J2098">
        <v>11</v>
      </c>
      <c r="M2098">
        <v>157</v>
      </c>
      <c r="N2098">
        <v>34</v>
      </c>
      <c r="O2098">
        <v>20</v>
      </c>
      <c r="P2098">
        <v>44</v>
      </c>
      <c r="Q2098">
        <v>22</v>
      </c>
      <c r="R2098">
        <v>45</v>
      </c>
    </row>
    <row r="2099" spans="1:18" x14ac:dyDescent="0.25">
      <c r="A2099" t="s">
        <v>2240</v>
      </c>
      <c r="B2099" t="s">
        <v>55</v>
      </c>
      <c r="C2099" t="s">
        <v>2208</v>
      </c>
      <c r="D2099" t="s">
        <v>2209</v>
      </c>
      <c r="E2099" t="s">
        <v>78</v>
      </c>
      <c r="F2099" t="s">
        <v>252</v>
      </c>
      <c r="G2099">
        <v>5.8789999999999996</v>
      </c>
      <c r="H2099">
        <v>-75.583299999999994</v>
      </c>
      <c r="I2099" t="s">
        <v>2210</v>
      </c>
      <c r="J2099">
        <v>11</v>
      </c>
      <c r="M2099">
        <v>155</v>
      </c>
      <c r="N2099">
        <v>34</v>
      </c>
      <c r="O2099">
        <v>18</v>
      </c>
      <c r="P2099">
        <v>32</v>
      </c>
      <c r="Q2099">
        <v>40</v>
      </c>
      <c r="R2099">
        <v>31</v>
      </c>
    </row>
    <row r="2100" spans="1:18" x14ac:dyDescent="0.25">
      <c r="A2100" t="s">
        <v>2241</v>
      </c>
      <c r="B2100" t="s">
        <v>55</v>
      </c>
      <c r="C2100" t="s">
        <v>2208</v>
      </c>
      <c r="D2100" t="s">
        <v>2209</v>
      </c>
      <c r="E2100" t="s">
        <v>78</v>
      </c>
      <c r="F2100" t="s">
        <v>252</v>
      </c>
      <c r="G2100">
        <v>5.8789999999999996</v>
      </c>
      <c r="H2100">
        <v>-75.583299999999994</v>
      </c>
      <c r="I2100" t="s">
        <v>2210</v>
      </c>
      <c r="J2100">
        <v>11</v>
      </c>
      <c r="M2100">
        <v>152</v>
      </c>
      <c r="N2100">
        <v>32</v>
      </c>
      <c r="O2100">
        <v>24</v>
      </c>
      <c r="P2100">
        <v>36</v>
      </c>
      <c r="Q2100">
        <v>28</v>
      </c>
      <c r="R2100">
        <v>38</v>
      </c>
    </row>
    <row r="2101" spans="1:18" x14ac:dyDescent="0.25">
      <c r="A2101" t="s">
        <v>2242</v>
      </c>
      <c r="B2101" t="s">
        <v>55</v>
      </c>
      <c r="C2101" t="s">
        <v>2208</v>
      </c>
      <c r="D2101" t="s">
        <v>2209</v>
      </c>
      <c r="E2101" t="s">
        <v>78</v>
      </c>
      <c r="F2101" t="s">
        <v>252</v>
      </c>
      <c r="G2101">
        <v>5.8789999999999996</v>
      </c>
      <c r="H2101">
        <v>-75.583299999999994</v>
      </c>
      <c r="I2101" t="s">
        <v>2210</v>
      </c>
      <c r="J2101">
        <v>11</v>
      </c>
      <c r="M2101">
        <v>152</v>
      </c>
      <c r="N2101">
        <v>32</v>
      </c>
      <c r="O2101">
        <v>26</v>
      </c>
      <c r="P2101">
        <v>40</v>
      </c>
      <c r="Q2101">
        <v>22</v>
      </c>
      <c r="R2101">
        <v>35</v>
      </c>
    </row>
    <row r="2102" spans="1:18" x14ac:dyDescent="0.25">
      <c r="A2102" t="s">
        <v>2243</v>
      </c>
      <c r="B2102" t="s">
        <v>55</v>
      </c>
      <c r="C2102" t="s">
        <v>2208</v>
      </c>
      <c r="D2102" t="s">
        <v>2209</v>
      </c>
      <c r="E2102" t="s">
        <v>78</v>
      </c>
      <c r="F2102" t="s">
        <v>252</v>
      </c>
      <c r="G2102">
        <v>5.8789999999999996</v>
      </c>
      <c r="H2102">
        <v>-75.583299999999994</v>
      </c>
      <c r="I2102" t="s">
        <v>2210</v>
      </c>
      <c r="J2102">
        <v>11</v>
      </c>
      <c r="M2102">
        <v>152</v>
      </c>
      <c r="N2102">
        <v>32</v>
      </c>
      <c r="O2102">
        <v>24</v>
      </c>
      <c r="P2102">
        <v>36</v>
      </c>
      <c r="Q2102">
        <v>28</v>
      </c>
      <c r="R2102">
        <v>36</v>
      </c>
    </row>
    <row r="2103" spans="1:18" x14ac:dyDescent="0.25">
      <c r="A2103" t="s">
        <v>2244</v>
      </c>
      <c r="B2103" t="s">
        <v>55</v>
      </c>
      <c r="C2103" t="s">
        <v>2208</v>
      </c>
      <c r="D2103" t="s">
        <v>2209</v>
      </c>
      <c r="E2103" t="s">
        <v>78</v>
      </c>
      <c r="F2103" t="s">
        <v>252</v>
      </c>
      <c r="G2103">
        <v>5.8789999999999996</v>
      </c>
      <c r="H2103">
        <v>-75.583299999999994</v>
      </c>
      <c r="I2103" t="s">
        <v>2210</v>
      </c>
      <c r="J2103">
        <v>11</v>
      </c>
      <c r="M2103">
        <v>151</v>
      </c>
      <c r="N2103">
        <v>29</v>
      </c>
      <c r="O2103">
        <v>26</v>
      </c>
      <c r="P2103">
        <v>40</v>
      </c>
      <c r="Q2103">
        <v>29</v>
      </c>
      <c r="R2103">
        <v>20</v>
      </c>
    </row>
    <row r="2104" spans="1:18" x14ac:dyDescent="0.25">
      <c r="A2104" t="s">
        <v>2245</v>
      </c>
      <c r="B2104" t="s">
        <v>55</v>
      </c>
      <c r="C2104" t="s">
        <v>2208</v>
      </c>
      <c r="D2104" t="s">
        <v>2209</v>
      </c>
      <c r="E2104" t="s">
        <v>78</v>
      </c>
      <c r="F2104" t="s">
        <v>252</v>
      </c>
      <c r="G2104">
        <v>5.8789999999999996</v>
      </c>
      <c r="H2104">
        <v>-75.583299999999994</v>
      </c>
      <c r="I2104" t="s">
        <v>2210</v>
      </c>
      <c r="J2104">
        <v>11</v>
      </c>
      <c r="M2104">
        <v>150</v>
      </c>
      <c r="N2104">
        <v>32</v>
      </c>
      <c r="O2104">
        <v>20</v>
      </c>
      <c r="P2104">
        <v>30</v>
      </c>
      <c r="Q2104">
        <v>33</v>
      </c>
      <c r="R2104">
        <v>45</v>
      </c>
    </row>
    <row r="2105" spans="1:18" x14ac:dyDescent="0.25">
      <c r="A2105" t="s">
        <v>2246</v>
      </c>
      <c r="B2105" t="s">
        <v>55</v>
      </c>
      <c r="C2105" t="s">
        <v>2208</v>
      </c>
      <c r="D2105" t="s">
        <v>2209</v>
      </c>
      <c r="E2105" t="s">
        <v>78</v>
      </c>
      <c r="F2105" t="s">
        <v>252</v>
      </c>
      <c r="G2105">
        <v>5.8789999999999996</v>
      </c>
      <c r="H2105">
        <v>-75.583299999999994</v>
      </c>
      <c r="I2105" t="s">
        <v>2210</v>
      </c>
      <c r="J2105">
        <v>11</v>
      </c>
      <c r="M2105">
        <v>148</v>
      </c>
      <c r="N2105">
        <v>46</v>
      </c>
      <c r="O2105">
        <v>18</v>
      </c>
      <c r="P2105">
        <v>32</v>
      </c>
      <c r="Q2105">
        <v>19</v>
      </c>
      <c r="R2105">
        <v>40</v>
      </c>
    </row>
    <row r="2106" spans="1:18" x14ac:dyDescent="0.25">
      <c r="A2106" t="s">
        <v>2247</v>
      </c>
      <c r="B2106" t="s">
        <v>55</v>
      </c>
      <c r="C2106" t="s">
        <v>2208</v>
      </c>
      <c r="D2106" t="s">
        <v>2209</v>
      </c>
      <c r="E2106" t="s">
        <v>78</v>
      </c>
      <c r="F2106" t="s">
        <v>252</v>
      </c>
      <c r="G2106">
        <v>5.8789999999999996</v>
      </c>
      <c r="H2106">
        <v>-75.583299999999994</v>
      </c>
      <c r="I2106" t="s">
        <v>2210</v>
      </c>
      <c r="J2106">
        <v>11</v>
      </c>
      <c r="M2106">
        <v>148</v>
      </c>
      <c r="N2106">
        <v>29</v>
      </c>
      <c r="O2106">
        <v>28</v>
      </c>
      <c r="P2106">
        <v>30</v>
      </c>
      <c r="Q2106">
        <v>33</v>
      </c>
      <c r="R2106">
        <v>25</v>
      </c>
    </row>
    <row r="2107" spans="1:18" x14ac:dyDescent="0.25">
      <c r="A2107" t="s">
        <v>2248</v>
      </c>
      <c r="B2107" t="s">
        <v>55</v>
      </c>
      <c r="C2107" t="s">
        <v>2208</v>
      </c>
      <c r="D2107" t="s">
        <v>2209</v>
      </c>
      <c r="E2107" t="s">
        <v>78</v>
      </c>
      <c r="F2107" t="s">
        <v>252</v>
      </c>
      <c r="G2107">
        <v>5.8789999999999996</v>
      </c>
      <c r="H2107">
        <v>-75.583299999999994</v>
      </c>
      <c r="I2107" t="s">
        <v>2210</v>
      </c>
      <c r="J2107">
        <v>11</v>
      </c>
      <c r="M2107">
        <v>147</v>
      </c>
      <c r="N2107">
        <v>39</v>
      </c>
      <c r="O2107">
        <v>16</v>
      </c>
      <c r="P2107">
        <v>30</v>
      </c>
      <c r="Q2107">
        <v>33</v>
      </c>
      <c r="R2107">
        <v>29</v>
      </c>
    </row>
    <row r="2108" spans="1:18" x14ac:dyDescent="0.25">
      <c r="A2108" t="s">
        <v>2249</v>
      </c>
      <c r="B2108" t="s">
        <v>55</v>
      </c>
      <c r="C2108" t="s">
        <v>2208</v>
      </c>
      <c r="D2108" t="s">
        <v>2209</v>
      </c>
      <c r="E2108" t="s">
        <v>78</v>
      </c>
      <c r="F2108" t="s">
        <v>252</v>
      </c>
      <c r="G2108">
        <v>5.8789999999999996</v>
      </c>
      <c r="H2108">
        <v>-75.583299999999994</v>
      </c>
      <c r="I2108" t="s">
        <v>2210</v>
      </c>
      <c r="J2108">
        <v>11</v>
      </c>
      <c r="M2108">
        <v>146</v>
      </c>
      <c r="N2108">
        <v>39</v>
      </c>
      <c r="O2108">
        <v>22</v>
      </c>
      <c r="P2108">
        <v>36</v>
      </c>
      <c r="Q2108">
        <v>24</v>
      </c>
      <c r="R2108">
        <v>16</v>
      </c>
    </row>
    <row r="2109" spans="1:18" x14ac:dyDescent="0.25">
      <c r="A2109" t="s">
        <v>2250</v>
      </c>
      <c r="B2109" t="s">
        <v>55</v>
      </c>
      <c r="C2109" t="s">
        <v>2208</v>
      </c>
      <c r="D2109" t="s">
        <v>2209</v>
      </c>
      <c r="E2109" t="s">
        <v>78</v>
      </c>
      <c r="F2109" t="s">
        <v>252</v>
      </c>
      <c r="G2109">
        <v>5.8789999999999996</v>
      </c>
      <c r="H2109">
        <v>-75.583299999999994</v>
      </c>
      <c r="I2109" t="s">
        <v>2210</v>
      </c>
      <c r="J2109">
        <v>11</v>
      </c>
      <c r="M2109">
        <v>145</v>
      </c>
      <c r="N2109">
        <v>34</v>
      </c>
      <c r="O2109">
        <v>16</v>
      </c>
      <c r="P2109">
        <v>32</v>
      </c>
      <c r="Q2109">
        <v>29</v>
      </c>
      <c r="R2109">
        <v>44</v>
      </c>
    </row>
    <row r="2110" spans="1:18" x14ac:dyDescent="0.25">
      <c r="A2110" t="s">
        <v>2251</v>
      </c>
      <c r="B2110" t="s">
        <v>55</v>
      </c>
      <c r="C2110" t="s">
        <v>2208</v>
      </c>
      <c r="D2110" t="s">
        <v>2209</v>
      </c>
      <c r="E2110" t="s">
        <v>78</v>
      </c>
      <c r="F2110" t="s">
        <v>252</v>
      </c>
      <c r="G2110">
        <v>5.8789999999999996</v>
      </c>
      <c r="H2110">
        <v>-75.583299999999994</v>
      </c>
      <c r="I2110" t="s">
        <v>2210</v>
      </c>
      <c r="J2110">
        <v>11</v>
      </c>
      <c r="M2110">
        <v>143</v>
      </c>
      <c r="N2110">
        <v>29</v>
      </c>
      <c r="O2110">
        <v>22</v>
      </c>
      <c r="P2110">
        <v>26</v>
      </c>
      <c r="Q2110">
        <v>38</v>
      </c>
      <c r="R2110">
        <v>27</v>
      </c>
    </row>
    <row r="2111" spans="1:18" x14ac:dyDescent="0.25">
      <c r="A2111" t="s">
        <v>2252</v>
      </c>
      <c r="B2111" t="s">
        <v>55</v>
      </c>
      <c r="C2111" t="s">
        <v>2208</v>
      </c>
      <c r="D2111" t="s">
        <v>2209</v>
      </c>
      <c r="E2111" t="s">
        <v>78</v>
      </c>
      <c r="F2111" t="s">
        <v>252</v>
      </c>
      <c r="G2111">
        <v>5.8789999999999996</v>
      </c>
      <c r="H2111">
        <v>-75.583299999999994</v>
      </c>
      <c r="I2111" t="s">
        <v>2210</v>
      </c>
      <c r="J2111">
        <v>11</v>
      </c>
      <c r="M2111">
        <v>136</v>
      </c>
      <c r="N2111">
        <v>27</v>
      </c>
      <c r="O2111">
        <v>20</v>
      </c>
      <c r="P2111">
        <v>30</v>
      </c>
      <c r="Q2111">
        <v>29</v>
      </c>
      <c r="R2111">
        <v>35</v>
      </c>
    </row>
    <row r="2112" spans="1:18" x14ac:dyDescent="0.25">
      <c r="A2112" t="s">
        <v>2253</v>
      </c>
      <c r="B2112" t="s">
        <v>55</v>
      </c>
      <c r="C2112" t="s">
        <v>2208</v>
      </c>
      <c r="D2112" t="s">
        <v>2209</v>
      </c>
      <c r="E2112" t="s">
        <v>78</v>
      </c>
      <c r="F2112" t="s">
        <v>252</v>
      </c>
      <c r="G2112">
        <v>5.8789999999999996</v>
      </c>
      <c r="H2112">
        <v>-75.583299999999994</v>
      </c>
      <c r="I2112" t="s">
        <v>2210</v>
      </c>
      <c r="J2112">
        <v>11</v>
      </c>
      <c r="M2112">
        <v>134</v>
      </c>
      <c r="N2112">
        <v>32</v>
      </c>
      <c r="O2112">
        <v>16</v>
      </c>
      <c r="P2112">
        <v>36</v>
      </c>
      <c r="Q2112">
        <v>22</v>
      </c>
      <c r="R2112">
        <v>29</v>
      </c>
    </row>
    <row r="2113" spans="1:18" x14ac:dyDescent="0.25">
      <c r="A2113" t="s">
        <v>2254</v>
      </c>
      <c r="B2113" t="s">
        <v>55</v>
      </c>
      <c r="C2113" t="s">
        <v>2208</v>
      </c>
      <c r="D2113" t="s">
        <v>2209</v>
      </c>
      <c r="E2113" t="s">
        <v>78</v>
      </c>
      <c r="F2113" t="s">
        <v>252</v>
      </c>
      <c r="G2113">
        <v>5.8789999999999996</v>
      </c>
      <c r="H2113">
        <v>-75.583299999999994</v>
      </c>
      <c r="I2113" t="s">
        <v>2210</v>
      </c>
      <c r="J2113">
        <v>11</v>
      </c>
      <c r="M2113">
        <v>133</v>
      </c>
      <c r="N2113">
        <v>29</v>
      </c>
      <c r="O2113">
        <v>14</v>
      </c>
      <c r="P2113">
        <v>32</v>
      </c>
      <c r="Q2113">
        <v>29</v>
      </c>
      <c r="R2113">
        <v>33</v>
      </c>
    </row>
    <row r="2114" spans="1:18" x14ac:dyDescent="0.25">
      <c r="A2114" t="s">
        <v>2255</v>
      </c>
      <c r="B2114" t="s">
        <v>55</v>
      </c>
      <c r="C2114" t="s">
        <v>2208</v>
      </c>
      <c r="D2114" t="s">
        <v>2209</v>
      </c>
      <c r="E2114" t="s">
        <v>78</v>
      </c>
      <c r="F2114" t="s">
        <v>252</v>
      </c>
      <c r="G2114">
        <v>5.8789999999999996</v>
      </c>
      <c r="H2114">
        <v>-75.583299999999994</v>
      </c>
      <c r="I2114" t="s">
        <v>2210</v>
      </c>
      <c r="J2114">
        <v>11</v>
      </c>
      <c r="M2114">
        <v>125</v>
      </c>
      <c r="N2114">
        <v>24</v>
      </c>
      <c r="O2114">
        <v>30</v>
      </c>
      <c r="P2114">
        <v>20</v>
      </c>
      <c r="Q2114">
        <v>24</v>
      </c>
      <c r="R2114">
        <v>29</v>
      </c>
    </row>
    <row r="2115" spans="1:18" x14ac:dyDescent="0.25">
      <c r="A2115" t="s">
        <v>2256</v>
      </c>
      <c r="B2115" t="s">
        <v>55</v>
      </c>
      <c r="C2115" t="s">
        <v>2208</v>
      </c>
      <c r="D2115" t="s">
        <v>2209</v>
      </c>
      <c r="E2115" t="s">
        <v>78</v>
      </c>
      <c r="F2115" t="s">
        <v>252</v>
      </c>
      <c r="G2115">
        <v>5.8789999999999996</v>
      </c>
      <c r="H2115">
        <v>-75.583299999999994</v>
      </c>
      <c r="I2115" t="s">
        <v>2210</v>
      </c>
      <c r="J2115">
        <v>11</v>
      </c>
      <c r="M2115">
        <v>121</v>
      </c>
      <c r="N2115">
        <v>27</v>
      </c>
      <c r="O2115">
        <v>22</v>
      </c>
      <c r="P2115">
        <v>26</v>
      </c>
      <c r="Q2115">
        <v>24</v>
      </c>
      <c r="R2115">
        <v>18</v>
      </c>
    </row>
    <row r="2116" spans="1:18" x14ac:dyDescent="0.25">
      <c r="A2116" t="s">
        <v>2257</v>
      </c>
      <c r="B2116" t="s">
        <v>55</v>
      </c>
      <c r="C2116" t="s">
        <v>2208</v>
      </c>
      <c r="D2116" t="s">
        <v>2209</v>
      </c>
      <c r="E2116" t="s">
        <v>78</v>
      </c>
      <c r="F2116" t="s">
        <v>252</v>
      </c>
      <c r="G2116">
        <v>5.8789999999999996</v>
      </c>
      <c r="H2116">
        <v>-75.583299999999994</v>
      </c>
      <c r="I2116" t="s">
        <v>2210</v>
      </c>
      <c r="J2116">
        <v>11</v>
      </c>
      <c r="M2116">
        <v>118</v>
      </c>
      <c r="N2116">
        <v>15</v>
      </c>
      <c r="O2116">
        <v>24</v>
      </c>
      <c r="P2116">
        <v>34</v>
      </c>
      <c r="Q2116">
        <v>16</v>
      </c>
      <c r="R2116">
        <v>44</v>
      </c>
    </row>
    <row r="2117" spans="1:18" x14ac:dyDescent="0.25">
      <c r="A2117" t="s">
        <v>2258</v>
      </c>
      <c r="B2117" t="s">
        <v>55</v>
      </c>
      <c r="C2117" t="s">
        <v>2208</v>
      </c>
      <c r="D2117" t="s">
        <v>2209</v>
      </c>
      <c r="E2117" t="s">
        <v>78</v>
      </c>
      <c r="F2117" t="s">
        <v>252</v>
      </c>
      <c r="G2117">
        <v>5.8789999999999996</v>
      </c>
      <c r="H2117">
        <v>-75.583299999999994</v>
      </c>
      <c r="I2117" t="s">
        <v>2210</v>
      </c>
      <c r="J2117">
        <v>11</v>
      </c>
      <c r="M2117">
        <v>112</v>
      </c>
      <c r="N2117">
        <v>27</v>
      </c>
      <c r="O2117">
        <v>22</v>
      </c>
      <c r="P2117">
        <v>22</v>
      </c>
      <c r="Q2117">
        <v>17</v>
      </c>
      <c r="R2117">
        <v>27</v>
      </c>
    </row>
    <row r="2118" spans="1:18" x14ac:dyDescent="0.25">
      <c r="A2118" t="s">
        <v>2259</v>
      </c>
      <c r="B2118" t="s">
        <v>55</v>
      </c>
      <c r="C2118" t="s">
        <v>2208</v>
      </c>
      <c r="D2118" t="s">
        <v>2209</v>
      </c>
      <c r="E2118" t="s">
        <v>78</v>
      </c>
      <c r="F2118" t="s">
        <v>252</v>
      </c>
      <c r="G2118">
        <v>5.8789999999999996</v>
      </c>
      <c r="H2118">
        <v>-75.583299999999994</v>
      </c>
      <c r="I2118" t="s">
        <v>2210</v>
      </c>
      <c r="J2118">
        <v>11</v>
      </c>
      <c r="M2118">
        <v>101</v>
      </c>
      <c r="N2118">
        <v>15</v>
      </c>
      <c r="O2118">
        <v>22</v>
      </c>
      <c r="P2118">
        <v>26</v>
      </c>
      <c r="Q2118">
        <v>16</v>
      </c>
      <c r="R2118">
        <v>27</v>
      </c>
    </row>
    <row r="2119" spans="1:18" x14ac:dyDescent="0.25">
      <c r="A2119" t="s">
        <v>2260</v>
      </c>
      <c r="B2119" t="s">
        <v>55</v>
      </c>
      <c r="C2119" t="s">
        <v>2208</v>
      </c>
      <c r="D2119" t="s">
        <v>2209</v>
      </c>
      <c r="E2119" t="s">
        <v>78</v>
      </c>
      <c r="F2119" t="s">
        <v>252</v>
      </c>
      <c r="G2119">
        <v>5.8789999999999996</v>
      </c>
      <c r="H2119">
        <v>-75.583299999999994</v>
      </c>
      <c r="I2119" t="s">
        <v>2210</v>
      </c>
      <c r="J2119">
        <v>11</v>
      </c>
      <c r="M2119">
        <v>57</v>
      </c>
      <c r="N2119">
        <v>22</v>
      </c>
      <c r="O2119">
        <v>18</v>
      </c>
      <c r="P2119">
        <v>2</v>
      </c>
      <c r="Q2119">
        <v>0</v>
      </c>
      <c r="R2119">
        <v>24</v>
      </c>
    </row>
    <row r="2120" spans="1:18" x14ac:dyDescent="0.25">
      <c r="A2120" t="s">
        <v>2261</v>
      </c>
      <c r="B2120" t="s">
        <v>55</v>
      </c>
      <c r="C2120" t="s">
        <v>2262</v>
      </c>
      <c r="D2120" t="s">
        <v>2263</v>
      </c>
      <c r="E2120" t="s">
        <v>78</v>
      </c>
      <c r="F2120" t="s">
        <v>252</v>
      </c>
      <c r="G2120">
        <v>8.8507999999999996</v>
      </c>
      <c r="H2120">
        <v>-76.426699999999997</v>
      </c>
      <c r="I2120" t="s">
        <v>2264</v>
      </c>
      <c r="J2120">
        <v>11</v>
      </c>
      <c r="M2120">
        <v>267</v>
      </c>
      <c r="N2120">
        <v>66</v>
      </c>
      <c r="O2120">
        <v>34</v>
      </c>
      <c r="P2120">
        <v>64</v>
      </c>
      <c r="Q2120">
        <v>45</v>
      </c>
      <c r="R2120">
        <v>67</v>
      </c>
    </row>
    <row r="2121" spans="1:18" x14ac:dyDescent="0.25">
      <c r="A2121" t="s">
        <v>2265</v>
      </c>
      <c r="B2121" t="s">
        <v>55</v>
      </c>
      <c r="C2121" t="s">
        <v>2262</v>
      </c>
      <c r="D2121" t="s">
        <v>2263</v>
      </c>
      <c r="E2121" t="s">
        <v>78</v>
      </c>
      <c r="F2121" t="s">
        <v>252</v>
      </c>
      <c r="G2121">
        <v>8.8507999999999996</v>
      </c>
      <c r="H2121">
        <v>-76.426699999999997</v>
      </c>
      <c r="I2121" t="s">
        <v>2264</v>
      </c>
      <c r="J2121">
        <v>11</v>
      </c>
      <c r="M2121">
        <v>266</v>
      </c>
      <c r="N2121">
        <v>56</v>
      </c>
      <c r="O2121">
        <v>42</v>
      </c>
      <c r="P2121">
        <v>50</v>
      </c>
      <c r="Q2121">
        <v>52</v>
      </c>
      <c r="R2121">
        <v>91</v>
      </c>
    </row>
    <row r="2122" spans="1:18" x14ac:dyDescent="0.25">
      <c r="A2122" t="s">
        <v>2266</v>
      </c>
      <c r="B2122" t="s">
        <v>55</v>
      </c>
      <c r="C2122" t="s">
        <v>2262</v>
      </c>
      <c r="D2122" t="s">
        <v>2263</v>
      </c>
      <c r="E2122" t="s">
        <v>78</v>
      </c>
      <c r="F2122" t="s">
        <v>252</v>
      </c>
      <c r="G2122">
        <v>8.8507999999999996</v>
      </c>
      <c r="H2122">
        <v>-76.426699999999997</v>
      </c>
      <c r="I2122" t="s">
        <v>2264</v>
      </c>
      <c r="J2122">
        <v>11</v>
      </c>
      <c r="M2122">
        <v>257</v>
      </c>
      <c r="N2122">
        <v>59</v>
      </c>
      <c r="O2122">
        <v>34</v>
      </c>
      <c r="P2122">
        <v>64</v>
      </c>
      <c r="Q2122">
        <v>40</v>
      </c>
      <c r="R2122">
        <v>80</v>
      </c>
    </row>
    <row r="2123" spans="1:18" x14ac:dyDescent="0.25">
      <c r="A2123" t="s">
        <v>2267</v>
      </c>
      <c r="B2123" t="s">
        <v>55</v>
      </c>
      <c r="C2123" t="s">
        <v>2262</v>
      </c>
      <c r="D2123" t="s">
        <v>2263</v>
      </c>
      <c r="E2123" t="s">
        <v>78</v>
      </c>
      <c r="F2123" t="s">
        <v>252</v>
      </c>
      <c r="G2123">
        <v>8.8507999999999996</v>
      </c>
      <c r="H2123">
        <v>-76.426699999999997</v>
      </c>
      <c r="I2123" t="s">
        <v>2264</v>
      </c>
      <c r="J2123">
        <v>11</v>
      </c>
      <c r="M2123">
        <v>244</v>
      </c>
      <c r="N2123">
        <v>73</v>
      </c>
      <c r="O2123">
        <v>36</v>
      </c>
      <c r="P2123">
        <v>54</v>
      </c>
      <c r="Q2123">
        <v>28</v>
      </c>
      <c r="R2123">
        <v>62</v>
      </c>
    </row>
    <row r="2124" spans="1:18" x14ac:dyDescent="0.25">
      <c r="A2124" t="s">
        <v>2268</v>
      </c>
      <c r="B2124" t="s">
        <v>55</v>
      </c>
      <c r="C2124" t="s">
        <v>2262</v>
      </c>
      <c r="D2124" t="s">
        <v>2263</v>
      </c>
      <c r="E2124" t="s">
        <v>78</v>
      </c>
      <c r="F2124" t="s">
        <v>252</v>
      </c>
      <c r="G2124">
        <v>8.8507999999999996</v>
      </c>
      <c r="H2124">
        <v>-76.426699999999997</v>
      </c>
      <c r="I2124" t="s">
        <v>2264</v>
      </c>
      <c r="J2124">
        <v>11</v>
      </c>
      <c r="M2124">
        <v>217</v>
      </c>
      <c r="N2124">
        <v>44</v>
      </c>
      <c r="O2124">
        <v>36</v>
      </c>
      <c r="P2124">
        <v>50</v>
      </c>
      <c r="Q2124">
        <v>40</v>
      </c>
      <c r="R2124">
        <v>56</v>
      </c>
    </row>
    <row r="2125" spans="1:18" x14ac:dyDescent="0.25">
      <c r="A2125" t="s">
        <v>2269</v>
      </c>
      <c r="B2125" t="s">
        <v>55</v>
      </c>
      <c r="C2125" t="s">
        <v>2262</v>
      </c>
      <c r="D2125" t="s">
        <v>2263</v>
      </c>
      <c r="E2125" t="s">
        <v>78</v>
      </c>
      <c r="F2125" t="s">
        <v>252</v>
      </c>
      <c r="G2125">
        <v>8.8507999999999996</v>
      </c>
      <c r="H2125">
        <v>-76.426699999999997</v>
      </c>
      <c r="I2125" t="s">
        <v>2264</v>
      </c>
      <c r="J2125">
        <v>11</v>
      </c>
      <c r="M2125">
        <v>217</v>
      </c>
      <c r="N2125">
        <v>68</v>
      </c>
      <c r="O2125">
        <v>30</v>
      </c>
      <c r="P2125">
        <v>36</v>
      </c>
      <c r="Q2125">
        <v>33</v>
      </c>
      <c r="R2125">
        <v>62</v>
      </c>
    </row>
    <row r="2126" spans="1:18" x14ac:dyDescent="0.25">
      <c r="A2126" t="s">
        <v>2270</v>
      </c>
      <c r="B2126" t="s">
        <v>55</v>
      </c>
      <c r="C2126" t="s">
        <v>2262</v>
      </c>
      <c r="D2126" t="s">
        <v>2263</v>
      </c>
      <c r="E2126" t="s">
        <v>78</v>
      </c>
      <c r="F2126" t="s">
        <v>252</v>
      </c>
      <c r="G2126">
        <v>8.8507999999999996</v>
      </c>
      <c r="H2126">
        <v>-76.426699999999997</v>
      </c>
      <c r="I2126" t="s">
        <v>2264</v>
      </c>
      <c r="J2126">
        <v>11</v>
      </c>
      <c r="M2126">
        <v>207</v>
      </c>
      <c r="N2126">
        <v>32</v>
      </c>
      <c r="O2126">
        <v>60</v>
      </c>
      <c r="P2126">
        <v>50</v>
      </c>
      <c r="Q2126">
        <v>28</v>
      </c>
      <c r="R2126">
        <v>29</v>
      </c>
    </row>
    <row r="2127" spans="1:18" x14ac:dyDescent="0.25">
      <c r="A2127" t="s">
        <v>2271</v>
      </c>
      <c r="B2127" t="s">
        <v>55</v>
      </c>
      <c r="C2127" t="s">
        <v>2262</v>
      </c>
      <c r="D2127" t="s">
        <v>2263</v>
      </c>
      <c r="E2127" t="s">
        <v>78</v>
      </c>
      <c r="F2127" t="s">
        <v>252</v>
      </c>
      <c r="G2127">
        <v>8.8507999999999996</v>
      </c>
      <c r="H2127">
        <v>-76.426699999999997</v>
      </c>
      <c r="I2127" t="s">
        <v>2264</v>
      </c>
      <c r="J2127">
        <v>11</v>
      </c>
      <c r="M2127">
        <v>205</v>
      </c>
      <c r="N2127">
        <v>37</v>
      </c>
      <c r="O2127">
        <v>38</v>
      </c>
      <c r="P2127">
        <v>42</v>
      </c>
      <c r="Q2127">
        <v>31</v>
      </c>
      <c r="R2127">
        <v>91</v>
      </c>
    </row>
    <row r="2128" spans="1:18" x14ac:dyDescent="0.25">
      <c r="A2128" t="s">
        <v>2272</v>
      </c>
      <c r="B2128" t="s">
        <v>55</v>
      </c>
      <c r="C2128" t="s">
        <v>2262</v>
      </c>
      <c r="D2128" t="s">
        <v>2263</v>
      </c>
      <c r="E2128" t="s">
        <v>78</v>
      </c>
      <c r="F2128" t="s">
        <v>252</v>
      </c>
      <c r="G2128">
        <v>8.8507999999999996</v>
      </c>
      <c r="H2128">
        <v>-76.426699999999997</v>
      </c>
      <c r="I2128" t="s">
        <v>2264</v>
      </c>
      <c r="J2128">
        <v>11</v>
      </c>
      <c r="M2128">
        <v>204</v>
      </c>
      <c r="N2128">
        <v>54</v>
      </c>
      <c r="O2128">
        <v>24</v>
      </c>
      <c r="P2128">
        <v>50</v>
      </c>
      <c r="Q2128">
        <v>38</v>
      </c>
      <c r="R2128">
        <v>33</v>
      </c>
    </row>
    <row r="2129" spans="1:18" x14ac:dyDescent="0.25">
      <c r="A2129" t="s">
        <v>2273</v>
      </c>
      <c r="B2129" t="s">
        <v>55</v>
      </c>
      <c r="C2129" t="s">
        <v>2262</v>
      </c>
      <c r="D2129" t="s">
        <v>2263</v>
      </c>
      <c r="E2129" t="s">
        <v>78</v>
      </c>
      <c r="F2129" t="s">
        <v>252</v>
      </c>
      <c r="G2129">
        <v>8.8507999999999996</v>
      </c>
      <c r="H2129">
        <v>-76.426699999999997</v>
      </c>
      <c r="I2129" t="s">
        <v>2264</v>
      </c>
      <c r="J2129">
        <v>11</v>
      </c>
      <c r="M2129">
        <v>193</v>
      </c>
      <c r="N2129">
        <v>49</v>
      </c>
      <c r="O2129">
        <v>40</v>
      </c>
      <c r="P2129">
        <v>46</v>
      </c>
      <c r="Q2129">
        <v>22</v>
      </c>
      <c r="R2129">
        <v>31</v>
      </c>
    </row>
    <row r="2130" spans="1:18" x14ac:dyDescent="0.25">
      <c r="A2130" t="s">
        <v>2274</v>
      </c>
      <c r="B2130" t="s">
        <v>55</v>
      </c>
      <c r="C2130" t="s">
        <v>2262</v>
      </c>
      <c r="D2130" t="s">
        <v>2263</v>
      </c>
      <c r="E2130" t="s">
        <v>78</v>
      </c>
      <c r="F2130" t="s">
        <v>252</v>
      </c>
      <c r="G2130">
        <v>8.8507999999999996</v>
      </c>
      <c r="H2130">
        <v>-76.426699999999997</v>
      </c>
      <c r="I2130" t="s">
        <v>2264</v>
      </c>
      <c r="J2130">
        <v>11</v>
      </c>
      <c r="M2130">
        <v>193</v>
      </c>
      <c r="N2130">
        <v>49</v>
      </c>
      <c r="O2130">
        <v>30</v>
      </c>
      <c r="P2130">
        <v>46</v>
      </c>
      <c r="Q2130">
        <v>26</v>
      </c>
      <c r="R2130">
        <v>49</v>
      </c>
    </row>
    <row r="2131" spans="1:18" x14ac:dyDescent="0.25">
      <c r="A2131" t="s">
        <v>2275</v>
      </c>
      <c r="B2131" t="s">
        <v>55</v>
      </c>
      <c r="C2131" t="s">
        <v>2262</v>
      </c>
      <c r="D2131" t="s">
        <v>2263</v>
      </c>
      <c r="E2131" t="s">
        <v>78</v>
      </c>
      <c r="F2131" t="s">
        <v>252</v>
      </c>
      <c r="G2131">
        <v>8.8507999999999996</v>
      </c>
      <c r="H2131">
        <v>-76.426699999999997</v>
      </c>
      <c r="I2131" t="s">
        <v>2264</v>
      </c>
      <c r="J2131">
        <v>11</v>
      </c>
      <c r="M2131">
        <v>192</v>
      </c>
      <c r="N2131">
        <v>49</v>
      </c>
      <c r="O2131">
        <v>34</v>
      </c>
      <c r="P2131">
        <v>46</v>
      </c>
      <c r="Q2131">
        <v>21</v>
      </c>
      <c r="R2131">
        <v>51</v>
      </c>
    </row>
    <row r="2132" spans="1:18" x14ac:dyDescent="0.25">
      <c r="A2132" t="s">
        <v>2276</v>
      </c>
      <c r="B2132" t="s">
        <v>55</v>
      </c>
      <c r="C2132" t="s">
        <v>2262</v>
      </c>
      <c r="D2132" t="s">
        <v>2263</v>
      </c>
      <c r="E2132" t="s">
        <v>78</v>
      </c>
      <c r="F2132" t="s">
        <v>252</v>
      </c>
      <c r="G2132">
        <v>8.8507999999999996</v>
      </c>
      <c r="H2132">
        <v>-76.426699999999997</v>
      </c>
      <c r="I2132" t="s">
        <v>2264</v>
      </c>
      <c r="J2132">
        <v>11</v>
      </c>
      <c r="M2132">
        <v>187</v>
      </c>
      <c r="N2132">
        <v>44</v>
      </c>
      <c r="O2132">
        <v>38</v>
      </c>
      <c r="P2132">
        <v>36</v>
      </c>
      <c r="Q2132">
        <v>28</v>
      </c>
      <c r="R2132">
        <v>51</v>
      </c>
    </row>
    <row r="2133" spans="1:18" x14ac:dyDescent="0.25">
      <c r="A2133" t="s">
        <v>2277</v>
      </c>
      <c r="B2133" t="s">
        <v>55</v>
      </c>
      <c r="C2133" t="s">
        <v>2262</v>
      </c>
      <c r="D2133" t="s">
        <v>2263</v>
      </c>
      <c r="E2133" t="s">
        <v>78</v>
      </c>
      <c r="F2133" t="s">
        <v>252</v>
      </c>
      <c r="G2133">
        <v>8.8507999999999996</v>
      </c>
      <c r="H2133">
        <v>-76.426699999999997</v>
      </c>
      <c r="I2133" t="s">
        <v>2264</v>
      </c>
      <c r="J2133">
        <v>11</v>
      </c>
      <c r="M2133">
        <v>184</v>
      </c>
      <c r="N2133">
        <v>37</v>
      </c>
      <c r="O2133">
        <v>46</v>
      </c>
      <c r="P2133">
        <v>36</v>
      </c>
      <c r="Q2133">
        <v>31</v>
      </c>
      <c r="R2133">
        <v>29</v>
      </c>
    </row>
    <row r="2134" spans="1:18" x14ac:dyDescent="0.25">
      <c r="A2134" t="s">
        <v>2278</v>
      </c>
      <c r="B2134" t="s">
        <v>55</v>
      </c>
      <c r="C2134" t="s">
        <v>2262</v>
      </c>
      <c r="D2134" t="s">
        <v>2263</v>
      </c>
      <c r="E2134" t="s">
        <v>78</v>
      </c>
      <c r="F2134" t="s">
        <v>252</v>
      </c>
      <c r="G2134">
        <v>8.8507999999999996</v>
      </c>
      <c r="H2134">
        <v>-76.426699999999997</v>
      </c>
      <c r="I2134" t="s">
        <v>2264</v>
      </c>
      <c r="J2134">
        <v>11</v>
      </c>
      <c r="M2134">
        <v>182</v>
      </c>
      <c r="N2134">
        <v>49</v>
      </c>
      <c r="O2134">
        <v>30</v>
      </c>
      <c r="P2134">
        <v>36</v>
      </c>
      <c r="Q2134">
        <v>28</v>
      </c>
      <c r="R2134">
        <v>47</v>
      </c>
    </row>
    <row r="2135" spans="1:18" x14ac:dyDescent="0.25">
      <c r="A2135" t="s">
        <v>2279</v>
      </c>
      <c r="B2135" t="s">
        <v>55</v>
      </c>
      <c r="C2135" t="s">
        <v>2262</v>
      </c>
      <c r="D2135" t="s">
        <v>2263</v>
      </c>
      <c r="E2135" t="s">
        <v>78</v>
      </c>
      <c r="F2135" t="s">
        <v>252</v>
      </c>
      <c r="G2135">
        <v>8.8507999999999996</v>
      </c>
      <c r="H2135">
        <v>-76.426699999999997</v>
      </c>
      <c r="I2135" t="s">
        <v>2264</v>
      </c>
      <c r="J2135">
        <v>11</v>
      </c>
      <c r="M2135">
        <v>179</v>
      </c>
      <c r="N2135">
        <v>46</v>
      </c>
      <c r="O2135">
        <v>22</v>
      </c>
      <c r="P2135">
        <v>46</v>
      </c>
      <c r="Q2135">
        <v>21</v>
      </c>
      <c r="R2135">
        <v>60</v>
      </c>
    </row>
    <row r="2136" spans="1:18" x14ac:dyDescent="0.25">
      <c r="A2136" t="s">
        <v>2280</v>
      </c>
      <c r="B2136" t="s">
        <v>55</v>
      </c>
      <c r="C2136" t="s">
        <v>2262</v>
      </c>
      <c r="D2136" t="s">
        <v>2263</v>
      </c>
      <c r="E2136" t="s">
        <v>78</v>
      </c>
      <c r="F2136" t="s">
        <v>252</v>
      </c>
      <c r="G2136">
        <v>8.8507999999999996</v>
      </c>
      <c r="H2136">
        <v>-76.426699999999997</v>
      </c>
      <c r="I2136" t="s">
        <v>2264</v>
      </c>
      <c r="J2136">
        <v>11</v>
      </c>
      <c r="M2136">
        <v>175</v>
      </c>
      <c r="N2136">
        <v>41</v>
      </c>
      <c r="O2136">
        <v>38</v>
      </c>
      <c r="P2136">
        <v>34</v>
      </c>
      <c r="Q2136">
        <v>22</v>
      </c>
      <c r="R2136">
        <v>47</v>
      </c>
    </row>
    <row r="2137" spans="1:18" x14ac:dyDescent="0.25">
      <c r="A2137" t="s">
        <v>2281</v>
      </c>
      <c r="B2137" t="s">
        <v>55</v>
      </c>
      <c r="C2137" t="s">
        <v>2262</v>
      </c>
      <c r="D2137" t="s">
        <v>2263</v>
      </c>
      <c r="E2137" t="s">
        <v>78</v>
      </c>
      <c r="F2137" t="s">
        <v>252</v>
      </c>
      <c r="G2137">
        <v>8.8507999999999996</v>
      </c>
      <c r="H2137">
        <v>-76.426699999999997</v>
      </c>
      <c r="I2137" t="s">
        <v>2264</v>
      </c>
      <c r="J2137">
        <v>11</v>
      </c>
      <c r="M2137">
        <v>172</v>
      </c>
      <c r="N2137">
        <v>32</v>
      </c>
      <c r="O2137">
        <v>36</v>
      </c>
      <c r="P2137">
        <v>32</v>
      </c>
      <c r="Q2137">
        <v>34</v>
      </c>
      <c r="R2137">
        <v>44</v>
      </c>
    </row>
    <row r="2138" spans="1:18" x14ac:dyDescent="0.25">
      <c r="A2138" t="s">
        <v>2282</v>
      </c>
      <c r="B2138" t="s">
        <v>55</v>
      </c>
      <c r="C2138" t="s">
        <v>2262</v>
      </c>
      <c r="D2138" t="s">
        <v>2263</v>
      </c>
      <c r="E2138" t="s">
        <v>78</v>
      </c>
      <c r="F2138" t="s">
        <v>252</v>
      </c>
      <c r="G2138">
        <v>8.8507999999999996</v>
      </c>
      <c r="H2138">
        <v>-76.426699999999997</v>
      </c>
      <c r="I2138" t="s">
        <v>2264</v>
      </c>
      <c r="J2138">
        <v>11</v>
      </c>
      <c r="M2138">
        <v>170</v>
      </c>
      <c r="N2138">
        <v>44</v>
      </c>
      <c r="O2138">
        <v>34</v>
      </c>
      <c r="P2138">
        <v>36</v>
      </c>
      <c r="Q2138">
        <v>22</v>
      </c>
      <c r="R2138">
        <v>33</v>
      </c>
    </row>
    <row r="2139" spans="1:18" x14ac:dyDescent="0.25">
      <c r="A2139" t="s">
        <v>2283</v>
      </c>
      <c r="B2139" t="s">
        <v>55</v>
      </c>
      <c r="C2139" t="s">
        <v>2262</v>
      </c>
      <c r="D2139" t="s">
        <v>2263</v>
      </c>
      <c r="E2139" t="s">
        <v>78</v>
      </c>
      <c r="F2139" t="s">
        <v>252</v>
      </c>
      <c r="G2139">
        <v>8.8507999999999996</v>
      </c>
      <c r="H2139">
        <v>-76.426699999999997</v>
      </c>
      <c r="I2139" t="s">
        <v>2264</v>
      </c>
      <c r="J2139">
        <v>11</v>
      </c>
      <c r="M2139">
        <v>169</v>
      </c>
      <c r="N2139">
        <v>41</v>
      </c>
      <c r="O2139">
        <v>36</v>
      </c>
      <c r="P2139">
        <v>26</v>
      </c>
      <c r="Q2139">
        <v>28</v>
      </c>
      <c r="R2139">
        <v>45</v>
      </c>
    </row>
    <row r="2140" spans="1:18" x14ac:dyDescent="0.25">
      <c r="A2140" t="s">
        <v>2284</v>
      </c>
      <c r="B2140" t="s">
        <v>55</v>
      </c>
      <c r="C2140" t="s">
        <v>2262</v>
      </c>
      <c r="D2140" t="s">
        <v>2263</v>
      </c>
      <c r="E2140" t="s">
        <v>78</v>
      </c>
      <c r="F2140" t="s">
        <v>252</v>
      </c>
      <c r="G2140">
        <v>8.8507999999999996</v>
      </c>
      <c r="H2140">
        <v>-76.426699999999997</v>
      </c>
      <c r="I2140" t="s">
        <v>2264</v>
      </c>
      <c r="J2140">
        <v>11</v>
      </c>
      <c r="M2140">
        <v>168</v>
      </c>
      <c r="N2140">
        <v>44</v>
      </c>
      <c r="O2140">
        <v>24</v>
      </c>
      <c r="P2140">
        <v>38</v>
      </c>
      <c r="Q2140">
        <v>26</v>
      </c>
      <c r="R2140">
        <v>42</v>
      </c>
    </row>
    <row r="2141" spans="1:18" x14ac:dyDescent="0.25">
      <c r="A2141" t="s">
        <v>2285</v>
      </c>
      <c r="B2141" t="s">
        <v>55</v>
      </c>
      <c r="C2141" t="s">
        <v>2262</v>
      </c>
      <c r="D2141" t="s">
        <v>2263</v>
      </c>
      <c r="E2141" t="s">
        <v>78</v>
      </c>
      <c r="F2141" t="s">
        <v>252</v>
      </c>
      <c r="G2141">
        <v>8.8507999999999996</v>
      </c>
      <c r="H2141">
        <v>-76.426699999999997</v>
      </c>
      <c r="I2141" t="s">
        <v>2264</v>
      </c>
      <c r="J2141">
        <v>11</v>
      </c>
      <c r="M2141">
        <v>166</v>
      </c>
      <c r="N2141">
        <v>46</v>
      </c>
      <c r="O2141">
        <v>26</v>
      </c>
      <c r="P2141">
        <v>32</v>
      </c>
      <c r="Q2141">
        <v>26</v>
      </c>
      <c r="R2141">
        <v>40</v>
      </c>
    </row>
    <row r="2142" spans="1:18" x14ac:dyDescent="0.25">
      <c r="A2142" t="s">
        <v>2286</v>
      </c>
      <c r="B2142" t="s">
        <v>55</v>
      </c>
      <c r="C2142" t="s">
        <v>2262</v>
      </c>
      <c r="D2142" t="s">
        <v>2263</v>
      </c>
      <c r="E2142" t="s">
        <v>78</v>
      </c>
      <c r="F2142" t="s">
        <v>252</v>
      </c>
      <c r="G2142">
        <v>8.8507999999999996</v>
      </c>
      <c r="H2142">
        <v>-76.426699999999997</v>
      </c>
      <c r="I2142" t="s">
        <v>2264</v>
      </c>
      <c r="J2142">
        <v>11</v>
      </c>
      <c r="M2142">
        <v>163</v>
      </c>
      <c r="N2142">
        <v>37</v>
      </c>
      <c r="O2142">
        <v>30</v>
      </c>
      <c r="P2142">
        <v>34</v>
      </c>
      <c r="Q2142">
        <v>24</v>
      </c>
      <c r="R2142">
        <v>51</v>
      </c>
    </row>
    <row r="2143" spans="1:18" x14ac:dyDescent="0.25">
      <c r="A2143" t="s">
        <v>2287</v>
      </c>
      <c r="B2143" t="s">
        <v>55</v>
      </c>
      <c r="C2143" t="s">
        <v>2262</v>
      </c>
      <c r="D2143" t="s">
        <v>2263</v>
      </c>
      <c r="E2143" t="s">
        <v>78</v>
      </c>
      <c r="F2143" t="s">
        <v>252</v>
      </c>
      <c r="G2143">
        <v>8.8507999999999996</v>
      </c>
      <c r="H2143">
        <v>-76.426699999999997</v>
      </c>
      <c r="I2143" t="s">
        <v>2264</v>
      </c>
      <c r="J2143">
        <v>11</v>
      </c>
      <c r="M2143">
        <v>163</v>
      </c>
      <c r="N2143">
        <v>32</v>
      </c>
      <c r="O2143">
        <v>30</v>
      </c>
      <c r="P2143">
        <v>32</v>
      </c>
      <c r="Q2143">
        <v>31</v>
      </c>
      <c r="R2143">
        <v>49</v>
      </c>
    </row>
    <row r="2144" spans="1:18" x14ac:dyDescent="0.25">
      <c r="A2144" t="s">
        <v>2288</v>
      </c>
      <c r="B2144" t="s">
        <v>55</v>
      </c>
      <c r="C2144" t="s">
        <v>2262</v>
      </c>
      <c r="D2144" t="s">
        <v>2263</v>
      </c>
      <c r="E2144" t="s">
        <v>78</v>
      </c>
      <c r="F2144" t="s">
        <v>252</v>
      </c>
      <c r="G2144">
        <v>8.8507999999999996</v>
      </c>
      <c r="H2144">
        <v>-76.426699999999997</v>
      </c>
      <c r="I2144" t="s">
        <v>2264</v>
      </c>
      <c r="J2144">
        <v>11</v>
      </c>
      <c r="M2144">
        <v>162</v>
      </c>
      <c r="N2144">
        <v>49</v>
      </c>
      <c r="O2144">
        <v>24</v>
      </c>
      <c r="P2144">
        <v>38</v>
      </c>
      <c r="Q2144">
        <v>22</v>
      </c>
      <c r="R2144">
        <v>22</v>
      </c>
    </row>
    <row r="2145" spans="1:18" x14ac:dyDescent="0.25">
      <c r="A2145" t="s">
        <v>2289</v>
      </c>
      <c r="B2145" t="s">
        <v>55</v>
      </c>
      <c r="C2145" t="s">
        <v>2262</v>
      </c>
      <c r="D2145" t="s">
        <v>2263</v>
      </c>
      <c r="E2145" t="s">
        <v>78</v>
      </c>
      <c r="F2145" t="s">
        <v>252</v>
      </c>
      <c r="G2145">
        <v>8.8507999999999996</v>
      </c>
      <c r="H2145">
        <v>-76.426699999999997</v>
      </c>
      <c r="I2145" t="s">
        <v>2264</v>
      </c>
      <c r="J2145">
        <v>11</v>
      </c>
      <c r="M2145">
        <v>160</v>
      </c>
      <c r="N2145">
        <v>29</v>
      </c>
      <c r="O2145">
        <v>14</v>
      </c>
      <c r="P2145">
        <v>44</v>
      </c>
      <c r="Q2145">
        <v>34</v>
      </c>
      <c r="R2145">
        <v>51</v>
      </c>
    </row>
    <row r="2146" spans="1:18" x14ac:dyDescent="0.25">
      <c r="A2146" t="s">
        <v>2290</v>
      </c>
      <c r="B2146" t="s">
        <v>55</v>
      </c>
      <c r="C2146" t="s">
        <v>2262</v>
      </c>
      <c r="D2146" t="s">
        <v>2263</v>
      </c>
      <c r="E2146" t="s">
        <v>78</v>
      </c>
      <c r="F2146" t="s">
        <v>252</v>
      </c>
      <c r="G2146">
        <v>8.8507999999999996</v>
      </c>
      <c r="H2146">
        <v>-76.426699999999997</v>
      </c>
      <c r="I2146" t="s">
        <v>2264</v>
      </c>
      <c r="J2146">
        <v>11</v>
      </c>
      <c r="M2146">
        <v>159</v>
      </c>
      <c r="N2146">
        <v>41</v>
      </c>
      <c r="O2146">
        <v>26</v>
      </c>
      <c r="P2146">
        <v>30</v>
      </c>
      <c r="Q2146">
        <v>31</v>
      </c>
      <c r="R2146">
        <v>27</v>
      </c>
    </row>
    <row r="2147" spans="1:18" x14ac:dyDescent="0.25">
      <c r="A2147" t="s">
        <v>2291</v>
      </c>
      <c r="B2147" t="s">
        <v>55</v>
      </c>
      <c r="C2147" t="s">
        <v>2262</v>
      </c>
      <c r="D2147" t="s">
        <v>2263</v>
      </c>
      <c r="E2147" t="s">
        <v>78</v>
      </c>
      <c r="F2147" t="s">
        <v>252</v>
      </c>
      <c r="G2147">
        <v>8.8507999999999996</v>
      </c>
      <c r="H2147">
        <v>-76.426699999999997</v>
      </c>
      <c r="I2147" t="s">
        <v>2264</v>
      </c>
      <c r="J2147">
        <v>11</v>
      </c>
      <c r="M2147">
        <v>156</v>
      </c>
      <c r="N2147">
        <v>37</v>
      </c>
      <c r="O2147">
        <v>30</v>
      </c>
      <c r="P2147">
        <v>34</v>
      </c>
      <c r="Q2147">
        <v>21</v>
      </c>
      <c r="R2147">
        <v>42</v>
      </c>
    </row>
    <row r="2148" spans="1:18" x14ac:dyDescent="0.25">
      <c r="A2148" t="s">
        <v>2292</v>
      </c>
      <c r="B2148" t="s">
        <v>55</v>
      </c>
      <c r="C2148" t="s">
        <v>2262</v>
      </c>
      <c r="D2148" t="s">
        <v>2263</v>
      </c>
      <c r="E2148" t="s">
        <v>78</v>
      </c>
      <c r="F2148" t="s">
        <v>252</v>
      </c>
      <c r="G2148">
        <v>8.8507999999999996</v>
      </c>
      <c r="H2148">
        <v>-76.426699999999997</v>
      </c>
      <c r="I2148" t="s">
        <v>2264</v>
      </c>
      <c r="J2148">
        <v>11</v>
      </c>
      <c r="M2148">
        <v>155</v>
      </c>
      <c r="N2148">
        <v>32</v>
      </c>
      <c r="O2148">
        <v>26</v>
      </c>
      <c r="P2148">
        <v>32</v>
      </c>
      <c r="Q2148">
        <v>31</v>
      </c>
      <c r="R2148">
        <v>40</v>
      </c>
    </row>
    <row r="2149" spans="1:18" x14ac:dyDescent="0.25">
      <c r="A2149" t="s">
        <v>2293</v>
      </c>
      <c r="B2149" t="s">
        <v>55</v>
      </c>
      <c r="C2149" t="s">
        <v>2262</v>
      </c>
      <c r="D2149" t="s">
        <v>2263</v>
      </c>
      <c r="E2149" t="s">
        <v>78</v>
      </c>
      <c r="F2149" t="s">
        <v>252</v>
      </c>
      <c r="G2149">
        <v>8.8507999999999996</v>
      </c>
      <c r="H2149">
        <v>-76.426699999999997</v>
      </c>
      <c r="I2149" t="s">
        <v>2264</v>
      </c>
      <c r="J2149">
        <v>11</v>
      </c>
      <c r="M2149">
        <v>154</v>
      </c>
      <c r="N2149">
        <v>37</v>
      </c>
      <c r="O2149">
        <v>26</v>
      </c>
      <c r="P2149">
        <v>28</v>
      </c>
      <c r="Q2149">
        <v>24</v>
      </c>
      <c r="R2149">
        <v>56</v>
      </c>
    </row>
    <row r="2150" spans="1:18" x14ac:dyDescent="0.25">
      <c r="A2150" t="s">
        <v>2294</v>
      </c>
      <c r="B2150" t="s">
        <v>55</v>
      </c>
      <c r="C2150" t="s">
        <v>2262</v>
      </c>
      <c r="D2150" t="s">
        <v>2263</v>
      </c>
      <c r="E2150" t="s">
        <v>78</v>
      </c>
      <c r="F2150" t="s">
        <v>252</v>
      </c>
      <c r="G2150">
        <v>8.8507999999999996</v>
      </c>
      <c r="H2150">
        <v>-76.426699999999997</v>
      </c>
      <c r="I2150" t="s">
        <v>2264</v>
      </c>
      <c r="J2150">
        <v>11</v>
      </c>
      <c r="M2150">
        <v>153</v>
      </c>
      <c r="N2150">
        <v>37</v>
      </c>
      <c r="O2150">
        <v>24</v>
      </c>
      <c r="P2150">
        <v>28</v>
      </c>
      <c r="Q2150">
        <v>31</v>
      </c>
      <c r="R2150">
        <v>40</v>
      </c>
    </row>
    <row r="2151" spans="1:18" x14ac:dyDescent="0.25">
      <c r="A2151" t="s">
        <v>2295</v>
      </c>
      <c r="B2151" t="s">
        <v>55</v>
      </c>
      <c r="C2151" t="s">
        <v>2262</v>
      </c>
      <c r="D2151" t="s">
        <v>2263</v>
      </c>
      <c r="E2151" t="s">
        <v>78</v>
      </c>
      <c r="F2151" t="s">
        <v>252</v>
      </c>
      <c r="G2151">
        <v>8.8507999999999996</v>
      </c>
      <c r="H2151">
        <v>-76.426699999999997</v>
      </c>
      <c r="I2151" t="s">
        <v>2264</v>
      </c>
      <c r="J2151">
        <v>11</v>
      </c>
      <c r="M2151">
        <v>153</v>
      </c>
      <c r="N2151">
        <v>39</v>
      </c>
      <c r="O2151">
        <v>36</v>
      </c>
      <c r="P2151">
        <v>28</v>
      </c>
      <c r="Q2151">
        <v>22</v>
      </c>
      <c r="R2151">
        <v>22</v>
      </c>
    </row>
    <row r="2152" spans="1:18" x14ac:dyDescent="0.25">
      <c r="A2152" t="s">
        <v>2296</v>
      </c>
      <c r="B2152" t="s">
        <v>55</v>
      </c>
      <c r="C2152" t="s">
        <v>2262</v>
      </c>
      <c r="D2152" t="s">
        <v>2263</v>
      </c>
      <c r="E2152" t="s">
        <v>78</v>
      </c>
      <c r="F2152" t="s">
        <v>252</v>
      </c>
      <c r="G2152">
        <v>8.8507999999999996</v>
      </c>
      <c r="H2152">
        <v>-76.426699999999997</v>
      </c>
      <c r="I2152" t="s">
        <v>2264</v>
      </c>
      <c r="J2152">
        <v>11</v>
      </c>
      <c r="M2152">
        <v>152</v>
      </c>
      <c r="N2152">
        <v>39</v>
      </c>
      <c r="O2152">
        <v>42</v>
      </c>
      <c r="P2152">
        <v>28</v>
      </c>
      <c r="Q2152">
        <v>12</v>
      </c>
      <c r="R2152">
        <v>33</v>
      </c>
    </row>
    <row r="2153" spans="1:18" x14ac:dyDescent="0.25">
      <c r="A2153" t="s">
        <v>2297</v>
      </c>
      <c r="B2153" t="s">
        <v>55</v>
      </c>
      <c r="C2153" t="s">
        <v>2262</v>
      </c>
      <c r="D2153" t="s">
        <v>2263</v>
      </c>
      <c r="E2153" t="s">
        <v>78</v>
      </c>
      <c r="F2153" t="s">
        <v>252</v>
      </c>
      <c r="G2153">
        <v>8.8507999999999996</v>
      </c>
      <c r="H2153">
        <v>-76.426699999999997</v>
      </c>
      <c r="I2153" t="s">
        <v>2264</v>
      </c>
      <c r="J2153">
        <v>11</v>
      </c>
      <c r="M2153">
        <v>150</v>
      </c>
      <c r="N2153">
        <v>37</v>
      </c>
      <c r="O2153">
        <v>32</v>
      </c>
      <c r="P2153">
        <v>28</v>
      </c>
      <c r="Q2153">
        <v>24</v>
      </c>
      <c r="R2153">
        <v>29</v>
      </c>
    </row>
    <row r="2154" spans="1:18" x14ac:dyDescent="0.25">
      <c r="A2154" t="s">
        <v>2298</v>
      </c>
      <c r="B2154" t="s">
        <v>55</v>
      </c>
      <c r="C2154" t="s">
        <v>2262</v>
      </c>
      <c r="D2154" t="s">
        <v>2263</v>
      </c>
      <c r="E2154" t="s">
        <v>78</v>
      </c>
      <c r="F2154" t="s">
        <v>252</v>
      </c>
      <c r="G2154">
        <v>8.8507999999999996</v>
      </c>
      <c r="H2154">
        <v>-76.426699999999997</v>
      </c>
      <c r="I2154" t="s">
        <v>2264</v>
      </c>
      <c r="J2154">
        <v>11</v>
      </c>
      <c r="M2154">
        <v>150</v>
      </c>
      <c r="N2154">
        <v>27</v>
      </c>
      <c r="O2154">
        <v>28</v>
      </c>
      <c r="P2154">
        <v>30</v>
      </c>
      <c r="Q2154">
        <v>33</v>
      </c>
      <c r="R2154">
        <v>36</v>
      </c>
    </row>
    <row r="2155" spans="1:18" x14ac:dyDescent="0.25">
      <c r="A2155" t="s">
        <v>2299</v>
      </c>
      <c r="B2155" t="s">
        <v>55</v>
      </c>
      <c r="C2155" t="s">
        <v>2262</v>
      </c>
      <c r="D2155" t="s">
        <v>2263</v>
      </c>
      <c r="E2155" t="s">
        <v>78</v>
      </c>
      <c r="F2155" t="s">
        <v>252</v>
      </c>
      <c r="G2155">
        <v>8.8507999999999996</v>
      </c>
      <c r="H2155">
        <v>-76.426699999999997</v>
      </c>
      <c r="I2155" t="s">
        <v>2264</v>
      </c>
      <c r="J2155">
        <v>11</v>
      </c>
      <c r="M2155">
        <v>149</v>
      </c>
      <c r="N2155">
        <v>41</v>
      </c>
      <c r="O2155">
        <v>38</v>
      </c>
      <c r="P2155">
        <v>14</v>
      </c>
      <c r="Q2155">
        <v>28</v>
      </c>
      <c r="R2155">
        <v>25</v>
      </c>
    </row>
    <row r="2156" spans="1:18" x14ac:dyDescent="0.25">
      <c r="A2156" t="s">
        <v>2300</v>
      </c>
      <c r="B2156" t="s">
        <v>55</v>
      </c>
      <c r="C2156" t="s">
        <v>2262</v>
      </c>
      <c r="D2156" t="s">
        <v>2263</v>
      </c>
      <c r="E2156" t="s">
        <v>78</v>
      </c>
      <c r="F2156" t="s">
        <v>252</v>
      </c>
      <c r="G2156">
        <v>8.8507999999999996</v>
      </c>
      <c r="H2156">
        <v>-76.426699999999997</v>
      </c>
      <c r="I2156" t="s">
        <v>2264</v>
      </c>
      <c r="J2156">
        <v>11</v>
      </c>
      <c r="M2156">
        <v>146</v>
      </c>
      <c r="N2156">
        <v>44</v>
      </c>
      <c r="O2156">
        <v>16</v>
      </c>
      <c r="P2156">
        <v>30</v>
      </c>
      <c r="Q2156">
        <v>28</v>
      </c>
      <c r="R2156">
        <v>27</v>
      </c>
    </row>
    <row r="2157" spans="1:18" x14ac:dyDescent="0.25">
      <c r="A2157" t="s">
        <v>2301</v>
      </c>
      <c r="B2157" t="s">
        <v>55</v>
      </c>
      <c r="C2157" t="s">
        <v>2262</v>
      </c>
      <c r="D2157" t="s">
        <v>2263</v>
      </c>
      <c r="E2157" t="s">
        <v>78</v>
      </c>
      <c r="F2157" t="s">
        <v>252</v>
      </c>
      <c r="G2157">
        <v>8.8507999999999996</v>
      </c>
      <c r="H2157">
        <v>-76.426699999999997</v>
      </c>
      <c r="I2157" t="s">
        <v>2264</v>
      </c>
      <c r="J2157">
        <v>11</v>
      </c>
      <c r="M2157">
        <v>144</v>
      </c>
      <c r="N2157">
        <v>29</v>
      </c>
      <c r="O2157">
        <v>26</v>
      </c>
      <c r="P2157">
        <v>40</v>
      </c>
      <c r="Q2157">
        <v>22</v>
      </c>
      <c r="R2157">
        <v>22</v>
      </c>
    </row>
    <row r="2158" spans="1:18" x14ac:dyDescent="0.25">
      <c r="A2158" t="s">
        <v>2302</v>
      </c>
      <c r="B2158" t="s">
        <v>55</v>
      </c>
      <c r="C2158" t="s">
        <v>2262</v>
      </c>
      <c r="D2158" t="s">
        <v>2263</v>
      </c>
      <c r="E2158" t="s">
        <v>78</v>
      </c>
      <c r="F2158" t="s">
        <v>252</v>
      </c>
      <c r="G2158">
        <v>8.8507999999999996</v>
      </c>
      <c r="H2158">
        <v>-76.426699999999997</v>
      </c>
      <c r="I2158" t="s">
        <v>2264</v>
      </c>
      <c r="J2158">
        <v>11</v>
      </c>
      <c r="M2158">
        <v>144</v>
      </c>
      <c r="N2158">
        <v>41</v>
      </c>
      <c r="O2158">
        <v>16</v>
      </c>
      <c r="P2158">
        <v>30</v>
      </c>
      <c r="Q2158">
        <v>24</v>
      </c>
      <c r="R2158">
        <v>40</v>
      </c>
    </row>
    <row r="2159" spans="1:18" x14ac:dyDescent="0.25">
      <c r="A2159" t="s">
        <v>2303</v>
      </c>
      <c r="B2159" t="s">
        <v>55</v>
      </c>
      <c r="C2159" t="s">
        <v>2262</v>
      </c>
      <c r="D2159" t="s">
        <v>2263</v>
      </c>
      <c r="E2159" t="s">
        <v>78</v>
      </c>
      <c r="F2159" t="s">
        <v>252</v>
      </c>
      <c r="G2159">
        <v>8.8507999999999996</v>
      </c>
      <c r="H2159">
        <v>-76.426699999999997</v>
      </c>
      <c r="I2159" t="s">
        <v>2264</v>
      </c>
      <c r="J2159">
        <v>11</v>
      </c>
      <c r="M2159">
        <v>144</v>
      </c>
      <c r="N2159">
        <v>37</v>
      </c>
      <c r="O2159">
        <v>28</v>
      </c>
      <c r="P2159">
        <v>26</v>
      </c>
      <c r="Q2159">
        <v>28</v>
      </c>
      <c r="R2159">
        <v>20</v>
      </c>
    </row>
    <row r="2160" spans="1:18" x14ac:dyDescent="0.25">
      <c r="A2160" t="s">
        <v>2304</v>
      </c>
      <c r="B2160" t="s">
        <v>55</v>
      </c>
      <c r="C2160" t="s">
        <v>2262</v>
      </c>
      <c r="D2160" t="s">
        <v>2263</v>
      </c>
      <c r="E2160" t="s">
        <v>78</v>
      </c>
      <c r="F2160" t="s">
        <v>252</v>
      </c>
      <c r="G2160">
        <v>8.8507999999999996</v>
      </c>
      <c r="H2160">
        <v>-76.426699999999997</v>
      </c>
      <c r="I2160" t="s">
        <v>2264</v>
      </c>
      <c r="J2160">
        <v>11</v>
      </c>
      <c r="M2160">
        <v>144</v>
      </c>
      <c r="N2160">
        <v>39</v>
      </c>
      <c r="O2160">
        <v>20</v>
      </c>
      <c r="P2160">
        <v>30</v>
      </c>
      <c r="Q2160">
        <v>22</v>
      </c>
      <c r="R2160">
        <v>40</v>
      </c>
    </row>
    <row r="2161" spans="1:18" x14ac:dyDescent="0.25">
      <c r="A2161" t="s">
        <v>2305</v>
      </c>
      <c r="B2161" t="s">
        <v>55</v>
      </c>
      <c r="C2161" t="s">
        <v>2262</v>
      </c>
      <c r="D2161" t="s">
        <v>2263</v>
      </c>
      <c r="E2161" t="s">
        <v>78</v>
      </c>
      <c r="F2161" t="s">
        <v>252</v>
      </c>
      <c r="G2161">
        <v>8.8507999999999996</v>
      </c>
      <c r="H2161">
        <v>-76.426699999999997</v>
      </c>
      <c r="I2161" t="s">
        <v>2264</v>
      </c>
      <c r="J2161">
        <v>11</v>
      </c>
      <c r="M2161">
        <v>144</v>
      </c>
      <c r="N2161">
        <v>39</v>
      </c>
      <c r="O2161">
        <v>24</v>
      </c>
      <c r="P2161">
        <v>22</v>
      </c>
      <c r="Q2161">
        <v>29</v>
      </c>
      <c r="R2161">
        <v>31</v>
      </c>
    </row>
    <row r="2162" spans="1:18" x14ac:dyDescent="0.25">
      <c r="A2162" t="s">
        <v>2306</v>
      </c>
      <c r="B2162" t="s">
        <v>55</v>
      </c>
      <c r="C2162" t="s">
        <v>2262</v>
      </c>
      <c r="D2162" t="s">
        <v>2263</v>
      </c>
      <c r="E2162" t="s">
        <v>78</v>
      </c>
      <c r="F2162" t="s">
        <v>252</v>
      </c>
      <c r="G2162">
        <v>8.8507999999999996</v>
      </c>
      <c r="H2162">
        <v>-76.426699999999997</v>
      </c>
      <c r="I2162" t="s">
        <v>2264</v>
      </c>
      <c r="J2162">
        <v>11</v>
      </c>
      <c r="M2162">
        <v>143</v>
      </c>
      <c r="N2162">
        <v>34</v>
      </c>
      <c r="O2162">
        <v>26</v>
      </c>
      <c r="P2162">
        <v>22</v>
      </c>
      <c r="Q2162">
        <v>31</v>
      </c>
      <c r="R2162">
        <v>33</v>
      </c>
    </row>
    <row r="2163" spans="1:18" x14ac:dyDescent="0.25">
      <c r="A2163" t="s">
        <v>2307</v>
      </c>
      <c r="B2163" t="s">
        <v>55</v>
      </c>
      <c r="C2163" t="s">
        <v>2262</v>
      </c>
      <c r="D2163" t="s">
        <v>2263</v>
      </c>
      <c r="E2163" t="s">
        <v>78</v>
      </c>
      <c r="F2163" t="s">
        <v>252</v>
      </c>
      <c r="G2163">
        <v>8.8507999999999996</v>
      </c>
      <c r="H2163">
        <v>-76.426699999999997</v>
      </c>
      <c r="I2163" t="s">
        <v>2264</v>
      </c>
      <c r="J2163">
        <v>11</v>
      </c>
      <c r="M2163">
        <v>141</v>
      </c>
      <c r="N2163">
        <v>27</v>
      </c>
      <c r="O2163">
        <v>32</v>
      </c>
      <c r="P2163">
        <v>34</v>
      </c>
      <c r="Q2163">
        <v>17</v>
      </c>
      <c r="R2163">
        <v>36</v>
      </c>
    </row>
    <row r="2164" spans="1:18" x14ac:dyDescent="0.25">
      <c r="A2164" t="s">
        <v>2308</v>
      </c>
      <c r="B2164" t="s">
        <v>55</v>
      </c>
      <c r="C2164" t="s">
        <v>2262</v>
      </c>
      <c r="D2164" t="s">
        <v>2263</v>
      </c>
      <c r="E2164" t="s">
        <v>78</v>
      </c>
      <c r="F2164" t="s">
        <v>252</v>
      </c>
      <c r="G2164">
        <v>8.8507999999999996</v>
      </c>
      <c r="H2164">
        <v>-76.426699999999997</v>
      </c>
      <c r="I2164" t="s">
        <v>2264</v>
      </c>
      <c r="J2164">
        <v>11</v>
      </c>
      <c r="M2164">
        <v>140</v>
      </c>
      <c r="N2164">
        <v>32</v>
      </c>
      <c r="O2164">
        <v>18</v>
      </c>
      <c r="P2164">
        <v>32</v>
      </c>
      <c r="Q2164">
        <v>26</v>
      </c>
      <c r="R2164">
        <v>42</v>
      </c>
    </row>
    <row r="2165" spans="1:18" x14ac:dyDescent="0.25">
      <c r="A2165" t="s">
        <v>2309</v>
      </c>
      <c r="B2165" t="s">
        <v>55</v>
      </c>
      <c r="C2165" t="s">
        <v>2262</v>
      </c>
      <c r="D2165" t="s">
        <v>2263</v>
      </c>
      <c r="E2165" t="s">
        <v>78</v>
      </c>
      <c r="F2165" t="s">
        <v>252</v>
      </c>
      <c r="G2165">
        <v>8.8507999999999996</v>
      </c>
      <c r="H2165">
        <v>-76.426699999999997</v>
      </c>
      <c r="I2165" t="s">
        <v>2264</v>
      </c>
      <c r="J2165">
        <v>11</v>
      </c>
      <c r="M2165">
        <v>139</v>
      </c>
      <c r="N2165">
        <v>37</v>
      </c>
      <c r="O2165">
        <v>24</v>
      </c>
      <c r="P2165">
        <v>28</v>
      </c>
      <c r="Q2165">
        <v>21</v>
      </c>
      <c r="R2165">
        <v>35</v>
      </c>
    </row>
    <row r="2166" spans="1:18" x14ac:dyDescent="0.25">
      <c r="A2166" t="s">
        <v>2310</v>
      </c>
      <c r="B2166" t="s">
        <v>55</v>
      </c>
      <c r="C2166" t="s">
        <v>2262</v>
      </c>
      <c r="D2166" t="s">
        <v>2263</v>
      </c>
      <c r="E2166" t="s">
        <v>78</v>
      </c>
      <c r="F2166" t="s">
        <v>252</v>
      </c>
      <c r="G2166">
        <v>8.8507999999999996</v>
      </c>
      <c r="H2166">
        <v>-76.426699999999997</v>
      </c>
      <c r="I2166" t="s">
        <v>2264</v>
      </c>
      <c r="J2166">
        <v>11</v>
      </c>
      <c r="M2166">
        <v>137</v>
      </c>
      <c r="N2166">
        <v>27</v>
      </c>
      <c r="O2166">
        <v>26</v>
      </c>
      <c r="P2166">
        <v>26</v>
      </c>
      <c r="Q2166">
        <v>19</v>
      </c>
      <c r="R2166">
        <v>62</v>
      </c>
    </row>
    <row r="2167" spans="1:18" x14ac:dyDescent="0.25">
      <c r="A2167" t="s">
        <v>2311</v>
      </c>
      <c r="B2167" t="s">
        <v>55</v>
      </c>
      <c r="C2167" t="s">
        <v>2262</v>
      </c>
      <c r="D2167" t="s">
        <v>2263</v>
      </c>
      <c r="E2167" t="s">
        <v>78</v>
      </c>
      <c r="F2167" t="s">
        <v>252</v>
      </c>
      <c r="G2167">
        <v>8.8507999999999996</v>
      </c>
      <c r="H2167">
        <v>-76.426699999999997</v>
      </c>
      <c r="I2167" t="s">
        <v>2264</v>
      </c>
      <c r="J2167">
        <v>11</v>
      </c>
      <c r="M2167">
        <v>135</v>
      </c>
      <c r="N2167">
        <v>32</v>
      </c>
      <c r="O2167">
        <v>26</v>
      </c>
      <c r="P2167">
        <v>34</v>
      </c>
      <c r="Q2167">
        <v>14</v>
      </c>
      <c r="R2167">
        <v>35</v>
      </c>
    </row>
    <row r="2168" spans="1:18" x14ac:dyDescent="0.25">
      <c r="A2168" t="s">
        <v>2312</v>
      </c>
      <c r="B2168" t="s">
        <v>55</v>
      </c>
      <c r="C2168" t="s">
        <v>2262</v>
      </c>
      <c r="D2168" t="s">
        <v>2263</v>
      </c>
      <c r="E2168" t="s">
        <v>78</v>
      </c>
      <c r="F2168" t="s">
        <v>252</v>
      </c>
      <c r="G2168">
        <v>8.8507999999999996</v>
      </c>
      <c r="H2168">
        <v>-76.426699999999997</v>
      </c>
      <c r="I2168" t="s">
        <v>2264</v>
      </c>
      <c r="J2168">
        <v>11</v>
      </c>
      <c r="M2168">
        <v>135</v>
      </c>
      <c r="N2168">
        <v>44</v>
      </c>
      <c r="O2168">
        <v>20</v>
      </c>
      <c r="P2168">
        <v>22</v>
      </c>
      <c r="Q2168">
        <v>21</v>
      </c>
      <c r="R2168">
        <v>31</v>
      </c>
    </row>
    <row r="2169" spans="1:18" x14ac:dyDescent="0.25">
      <c r="A2169" t="s">
        <v>2313</v>
      </c>
      <c r="B2169" t="s">
        <v>55</v>
      </c>
      <c r="C2169" t="s">
        <v>2262</v>
      </c>
      <c r="D2169" t="s">
        <v>2263</v>
      </c>
      <c r="E2169" t="s">
        <v>78</v>
      </c>
      <c r="F2169" t="s">
        <v>252</v>
      </c>
      <c r="G2169">
        <v>8.8507999999999996</v>
      </c>
      <c r="H2169">
        <v>-76.426699999999997</v>
      </c>
      <c r="I2169" t="s">
        <v>2264</v>
      </c>
      <c r="J2169">
        <v>11</v>
      </c>
      <c r="M2169">
        <v>130</v>
      </c>
      <c r="N2169">
        <v>27</v>
      </c>
      <c r="O2169">
        <v>14</v>
      </c>
      <c r="P2169">
        <v>26</v>
      </c>
      <c r="Q2169">
        <v>33</v>
      </c>
      <c r="R2169">
        <v>40</v>
      </c>
    </row>
    <row r="2170" spans="1:18" x14ac:dyDescent="0.25">
      <c r="A2170" t="s">
        <v>2314</v>
      </c>
      <c r="B2170" t="s">
        <v>55</v>
      </c>
      <c r="C2170" t="s">
        <v>2262</v>
      </c>
      <c r="D2170" t="s">
        <v>2263</v>
      </c>
      <c r="E2170" t="s">
        <v>78</v>
      </c>
      <c r="F2170" t="s">
        <v>252</v>
      </c>
      <c r="G2170">
        <v>8.8507999999999996</v>
      </c>
      <c r="H2170">
        <v>-76.426699999999997</v>
      </c>
      <c r="I2170" t="s">
        <v>2264</v>
      </c>
      <c r="J2170">
        <v>11</v>
      </c>
      <c r="M2170">
        <v>126</v>
      </c>
      <c r="N2170">
        <v>27</v>
      </c>
      <c r="O2170">
        <v>18</v>
      </c>
      <c r="P2170">
        <v>24</v>
      </c>
      <c r="Q2170">
        <v>29</v>
      </c>
      <c r="R2170">
        <v>33</v>
      </c>
    </row>
    <row r="2171" spans="1:18" x14ac:dyDescent="0.25">
      <c r="A2171" t="s">
        <v>2315</v>
      </c>
      <c r="B2171" t="s">
        <v>55</v>
      </c>
      <c r="C2171" t="s">
        <v>2262</v>
      </c>
      <c r="D2171" t="s">
        <v>2263</v>
      </c>
      <c r="E2171" t="s">
        <v>78</v>
      </c>
      <c r="F2171" t="s">
        <v>252</v>
      </c>
      <c r="G2171">
        <v>8.8507999999999996</v>
      </c>
      <c r="H2171">
        <v>-76.426699999999997</v>
      </c>
      <c r="I2171" t="s">
        <v>2264</v>
      </c>
      <c r="J2171">
        <v>11</v>
      </c>
      <c r="M2171">
        <v>116</v>
      </c>
      <c r="N2171">
        <v>32</v>
      </c>
      <c r="O2171">
        <v>18</v>
      </c>
      <c r="P2171">
        <v>20</v>
      </c>
      <c r="Q2171">
        <v>22</v>
      </c>
      <c r="R2171">
        <v>25</v>
      </c>
    </row>
    <row r="2172" spans="1:18" x14ac:dyDescent="0.25">
      <c r="A2172" t="s">
        <v>2316</v>
      </c>
      <c r="B2172" t="s">
        <v>55</v>
      </c>
      <c r="C2172" t="s">
        <v>2262</v>
      </c>
      <c r="D2172" t="s">
        <v>2263</v>
      </c>
      <c r="E2172" t="s">
        <v>78</v>
      </c>
      <c r="F2172" t="s">
        <v>252</v>
      </c>
      <c r="G2172">
        <v>8.8507999999999996</v>
      </c>
      <c r="H2172">
        <v>-76.426699999999997</v>
      </c>
      <c r="I2172" t="s">
        <v>2264</v>
      </c>
      <c r="J2172">
        <v>11</v>
      </c>
      <c r="M2172">
        <v>114</v>
      </c>
      <c r="N2172">
        <v>15</v>
      </c>
      <c r="O2172">
        <v>26</v>
      </c>
      <c r="P2172">
        <v>24</v>
      </c>
      <c r="Q2172">
        <v>21</v>
      </c>
      <c r="R2172">
        <v>40</v>
      </c>
    </row>
    <row r="2173" spans="1:18" x14ac:dyDescent="0.25">
      <c r="A2173" t="s">
        <v>2317</v>
      </c>
      <c r="B2173" t="s">
        <v>55</v>
      </c>
      <c r="C2173" t="s">
        <v>2262</v>
      </c>
      <c r="D2173" t="s">
        <v>2263</v>
      </c>
      <c r="E2173" t="s">
        <v>78</v>
      </c>
      <c r="F2173" t="s">
        <v>252</v>
      </c>
      <c r="G2173">
        <v>8.8507999999999996</v>
      </c>
      <c r="H2173">
        <v>-76.426699999999997</v>
      </c>
      <c r="I2173" t="s">
        <v>2264</v>
      </c>
      <c r="J2173">
        <v>11</v>
      </c>
      <c r="M2173">
        <v>61</v>
      </c>
      <c r="N2173">
        <v>0</v>
      </c>
      <c r="O2173">
        <v>12</v>
      </c>
      <c r="P2173">
        <v>16</v>
      </c>
      <c r="Q2173">
        <v>16</v>
      </c>
      <c r="R2173">
        <v>29</v>
      </c>
    </row>
    <row r="2174" spans="1:18" x14ac:dyDescent="0.25">
      <c r="A2174" t="s">
        <v>2318</v>
      </c>
      <c r="B2174" t="s">
        <v>55</v>
      </c>
      <c r="C2174" t="s">
        <v>2319</v>
      </c>
      <c r="D2174" t="s">
        <v>2320</v>
      </c>
      <c r="E2174" t="s">
        <v>78</v>
      </c>
      <c r="F2174" t="s">
        <v>252</v>
      </c>
      <c r="G2174">
        <v>7.7577999999999996</v>
      </c>
      <c r="H2174">
        <v>-76.654700000000005</v>
      </c>
      <c r="I2174" t="s">
        <v>2321</v>
      </c>
      <c r="J2174">
        <v>11</v>
      </c>
      <c r="M2174">
        <v>288</v>
      </c>
      <c r="N2174">
        <v>61</v>
      </c>
      <c r="O2174">
        <v>42</v>
      </c>
      <c r="P2174">
        <v>74</v>
      </c>
      <c r="Q2174">
        <v>48</v>
      </c>
      <c r="R2174">
        <v>73</v>
      </c>
    </row>
    <row r="2175" spans="1:18" x14ac:dyDescent="0.25">
      <c r="A2175" t="s">
        <v>2322</v>
      </c>
      <c r="B2175" t="s">
        <v>55</v>
      </c>
      <c r="C2175" t="s">
        <v>2319</v>
      </c>
      <c r="D2175" t="s">
        <v>2320</v>
      </c>
      <c r="E2175" t="s">
        <v>78</v>
      </c>
      <c r="F2175" t="s">
        <v>252</v>
      </c>
      <c r="G2175">
        <v>7.7577999999999996</v>
      </c>
      <c r="H2175">
        <v>-76.654700000000005</v>
      </c>
      <c r="I2175" t="s">
        <v>2321</v>
      </c>
      <c r="J2175">
        <v>11</v>
      </c>
      <c r="M2175">
        <v>279</v>
      </c>
      <c r="N2175">
        <v>76</v>
      </c>
      <c r="O2175">
        <v>40</v>
      </c>
      <c r="P2175">
        <v>72</v>
      </c>
      <c r="Q2175">
        <v>40</v>
      </c>
      <c r="R2175">
        <v>44</v>
      </c>
    </row>
    <row r="2176" spans="1:18" x14ac:dyDescent="0.25">
      <c r="A2176" t="s">
        <v>2323</v>
      </c>
      <c r="B2176" t="s">
        <v>55</v>
      </c>
      <c r="C2176" t="s">
        <v>2319</v>
      </c>
      <c r="D2176" t="s">
        <v>2320</v>
      </c>
      <c r="E2176" t="s">
        <v>78</v>
      </c>
      <c r="F2176" t="s">
        <v>252</v>
      </c>
      <c r="G2176">
        <v>7.7577999999999996</v>
      </c>
      <c r="H2176">
        <v>-76.654700000000005</v>
      </c>
      <c r="I2176" t="s">
        <v>2321</v>
      </c>
      <c r="J2176">
        <v>11</v>
      </c>
      <c r="M2176">
        <v>272</v>
      </c>
      <c r="N2176">
        <v>71</v>
      </c>
      <c r="O2176">
        <v>44</v>
      </c>
      <c r="P2176">
        <v>66</v>
      </c>
      <c r="Q2176">
        <v>36</v>
      </c>
      <c r="R2176">
        <v>56</v>
      </c>
    </row>
    <row r="2177" spans="1:18" x14ac:dyDescent="0.25">
      <c r="A2177" t="s">
        <v>2324</v>
      </c>
      <c r="B2177" t="s">
        <v>55</v>
      </c>
      <c r="C2177" t="s">
        <v>2319</v>
      </c>
      <c r="D2177" t="s">
        <v>2320</v>
      </c>
      <c r="E2177" t="s">
        <v>78</v>
      </c>
      <c r="F2177" t="s">
        <v>252</v>
      </c>
      <c r="G2177">
        <v>7.7577999999999996</v>
      </c>
      <c r="H2177">
        <v>-76.654700000000005</v>
      </c>
      <c r="I2177" t="s">
        <v>2321</v>
      </c>
      <c r="J2177">
        <v>11</v>
      </c>
      <c r="M2177">
        <v>253</v>
      </c>
      <c r="N2177">
        <v>68</v>
      </c>
      <c r="O2177">
        <v>34</v>
      </c>
      <c r="P2177">
        <v>60</v>
      </c>
      <c r="Q2177">
        <v>34</v>
      </c>
      <c r="R2177">
        <v>67</v>
      </c>
    </row>
    <row r="2178" spans="1:18" x14ac:dyDescent="0.25">
      <c r="A2178" t="s">
        <v>2325</v>
      </c>
      <c r="B2178" t="s">
        <v>55</v>
      </c>
      <c r="C2178" t="s">
        <v>2319</v>
      </c>
      <c r="D2178" t="s">
        <v>2320</v>
      </c>
      <c r="E2178" t="s">
        <v>78</v>
      </c>
      <c r="F2178" t="s">
        <v>252</v>
      </c>
      <c r="G2178">
        <v>7.7577999999999996</v>
      </c>
      <c r="H2178">
        <v>-76.654700000000005</v>
      </c>
      <c r="I2178" t="s">
        <v>2321</v>
      </c>
      <c r="J2178">
        <v>11</v>
      </c>
      <c r="M2178">
        <v>245</v>
      </c>
      <c r="N2178">
        <v>66</v>
      </c>
      <c r="O2178">
        <v>28</v>
      </c>
      <c r="P2178">
        <v>62</v>
      </c>
      <c r="Q2178">
        <v>38</v>
      </c>
      <c r="R2178">
        <v>55</v>
      </c>
    </row>
    <row r="2179" spans="1:18" x14ac:dyDescent="0.25">
      <c r="A2179" t="s">
        <v>2326</v>
      </c>
      <c r="B2179" t="s">
        <v>55</v>
      </c>
      <c r="C2179" t="s">
        <v>2319</v>
      </c>
      <c r="D2179" t="s">
        <v>2320</v>
      </c>
      <c r="E2179" t="s">
        <v>78</v>
      </c>
      <c r="F2179" t="s">
        <v>252</v>
      </c>
      <c r="G2179">
        <v>7.7577999999999996</v>
      </c>
      <c r="H2179">
        <v>-76.654700000000005</v>
      </c>
      <c r="I2179" t="s">
        <v>2321</v>
      </c>
      <c r="J2179">
        <v>11</v>
      </c>
      <c r="M2179">
        <v>244</v>
      </c>
      <c r="N2179">
        <v>46</v>
      </c>
      <c r="O2179">
        <v>32</v>
      </c>
      <c r="P2179">
        <v>72</v>
      </c>
      <c r="Q2179">
        <v>41</v>
      </c>
      <c r="R2179">
        <v>60</v>
      </c>
    </row>
    <row r="2180" spans="1:18" x14ac:dyDescent="0.25">
      <c r="A2180" t="s">
        <v>2327</v>
      </c>
      <c r="B2180" t="s">
        <v>55</v>
      </c>
      <c r="C2180" t="s">
        <v>2319</v>
      </c>
      <c r="D2180" t="s">
        <v>2320</v>
      </c>
      <c r="E2180" t="s">
        <v>78</v>
      </c>
      <c r="F2180" t="s">
        <v>252</v>
      </c>
      <c r="G2180">
        <v>7.7577999999999996</v>
      </c>
      <c r="H2180">
        <v>-76.654700000000005</v>
      </c>
      <c r="I2180" t="s">
        <v>2321</v>
      </c>
      <c r="J2180">
        <v>11</v>
      </c>
      <c r="M2180">
        <v>244</v>
      </c>
      <c r="N2180">
        <v>61</v>
      </c>
      <c r="O2180">
        <v>28</v>
      </c>
      <c r="P2180">
        <v>62</v>
      </c>
      <c r="Q2180">
        <v>41</v>
      </c>
      <c r="R2180">
        <v>56</v>
      </c>
    </row>
    <row r="2181" spans="1:18" x14ac:dyDescent="0.25">
      <c r="A2181" t="s">
        <v>2328</v>
      </c>
      <c r="B2181" t="s">
        <v>55</v>
      </c>
      <c r="C2181" t="s">
        <v>2319</v>
      </c>
      <c r="D2181" t="s">
        <v>2320</v>
      </c>
      <c r="E2181" t="s">
        <v>78</v>
      </c>
      <c r="F2181" t="s">
        <v>252</v>
      </c>
      <c r="G2181">
        <v>7.7577999999999996</v>
      </c>
      <c r="H2181">
        <v>-76.654700000000005</v>
      </c>
      <c r="I2181" t="s">
        <v>2321</v>
      </c>
      <c r="J2181">
        <v>11</v>
      </c>
      <c r="M2181">
        <v>237</v>
      </c>
      <c r="N2181">
        <v>61</v>
      </c>
      <c r="O2181">
        <v>36</v>
      </c>
      <c r="P2181">
        <v>68</v>
      </c>
      <c r="Q2181">
        <v>29</v>
      </c>
      <c r="R2181">
        <v>33</v>
      </c>
    </row>
    <row r="2182" spans="1:18" x14ac:dyDescent="0.25">
      <c r="A2182" t="s">
        <v>2329</v>
      </c>
      <c r="B2182" t="s">
        <v>55</v>
      </c>
      <c r="C2182" t="s">
        <v>2319</v>
      </c>
      <c r="D2182" t="s">
        <v>2320</v>
      </c>
      <c r="E2182" t="s">
        <v>78</v>
      </c>
      <c r="F2182" t="s">
        <v>252</v>
      </c>
      <c r="G2182">
        <v>7.7577999999999996</v>
      </c>
      <c r="H2182">
        <v>-76.654700000000005</v>
      </c>
      <c r="I2182" t="s">
        <v>2321</v>
      </c>
      <c r="J2182">
        <v>11</v>
      </c>
      <c r="M2182">
        <v>231</v>
      </c>
      <c r="N2182">
        <v>49</v>
      </c>
      <c r="O2182">
        <v>28</v>
      </c>
      <c r="P2182">
        <v>62</v>
      </c>
      <c r="Q2182">
        <v>43</v>
      </c>
      <c r="R2182">
        <v>55</v>
      </c>
    </row>
    <row r="2183" spans="1:18" x14ac:dyDescent="0.25">
      <c r="A2183" t="s">
        <v>2330</v>
      </c>
      <c r="B2183" t="s">
        <v>55</v>
      </c>
      <c r="C2183" t="s">
        <v>2319</v>
      </c>
      <c r="D2183" t="s">
        <v>2320</v>
      </c>
      <c r="E2183" t="s">
        <v>78</v>
      </c>
      <c r="F2183" t="s">
        <v>252</v>
      </c>
      <c r="G2183">
        <v>7.7577999999999996</v>
      </c>
      <c r="H2183">
        <v>-76.654700000000005</v>
      </c>
      <c r="I2183" t="s">
        <v>2321</v>
      </c>
      <c r="J2183">
        <v>11</v>
      </c>
      <c r="M2183">
        <v>228</v>
      </c>
      <c r="N2183">
        <v>49</v>
      </c>
      <c r="O2183">
        <v>24</v>
      </c>
      <c r="P2183">
        <v>72</v>
      </c>
      <c r="Q2183">
        <v>33</v>
      </c>
      <c r="R2183">
        <v>60</v>
      </c>
    </row>
    <row r="2184" spans="1:18" x14ac:dyDescent="0.25">
      <c r="A2184" t="s">
        <v>2331</v>
      </c>
      <c r="B2184" t="s">
        <v>55</v>
      </c>
      <c r="C2184" t="s">
        <v>2319</v>
      </c>
      <c r="D2184" t="s">
        <v>2320</v>
      </c>
      <c r="E2184" t="s">
        <v>78</v>
      </c>
      <c r="F2184" t="s">
        <v>252</v>
      </c>
      <c r="G2184">
        <v>7.7577999999999996</v>
      </c>
      <c r="H2184">
        <v>-76.654700000000005</v>
      </c>
      <c r="I2184" t="s">
        <v>2321</v>
      </c>
      <c r="J2184">
        <v>11</v>
      </c>
      <c r="M2184">
        <v>224</v>
      </c>
      <c r="N2184">
        <v>51</v>
      </c>
      <c r="O2184">
        <v>30</v>
      </c>
      <c r="P2184">
        <v>64</v>
      </c>
      <c r="Q2184">
        <v>34</v>
      </c>
      <c r="R2184">
        <v>44</v>
      </c>
    </row>
    <row r="2185" spans="1:18" x14ac:dyDescent="0.25">
      <c r="A2185" t="s">
        <v>2332</v>
      </c>
      <c r="B2185" t="s">
        <v>55</v>
      </c>
      <c r="C2185" t="s">
        <v>2319</v>
      </c>
      <c r="D2185" t="s">
        <v>2320</v>
      </c>
      <c r="E2185" t="s">
        <v>78</v>
      </c>
      <c r="F2185" t="s">
        <v>252</v>
      </c>
      <c r="G2185">
        <v>7.7577999999999996</v>
      </c>
      <c r="H2185">
        <v>-76.654700000000005</v>
      </c>
      <c r="I2185" t="s">
        <v>2321</v>
      </c>
      <c r="J2185">
        <v>11</v>
      </c>
      <c r="M2185">
        <v>222</v>
      </c>
      <c r="N2185">
        <v>51</v>
      </c>
      <c r="O2185">
        <v>30</v>
      </c>
      <c r="P2185">
        <v>60</v>
      </c>
      <c r="Q2185">
        <v>33</v>
      </c>
      <c r="R2185">
        <v>55</v>
      </c>
    </row>
    <row r="2186" spans="1:18" x14ac:dyDescent="0.25">
      <c r="A2186" t="s">
        <v>2333</v>
      </c>
      <c r="B2186" t="s">
        <v>55</v>
      </c>
      <c r="C2186" t="s">
        <v>2319</v>
      </c>
      <c r="D2186" t="s">
        <v>2320</v>
      </c>
      <c r="E2186" t="s">
        <v>78</v>
      </c>
      <c r="F2186" t="s">
        <v>252</v>
      </c>
      <c r="G2186">
        <v>7.7577999999999996</v>
      </c>
      <c r="H2186">
        <v>-76.654700000000005</v>
      </c>
      <c r="I2186" t="s">
        <v>2321</v>
      </c>
      <c r="J2186">
        <v>11</v>
      </c>
      <c r="M2186">
        <v>220</v>
      </c>
      <c r="N2186">
        <v>56</v>
      </c>
      <c r="O2186">
        <v>38</v>
      </c>
      <c r="P2186">
        <v>52</v>
      </c>
      <c r="Q2186">
        <v>28</v>
      </c>
      <c r="R2186">
        <v>51</v>
      </c>
    </row>
    <row r="2187" spans="1:18" x14ac:dyDescent="0.25">
      <c r="A2187" t="s">
        <v>2334</v>
      </c>
      <c r="B2187" t="s">
        <v>55</v>
      </c>
      <c r="C2187" t="s">
        <v>2319</v>
      </c>
      <c r="D2187" t="s">
        <v>2320</v>
      </c>
      <c r="E2187" t="s">
        <v>78</v>
      </c>
      <c r="F2187" t="s">
        <v>252</v>
      </c>
      <c r="G2187">
        <v>7.7577999999999996</v>
      </c>
      <c r="H2187">
        <v>-76.654700000000005</v>
      </c>
      <c r="I2187" t="s">
        <v>2321</v>
      </c>
      <c r="J2187">
        <v>11</v>
      </c>
      <c r="M2187">
        <v>219</v>
      </c>
      <c r="N2187">
        <v>59</v>
      </c>
      <c r="O2187">
        <v>26</v>
      </c>
      <c r="P2187">
        <v>60</v>
      </c>
      <c r="Q2187">
        <v>28</v>
      </c>
      <c r="R2187">
        <v>53</v>
      </c>
    </row>
    <row r="2188" spans="1:18" x14ac:dyDescent="0.25">
      <c r="A2188" t="s">
        <v>2335</v>
      </c>
      <c r="B2188" t="s">
        <v>55</v>
      </c>
      <c r="C2188" t="s">
        <v>2319</v>
      </c>
      <c r="D2188" t="s">
        <v>2320</v>
      </c>
      <c r="E2188" t="s">
        <v>78</v>
      </c>
      <c r="F2188" t="s">
        <v>252</v>
      </c>
      <c r="G2188">
        <v>7.7577999999999996</v>
      </c>
      <c r="H2188">
        <v>-76.654700000000005</v>
      </c>
      <c r="I2188" t="s">
        <v>2321</v>
      </c>
      <c r="J2188">
        <v>11</v>
      </c>
      <c r="M2188">
        <v>218</v>
      </c>
      <c r="N2188">
        <v>51</v>
      </c>
      <c r="O2188">
        <v>34</v>
      </c>
      <c r="P2188">
        <v>52</v>
      </c>
      <c r="Q2188">
        <v>36</v>
      </c>
      <c r="R2188">
        <v>45</v>
      </c>
    </row>
    <row r="2189" spans="1:18" x14ac:dyDescent="0.25">
      <c r="A2189" t="s">
        <v>2336</v>
      </c>
      <c r="B2189" t="s">
        <v>55</v>
      </c>
      <c r="C2189" t="s">
        <v>2319</v>
      </c>
      <c r="D2189" t="s">
        <v>2320</v>
      </c>
      <c r="E2189" t="s">
        <v>78</v>
      </c>
      <c r="F2189" t="s">
        <v>252</v>
      </c>
      <c r="G2189">
        <v>7.7577999999999996</v>
      </c>
      <c r="H2189">
        <v>-76.654700000000005</v>
      </c>
      <c r="I2189" t="s">
        <v>2321</v>
      </c>
      <c r="J2189">
        <v>11</v>
      </c>
      <c r="M2189">
        <v>208</v>
      </c>
      <c r="N2189">
        <v>63</v>
      </c>
      <c r="O2189">
        <v>24</v>
      </c>
      <c r="P2189">
        <v>44</v>
      </c>
      <c r="Q2189">
        <v>33</v>
      </c>
      <c r="R2189">
        <v>49</v>
      </c>
    </row>
    <row r="2190" spans="1:18" x14ac:dyDescent="0.25">
      <c r="A2190" t="s">
        <v>2337</v>
      </c>
      <c r="B2190" t="s">
        <v>55</v>
      </c>
      <c r="C2190" t="s">
        <v>2319</v>
      </c>
      <c r="D2190" t="s">
        <v>2320</v>
      </c>
      <c r="E2190" t="s">
        <v>78</v>
      </c>
      <c r="F2190" t="s">
        <v>252</v>
      </c>
      <c r="G2190">
        <v>7.7577999999999996</v>
      </c>
      <c r="H2190">
        <v>-76.654700000000005</v>
      </c>
      <c r="I2190" t="s">
        <v>2321</v>
      </c>
      <c r="J2190">
        <v>11</v>
      </c>
      <c r="M2190">
        <v>206</v>
      </c>
      <c r="N2190">
        <v>46</v>
      </c>
      <c r="O2190">
        <v>22</v>
      </c>
      <c r="P2190">
        <v>62</v>
      </c>
      <c r="Q2190">
        <v>29</v>
      </c>
      <c r="R2190">
        <v>56</v>
      </c>
    </row>
    <row r="2191" spans="1:18" x14ac:dyDescent="0.25">
      <c r="A2191" t="s">
        <v>2338</v>
      </c>
      <c r="B2191" t="s">
        <v>55</v>
      </c>
      <c r="C2191" t="s">
        <v>2319</v>
      </c>
      <c r="D2191" t="s">
        <v>2320</v>
      </c>
      <c r="E2191" t="s">
        <v>78</v>
      </c>
      <c r="F2191" t="s">
        <v>252</v>
      </c>
      <c r="G2191">
        <v>7.7577999999999996</v>
      </c>
      <c r="H2191">
        <v>-76.654700000000005</v>
      </c>
      <c r="I2191" t="s">
        <v>2321</v>
      </c>
      <c r="J2191">
        <v>11</v>
      </c>
      <c r="M2191">
        <v>204</v>
      </c>
      <c r="N2191">
        <v>41</v>
      </c>
      <c r="O2191">
        <v>36</v>
      </c>
      <c r="P2191">
        <v>48</v>
      </c>
      <c r="Q2191">
        <v>33</v>
      </c>
      <c r="R2191">
        <v>56</v>
      </c>
    </row>
    <row r="2192" spans="1:18" x14ac:dyDescent="0.25">
      <c r="A2192" t="s">
        <v>2339</v>
      </c>
      <c r="B2192" t="s">
        <v>55</v>
      </c>
      <c r="C2192" t="s">
        <v>2319</v>
      </c>
      <c r="D2192" t="s">
        <v>2320</v>
      </c>
      <c r="E2192" t="s">
        <v>78</v>
      </c>
      <c r="F2192" t="s">
        <v>252</v>
      </c>
      <c r="G2192">
        <v>7.7577999999999996</v>
      </c>
      <c r="H2192">
        <v>-76.654700000000005</v>
      </c>
      <c r="I2192" t="s">
        <v>2321</v>
      </c>
      <c r="J2192">
        <v>11</v>
      </c>
      <c r="M2192">
        <v>204</v>
      </c>
      <c r="N2192">
        <v>49</v>
      </c>
      <c r="O2192">
        <v>24</v>
      </c>
      <c r="P2192">
        <v>50</v>
      </c>
      <c r="Q2192">
        <v>36</v>
      </c>
      <c r="R2192">
        <v>53</v>
      </c>
    </row>
    <row r="2193" spans="1:18" x14ac:dyDescent="0.25">
      <c r="A2193" t="s">
        <v>2340</v>
      </c>
      <c r="B2193" t="s">
        <v>55</v>
      </c>
      <c r="C2193" t="s">
        <v>2319</v>
      </c>
      <c r="D2193" t="s">
        <v>2320</v>
      </c>
      <c r="E2193" t="s">
        <v>78</v>
      </c>
      <c r="F2193" t="s">
        <v>252</v>
      </c>
      <c r="G2193">
        <v>7.7577999999999996</v>
      </c>
      <c r="H2193">
        <v>-76.654700000000005</v>
      </c>
      <c r="I2193" t="s">
        <v>2321</v>
      </c>
      <c r="J2193">
        <v>11</v>
      </c>
      <c r="M2193">
        <v>202</v>
      </c>
      <c r="N2193">
        <v>54</v>
      </c>
      <c r="O2193">
        <v>36</v>
      </c>
      <c r="P2193">
        <v>50</v>
      </c>
      <c r="Q2193">
        <v>26</v>
      </c>
      <c r="R2193">
        <v>29</v>
      </c>
    </row>
    <row r="2194" spans="1:18" x14ac:dyDescent="0.25">
      <c r="A2194" t="s">
        <v>2341</v>
      </c>
      <c r="B2194" t="s">
        <v>55</v>
      </c>
      <c r="C2194" t="s">
        <v>2319</v>
      </c>
      <c r="D2194" t="s">
        <v>2320</v>
      </c>
      <c r="E2194" t="s">
        <v>78</v>
      </c>
      <c r="F2194" t="s">
        <v>252</v>
      </c>
      <c r="G2194">
        <v>7.7577999999999996</v>
      </c>
      <c r="H2194">
        <v>-76.654700000000005</v>
      </c>
      <c r="I2194" t="s">
        <v>2321</v>
      </c>
      <c r="J2194">
        <v>11</v>
      </c>
      <c r="M2194">
        <v>198</v>
      </c>
      <c r="N2194">
        <v>51</v>
      </c>
      <c r="O2194">
        <v>30</v>
      </c>
      <c r="P2194">
        <v>46</v>
      </c>
      <c r="Q2194">
        <v>22</v>
      </c>
      <c r="R2194">
        <v>65</v>
      </c>
    </row>
    <row r="2195" spans="1:18" x14ac:dyDescent="0.25">
      <c r="A2195" t="s">
        <v>2342</v>
      </c>
      <c r="B2195" t="s">
        <v>55</v>
      </c>
      <c r="C2195" t="s">
        <v>2319</v>
      </c>
      <c r="D2195" t="s">
        <v>2320</v>
      </c>
      <c r="E2195" t="s">
        <v>78</v>
      </c>
      <c r="F2195" t="s">
        <v>252</v>
      </c>
      <c r="G2195">
        <v>7.7577999999999996</v>
      </c>
      <c r="H2195">
        <v>-76.654700000000005</v>
      </c>
      <c r="I2195" t="s">
        <v>2321</v>
      </c>
      <c r="J2195">
        <v>11</v>
      </c>
      <c r="M2195">
        <v>196</v>
      </c>
      <c r="N2195">
        <v>46</v>
      </c>
      <c r="O2195">
        <v>30</v>
      </c>
      <c r="P2195">
        <v>50</v>
      </c>
      <c r="Q2195">
        <v>24</v>
      </c>
      <c r="R2195">
        <v>58</v>
      </c>
    </row>
    <row r="2196" spans="1:18" x14ac:dyDescent="0.25">
      <c r="A2196" t="s">
        <v>2343</v>
      </c>
      <c r="B2196" t="s">
        <v>55</v>
      </c>
      <c r="C2196" t="s">
        <v>2319</v>
      </c>
      <c r="D2196" t="s">
        <v>2320</v>
      </c>
      <c r="E2196" t="s">
        <v>78</v>
      </c>
      <c r="F2196" t="s">
        <v>252</v>
      </c>
      <c r="G2196">
        <v>7.7577999999999996</v>
      </c>
      <c r="H2196">
        <v>-76.654700000000005</v>
      </c>
      <c r="I2196" t="s">
        <v>2321</v>
      </c>
      <c r="J2196">
        <v>11</v>
      </c>
      <c r="M2196">
        <v>191</v>
      </c>
      <c r="N2196">
        <v>49</v>
      </c>
      <c r="O2196">
        <v>28</v>
      </c>
      <c r="P2196">
        <v>44</v>
      </c>
      <c r="Q2196">
        <v>26</v>
      </c>
      <c r="R2196">
        <v>56</v>
      </c>
    </row>
    <row r="2197" spans="1:18" x14ac:dyDescent="0.25">
      <c r="A2197" t="s">
        <v>2344</v>
      </c>
      <c r="B2197" t="s">
        <v>55</v>
      </c>
      <c r="C2197" t="s">
        <v>2319</v>
      </c>
      <c r="D2197" t="s">
        <v>2320</v>
      </c>
      <c r="E2197" t="s">
        <v>78</v>
      </c>
      <c r="F2197" t="s">
        <v>252</v>
      </c>
      <c r="G2197">
        <v>7.7577999999999996</v>
      </c>
      <c r="H2197">
        <v>-76.654700000000005</v>
      </c>
      <c r="I2197" t="s">
        <v>2321</v>
      </c>
      <c r="J2197">
        <v>11</v>
      </c>
      <c r="M2197">
        <v>190</v>
      </c>
      <c r="N2197">
        <v>46</v>
      </c>
      <c r="O2197">
        <v>36</v>
      </c>
      <c r="P2197">
        <v>44</v>
      </c>
      <c r="Q2197">
        <v>26</v>
      </c>
      <c r="R2197">
        <v>38</v>
      </c>
    </row>
    <row r="2198" spans="1:18" x14ac:dyDescent="0.25">
      <c r="A2198" t="s">
        <v>2345</v>
      </c>
      <c r="B2198" t="s">
        <v>55</v>
      </c>
      <c r="C2198" t="s">
        <v>2319</v>
      </c>
      <c r="D2198" t="s">
        <v>2320</v>
      </c>
      <c r="E2198" t="s">
        <v>78</v>
      </c>
      <c r="F2198" t="s">
        <v>252</v>
      </c>
      <c r="G2198">
        <v>7.7577999999999996</v>
      </c>
      <c r="H2198">
        <v>-76.654700000000005</v>
      </c>
      <c r="I2198" t="s">
        <v>2321</v>
      </c>
      <c r="J2198">
        <v>11</v>
      </c>
      <c r="M2198">
        <v>188</v>
      </c>
      <c r="N2198">
        <v>41</v>
      </c>
      <c r="O2198">
        <v>28</v>
      </c>
      <c r="P2198">
        <v>48</v>
      </c>
      <c r="Q2198">
        <v>29</v>
      </c>
      <c r="R2198">
        <v>49</v>
      </c>
    </row>
    <row r="2199" spans="1:18" x14ac:dyDescent="0.25">
      <c r="A2199" t="s">
        <v>2346</v>
      </c>
      <c r="B2199" t="s">
        <v>55</v>
      </c>
      <c r="C2199" t="s">
        <v>2319</v>
      </c>
      <c r="D2199" t="s">
        <v>2320</v>
      </c>
      <c r="E2199" t="s">
        <v>78</v>
      </c>
      <c r="F2199" t="s">
        <v>252</v>
      </c>
      <c r="G2199">
        <v>7.7577999999999996</v>
      </c>
      <c r="H2199">
        <v>-76.654700000000005</v>
      </c>
      <c r="I2199" t="s">
        <v>2321</v>
      </c>
      <c r="J2199">
        <v>11</v>
      </c>
      <c r="M2199">
        <v>188</v>
      </c>
      <c r="N2199">
        <v>51</v>
      </c>
      <c r="O2199">
        <v>16</v>
      </c>
      <c r="P2199">
        <v>48</v>
      </c>
      <c r="Q2199">
        <v>28</v>
      </c>
      <c r="R2199">
        <v>60</v>
      </c>
    </row>
    <row r="2200" spans="1:18" x14ac:dyDescent="0.25">
      <c r="A2200" t="s">
        <v>2347</v>
      </c>
      <c r="B2200" t="s">
        <v>55</v>
      </c>
      <c r="C2200" t="s">
        <v>2319</v>
      </c>
      <c r="D2200" t="s">
        <v>2320</v>
      </c>
      <c r="E2200" t="s">
        <v>78</v>
      </c>
      <c r="F2200" t="s">
        <v>252</v>
      </c>
      <c r="G2200">
        <v>7.7577999999999996</v>
      </c>
      <c r="H2200">
        <v>-76.654700000000005</v>
      </c>
      <c r="I2200" t="s">
        <v>2321</v>
      </c>
      <c r="J2200">
        <v>11</v>
      </c>
      <c r="M2200">
        <v>187</v>
      </c>
      <c r="N2200">
        <v>46</v>
      </c>
      <c r="O2200">
        <v>26</v>
      </c>
      <c r="P2200">
        <v>46</v>
      </c>
      <c r="Q2200">
        <v>28</v>
      </c>
      <c r="R2200">
        <v>49</v>
      </c>
    </row>
    <row r="2201" spans="1:18" x14ac:dyDescent="0.25">
      <c r="A2201" t="s">
        <v>2348</v>
      </c>
      <c r="B2201" t="s">
        <v>55</v>
      </c>
      <c r="C2201" t="s">
        <v>2319</v>
      </c>
      <c r="D2201" t="s">
        <v>2320</v>
      </c>
      <c r="E2201" t="s">
        <v>78</v>
      </c>
      <c r="F2201" t="s">
        <v>252</v>
      </c>
      <c r="G2201">
        <v>7.7577999999999996</v>
      </c>
      <c r="H2201">
        <v>-76.654700000000005</v>
      </c>
      <c r="I2201" t="s">
        <v>2321</v>
      </c>
      <c r="J2201">
        <v>11</v>
      </c>
      <c r="M2201">
        <v>183</v>
      </c>
      <c r="N2201">
        <v>44</v>
      </c>
      <c r="O2201">
        <v>22</v>
      </c>
      <c r="P2201">
        <v>44</v>
      </c>
      <c r="Q2201">
        <v>33</v>
      </c>
      <c r="R2201">
        <v>49</v>
      </c>
    </row>
    <row r="2202" spans="1:18" x14ac:dyDescent="0.25">
      <c r="A2202" t="s">
        <v>2349</v>
      </c>
      <c r="B2202" t="s">
        <v>55</v>
      </c>
      <c r="C2202" t="s">
        <v>2319</v>
      </c>
      <c r="D2202" t="s">
        <v>2320</v>
      </c>
      <c r="E2202" t="s">
        <v>78</v>
      </c>
      <c r="F2202" t="s">
        <v>252</v>
      </c>
      <c r="G2202">
        <v>7.7577999999999996</v>
      </c>
      <c r="H2202">
        <v>-76.654700000000005</v>
      </c>
      <c r="I2202" t="s">
        <v>2321</v>
      </c>
      <c r="J2202">
        <v>11</v>
      </c>
      <c r="M2202">
        <v>182</v>
      </c>
      <c r="N2202">
        <v>49</v>
      </c>
      <c r="O2202">
        <v>28</v>
      </c>
      <c r="P2202">
        <v>46</v>
      </c>
      <c r="Q2202">
        <v>21</v>
      </c>
      <c r="R2202">
        <v>44</v>
      </c>
    </row>
    <row r="2203" spans="1:18" x14ac:dyDescent="0.25">
      <c r="A2203" t="s">
        <v>2350</v>
      </c>
      <c r="B2203" t="s">
        <v>55</v>
      </c>
      <c r="C2203" t="s">
        <v>2319</v>
      </c>
      <c r="D2203" t="s">
        <v>2320</v>
      </c>
      <c r="E2203" t="s">
        <v>78</v>
      </c>
      <c r="F2203" t="s">
        <v>252</v>
      </c>
      <c r="G2203">
        <v>7.7577999999999996</v>
      </c>
      <c r="H2203">
        <v>-76.654700000000005</v>
      </c>
      <c r="I2203" t="s">
        <v>2321</v>
      </c>
      <c r="J2203">
        <v>11</v>
      </c>
      <c r="M2203">
        <v>181</v>
      </c>
      <c r="N2203">
        <v>44</v>
      </c>
      <c r="O2203">
        <v>26</v>
      </c>
      <c r="P2203">
        <v>40</v>
      </c>
      <c r="Q2203">
        <v>33</v>
      </c>
      <c r="R2203">
        <v>44</v>
      </c>
    </row>
    <row r="2204" spans="1:18" x14ac:dyDescent="0.25">
      <c r="A2204" t="s">
        <v>2351</v>
      </c>
      <c r="B2204" t="s">
        <v>55</v>
      </c>
      <c r="C2204" t="s">
        <v>2319</v>
      </c>
      <c r="D2204" t="s">
        <v>2320</v>
      </c>
      <c r="E2204" t="s">
        <v>78</v>
      </c>
      <c r="F2204" t="s">
        <v>252</v>
      </c>
      <c r="G2204">
        <v>7.7577999999999996</v>
      </c>
      <c r="H2204">
        <v>-76.654700000000005</v>
      </c>
      <c r="I2204" t="s">
        <v>2321</v>
      </c>
      <c r="J2204">
        <v>11</v>
      </c>
      <c r="M2204">
        <v>179</v>
      </c>
      <c r="N2204">
        <v>46</v>
      </c>
      <c r="O2204">
        <v>24</v>
      </c>
      <c r="P2204">
        <v>34</v>
      </c>
      <c r="Q2204">
        <v>34</v>
      </c>
      <c r="R2204">
        <v>49</v>
      </c>
    </row>
    <row r="2205" spans="1:18" x14ac:dyDescent="0.25">
      <c r="A2205" t="s">
        <v>2352</v>
      </c>
      <c r="B2205" t="s">
        <v>55</v>
      </c>
      <c r="C2205" t="s">
        <v>2319</v>
      </c>
      <c r="D2205" t="s">
        <v>2320</v>
      </c>
      <c r="E2205" t="s">
        <v>78</v>
      </c>
      <c r="F2205" t="s">
        <v>252</v>
      </c>
      <c r="G2205">
        <v>7.7577999999999996</v>
      </c>
      <c r="H2205">
        <v>-76.654700000000005</v>
      </c>
      <c r="I2205" t="s">
        <v>2321</v>
      </c>
      <c r="J2205">
        <v>11</v>
      </c>
      <c r="M2205">
        <v>175</v>
      </c>
      <c r="N2205">
        <v>41</v>
      </c>
      <c r="O2205">
        <v>32</v>
      </c>
      <c r="P2205">
        <v>36</v>
      </c>
      <c r="Q2205">
        <v>28</v>
      </c>
      <c r="R2205">
        <v>44</v>
      </c>
    </row>
    <row r="2206" spans="1:18" x14ac:dyDescent="0.25">
      <c r="A2206" t="s">
        <v>2353</v>
      </c>
      <c r="B2206" t="s">
        <v>55</v>
      </c>
      <c r="C2206" t="s">
        <v>2319</v>
      </c>
      <c r="D2206" t="s">
        <v>2320</v>
      </c>
      <c r="E2206" t="s">
        <v>78</v>
      </c>
      <c r="F2206" t="s">
        <v>252</v>
      </c>
      <c r="G2206">
        <v>7.7577999999999996</v>
      </c>
      <c r="H2206">
        <v>-76.654700000000005</v>
      </c>
      <c r="I2206" t="s">
        <v>2321</v>
      </c>
      <c r="J2206">
        <v>11</v>
      </c>
      <c r="M2206">
        <v>172</v>
      </c>
      <c r="N2206">
        <v>29</v>
      </c>
      <c r="O2206">
        <v>24</v>
      </c>
      <c r="P2206">
        <v>50</v>
      </c>
      <c r="Q2206">
        <v>33</v>
      </c>
      <c r="R2206">
        <v>38</v>
      </c>
    </row>
    <row r="2207" spans="1:18" x14ac:dyDescent="0.25">
      <c r="A2207" t="s">
        <v>2354</v>
      </c>
      <c r="B2207" t="s">
        <v>55</v>
      </c>
      <c r="C2207" t="s">
        <v>2319</v>
      </c>
      <c r="D2207" t="s">
        <v>2320</v>
      </c>
      <c r="E2207" t="s">
        <v>78</v>
      </c>
      <c r="F2207" t="s">
        <v>252</v>
      </c>
      <c r="G2207">
        <v>7.7577999999999996</v>
      </c>
      <c r="H2207">
        <v>-76.654700000000005</v>
      </c>
      <c r="I2207" t="s">
        <v>2321</v>
      </c>
      <c r="J2207">
        <v>11</v>
      </c>
      <c r="M2207">
        <v>169</v>
      </c>
      <c r="N2207">
        <v>24</v>
      </c>
      <c r="O2207">
        <v>34</v>
      </c>
      <c r="P2207">
        <v>50</v>
      </c>
      <c r="Q2207">
        <v>26</v>
      </c>
      <c r="R2207">
        <v>36</v>
      </c>
    </row>
    <row r="2208" spans="1:18" x14ac:dyDescent="0.25">
      <c r="A2208" t="s">
        <v>2355</v>
      </c>
      <c r="B2208" t="s">
        <v>55</v>
      </c>
      <c r="C2208" t="s">
        <v>2319</v>
      </c>
      <c r="D2208" t="s">
        <v>2320</v>
      </c>
      <c r="E2208" t="s">
        <v>78</v>
      </c>
      <c r="F2208" t="s">
        <v>252</v>
      </c>
      <c r="G2208">
        <v>7.7577999999999996</v>
      </c>
      <c r="H2208">
        <v>-76.654700000000005</v>
      </c>
      <c r="I2208" t="s">
        <v>2321</v>
      </c>
      <c r="J2208">
        <v>11</v>
      </c>
      <c r="M2208">
        <v>169</v>
      </c>
      <c r="N2208">
        <v>54</v>
      </c>
      <c r="O2208">
        <v>24</v>
      </c>
      <c r="P2208">
        <v>38</v>
      </c>
      <c r="Q2208">
        <v>21</v>
      </c>
      <c r="R2208">
        <v>29</v>
      </c>
    </row>
    <row r="2209" spans="1:18" x14ac:dyDescent="0.25">
      <c r="A2209" t="s">
        <v>2356</v>
      </c>
      <c r="B2209" t="s">
        <v>55</v>
      </c>
      <c r="C2209" t="s">
        <v>2319</v>
      </c>
      <c r="D2209" t="s">
        <v>2320</v>
      </c>
      <c r="E2209" t="s">
        <v>78</v>
      </c>
      <c r="F2209" t="s">
        <v>252</v>
      </c>
      <c r="G2209">
        <v>7.7577999999999996</v>
      </c>
      <c r="H2209">
        <v>-76.654700000000005</v>
      </c>
      <c r="I2209" t="s">
        <v>2321</v>
      </c>
      <c r="J2209">
        <v>11</v>
      </c>
      <c r="M2209">
        <v>167</v>
      </c>
      <c r="N2209">
        <v>41</v>
      </c>
      <c r="O2209">
        <v>28</v>
      </c>
      <c r="P2209">
        <v>38</v>
      </c>
      <c r="Q2209">
        <v>26</v>
      </c>
      <c r="R2209">
        <v>35</v>
      </c>
    </row>
    <row r="2210" spans="1:18" x14ac:dyDescent="0.25">
      <c r="A2210" t="s">
        <v>2357</v>
      </c>
      <c r="B2210" t="s">
        <v>55</v>
      </c>
      <c r="C2210" t="s">
        <v>2319</v>
      </c>
      <c r="D2210" t="s">
        <v>2320</v>
      </c>
      <c r="E2210" t="s">
        <v>78</v>
      </c>
      <c r="F2210" t="s">
        <v>252</v>
      </c>
      <c r="G2210">
        <v>7.7577999999999996</v>
      </c>
      <c r="H2210">
        <v>-76.654700000000005</v>
      </c>
      <c r="I2210" t="s">
        <v>2321</v>
      </c>
      <c r="J2210">
        <v>11</v>
      </c>
      <c r="M2210">
        <v>163</v>
      </c>
      <c r="N2210">
        <v>37</v>
      </c>
      <c r="O2210">
        <v>30</v>
      </c>
      <c r="P2210">
        <v>34</v>
      </c>
      <c r="Q2210">
        <v>28</v>
      </c>
      <c r="R2210">
        <v>40</v>
      </c>
    </row>
    <row r="2211" spans="1:18" x14ac:dyDescent="0.25">
      <c r="A2211" t="s">
        <v>2358</v>
      </c>
      <c r="B2211" t="s">
        <v>55</v>
      </c>
      <c r="C2211" t="s">
        <v>2319</v>
      </c>
      <c r="D2211" t="s">
        <v>2320</v>
      </c>
      <c r="E2211" t="s">
        <v>78</v>
      </c>
      <c r="F2211" t="s">
        <v>252</v>
      </c>
      <c r="G2211">
        <v>7.7577999999999996</v>
      </c>
      <c r="H2211">
        <v>-76.654700000000005</v>
      </c>
      <c r="I2211" t="s">
        <v>2321</v>
      </c>
      <c r="J2211">
        <v>11</v>
      </c>
      <c r="M2211">
        <v>158</v>
      </c>
      <c r="N2211">
        <v>44</v>
      </c>
      <c r="O2211">
        <v>26</v>
      </c>
      <c r="P2211">
        <v>26</v>
      </c>
      <c r="Q2211">
        <v>29</v>
      </c>
      <c r="R2211">
        <v>36</v>
      </c>
    </row>
    <row r="2212" spans="1:18" x14ac:dyDescent="0.25">
      <c r="A2212" t="s">
        <v>2359</v>
      </c>
      <c r="B2212" t="s">
        <v>55</v>
      </c>
      <c r="C2212" t="s">
        <v>2319</v>
      </c>
      <c r="D2212" t="s">
        <v>2320</v>
      </c>
      <c r="E2212" t="s">
        <v>78</v>
      </c>
      <c r="F2212" t="s">
        <v>252</v>
      </c>
      <c r="G2212">
        <v>7.7577999999999996</v>
      </c>
      <c r="H2212">
        <v>-76.654700000000005</v>
      </c>
      <c r="I2212" t="s">
        <v>2321</v>
      </c>
      <c r="J2212">
        <v>11</v>
      </c>
      <c r="M2212">
        <v>155</v>
      </c>
      <c r="N2212">
        <v>32</v>
      </c>
      <c r="O2212">
        <v>26</v>
      </c>
      <c r="P2212">
        <v>40</v>
      </c>
      <c r="Q2212">
        <v>24</v>
      </c>
      <c r="R2212">
        <v>36</v>
      </c>
    </row>
    <row r="2213" spans="1:18" x14ac:dyDescent="0.25">
      <c r="A2213" t="s">
        <v>2360</v>
      </c>
      <c r="B2213" t="s">
        <v>55</v>
      </c>
      <c r="C2213" t="s">
        <v>2319</v>
      </c>
      <c r="D2213" t="s">
        <v>2320</v>
      </c>
      <c r="E2213" t="s">
        <v>78</v>
      </c>
      <c r="F2213" t="s">
        <v>252</v>
      </c>
      <c r="G2213">
        <v>7.7577999999999996</v>
      </c>
      <c r="H2213">
        <v>-76.654700000000005</v>
      </c>
      <c r="I2213" t="s">
        <v>2321</v>
      </c>
      <c r="J2213">
        <v>11</v>
      </c>
      <c r="M2213">
        <v>154</v>
      </c>
      <c r="N2213">
        <v>39</v>
      </c>
      <c r="O2213">
        <v>20</v>
      </c>
      <c r="P2213">
        <v>42</v>
      </c>
      <c r="Q2213">
        <v>17</v>
      </c>
      <c r="R2213">
        <v>45</v>
      </c>
    </row>
    <row r="2214" spans="1:18" x14ac:dyDescent="0.25">
      <c r="A2214" t="s">
        <v>2361</v>
      </c>
      <c r="B2214" t="s">
        <v>55</v>
      </c>
      <c r="C2214" t="s">
        <v>2319</v>
      </c>
      <c r="D2214" t="s">
        <v>2320</v>
      </c>
      <c r="E2214" t="s">
        <v>78</v>
      </c>
      <c r="F2214" t="s">
        <v>252</v>
      </c>
      <c r="G2214">
        <v>7.7577999999999996</v>
      </c>
      <c r="H2214">
        <v>-76.654700000000005</v>
      </c>
      <c r="I2214" t="s">
        <v>2321</v>
      </c>
      <c r="J2214">
        <v>11</v>
      </c>
      <c r="M2214">
        <v>153</v>
      </c>
      <c r="N2214">
        <v>39</v>
      </c>
      <c r="O2214">
        <v>18</v>
      </c>
      <c r="P2214">
        <v>40</v>
      </c>
      <c r="Q2214">
        <v>21</v>
      </c>
      <c r="R2214">
        <v>45</v>
      </c>
    </row>
    <row r="2215" spans="1:18" x14ac:dyDescent="0.25">
      <c r="A2215" t="s">
        <v>2362</v>
      </c>
      <c r="B2215" t="s">
        <v>55</v>
      </c>
      <c r="C2215" t="s">
        <v>2319</v>
      </c>
      <c r="D2215" t="s">
        <v>2320</v>
      </c>
      <c r="E2215" t="s">
        <v>78</v>
      </c>
      <c r="F2215" t="s">
        <v>252</v>
      </c>
      <c r="G2215">
        <v>7.7577999999999996</v>
      </c>
      <c r="H2215">
        <v>-76.654700000000005</v>
      </c>
      <c r="I2215" t="s">
        <v>2321</v>
      </c>
      <c r="J2215">
        <v>11</v>
      </c>
      <c r="M2215">
        <v>152</v>
      </c>
      <c r="N2215">
        <v>27</v>
      </c>
      <c r="O2215">
        <v>30</v>
      </c>
      <c r="P2215">
        <v>32</v>
      </c>
      <c r="Q2215">
        <v>28</v>
      </c>
      <c r="R2215">
        <v>45</v>
      </c>
    </row>
    <row r="2216" spans="1:18" x14ac:dyDescent="0.25">
      <c r="A2216" t="s">
        <v>2363</v>
      </c>
      <c r="B2216" t="s">
        <v>55</v>
      </c>
      <c r="C2216" t="s">
        <v>2319</v>
      </c>
      <c r="D2216" t="s">
        <v>2320</v>
      </c>
      <c r="E2216" t="s">
        <v>78</v>
      </c>
      <c r="F2216" t="s">
        <v>252</v>
      </c>
      <c r="G2216">
        <v>7.7577999999999996</v>
      </c>
      <c r="H2216">
        <v>-76.654700000000005</v>
      </c>
      <c r="I2216" t="s">
        <v>2321</v>
      </c>
      <c r="J2216">
        <v>11</v>
      </c>
      <c r="M2216">
        <v>139</v>
      </c>
      <c r="N2216">
        <v>29</v>
      </c>
      <c r="O2216">
        <v>16</v>
      </c>
      <c r="P2216">
        <v>24</v>
      </c>
      <c r="Q2216">
        <v>33</v>
      </c>
      <c r="R2216">
        <v>56</v>
      </c>
    </row>
    <row r="2217" spans="1:18" x14ac:dyDescent="0.25">
      <c r="A2217" t="s">
        <v>2364</v>
      </c>
      <c r="B2217" t="s">
        <v>55</v>
      </c>
      <c r="C2217" t="s">
        <v>2319</v>
      </c>
      <c r="D2217" t="s">
        <v>2320</v>
      </c>
      <c r="E2217" t="s">
        <v>78</v>
      </c>
      <c r="F2217" t="s">
        <v>252</v>
      </c>
      <c r="G2217">
        <v>7.7577999999999996</v>
      </c>
      <c r="H2217">
        <v>-76.654700000000005</v>
      </c>
      <c r="I2217" t="s">
        <v>2321</v>
      </c>
      <c r="J2217">
        <v>11</v>
      </c>
      <c r="M2217">
        <v>123</v>
      </c>
      <c r="N2217">
        <v>17</v>
      </c>
      <c r="O2217">
        <v>26</v>
      </c>
      <c r="P2217">
        <v>22</v>
      </c>
      <c r="Q2217">
        <v>31</v>
      </c>
      <c r="R2217">
        <v>33</v>
      </c>
    </row>
    <row r="2218" spans="1:18" x14ac:dyDescent="0.25">
      <c r="A2218" t="s">
        <v>2365</v>
      </c>
      <c r="B2218" t="s">
        <v>55</v>
      </c>
      <c r="C2218" t="s">
        <v>2366</v>
      </c>
      <c r="D2218" t="s">
        <v>2367</v>
      </c>
      <c r="E2218" t="s">
        <v>78</v>
      </c>
      <c r="F2218" t="s">
        <v>252</v>
      </c>
      <c r="G2218">
        <v>6.5007999999999999</v>
      </c>
      <c r="H2218">
        <v>-75.742800000000003</v>
      </c>
      <c r="I2218" t="s">
        <v>2368</v>
      </c>
      <c r="J2218">
        <v>11</v>
      </c>
      <c r="M2218">
        <v>291</v>
      </c>
      <c r="N2218">
        <v>63</v>
      </c>
      <c r="O2218">
        <v>52</v>
      </c>
      <c r="P2218">
        <v>50</v>
      </c>
      <c r="Q2218">
        <v>57</v>
      </c>
      <c r="R2218">
        <v>91</v>
      </c>
    </row>
    <row r="2219" spans="1:18" x14ac:dyDescent="0.25">
      <c r="A2219" t="s">
        <v>2369</v>
      </c>
      <c r="B2219" t="s">
        <v>55</v>
      </c>
      <c r="C2219" t="s">
        <v>2366</v>
      </c>
      <c r="D2219" t="s">
        <v>2367</v>
      </c>
      <c r="E2219" t="s">
        <v>78</v>
      </c>
      <c r="F2219" t="s">
        <v>252</v>
      </c>
      <c r="G2219">
        <v>6.5007999999999999</v>
      </c>
      <c r="H2219">
        <v>-75.742800000000003</v>
      </c>
      <c r="I2219" t="s">
        <v>2368</v>
      </c>
      <c r="J2219">
        <v>11</v>
      </c>
      <c r="M2219">
        <v>257</v>
      </c>
      <c r="N2219">
        <v>63</v>
      </c>
      <c r="O2219">
        <v>36</v>
      </c>
      <c r="P2219">
        <v>54</v>
      </c>
      <c r="Q2219">
        <v>41</v>
      </c>
      <c r="R2219">
        <v>84</v>
      </c>
    </row>
    <row r="2220" spans="1:18" x14ac:dyDescent="0.25">
      <c r="A2220" t="s">
        <v>2370</v>
      </c>
      <c r="B2220" t="s">
        <v>55</v>
      </c>
      <c r="C2220" t="s">
        <v>2366</v>
      </c>
      <c r="D2220" t="s">
        <v>2367</v>
      </c>
      <c r="E2220" t="s">
        <v>78</v>
      </c>
      <c r="F2220" t="s">
        <v>252</v>
      </c>
      <c r="G2220">
        <v>6.5007999999999999</v>
      </c>
      <c r="H2220">
        <v>-75.742800000000003</v>
      </c>
      <c r="I2220" t="s">
        <v>2368</v>
      </c>
      <c r="J2220">
        <v>11</v>
      </c>
      <c r="M2220">
        <v>239</v>
      </c>
      <c r="N2220">
        <v>49</v>
      </c>
      <c r="O2220">
        <v>24</v>
      </c>
      <c r="P2220">
        <v>78</v>
      </c>
      <c r="Q2220">
        <v>29</v>
      </c>
      <c r="R2220">
        <v>82</v>
      </c>
    </row>
    <row r="2221" spans="1:18" x14ac:dyDescent="0.25">
      <c r="A2221" t="s">
        <v>2371</v>
      </c>
      <c r="B2221" t="s">
        <v>55</v>
      </c>
      <c r="C2221" t="s">
        <v>2366</v>
      </c>
      <c r="D2221" t="s">
        <v>2367</v>
      </c>
      <c r="E2221" t="s">
        <v>78</v>
      </c>
      <c r="F2221" t="s">
        <v>252</v>
      </c>
      <c r="G2221">
        <v>6.5007999999999999</v>
      </c>
      <c r="H2221">
        <v>-75.742800000000003</v>
      </c>
      <c r="I2221" t="s">
        <v>2368</v>
      </c>
      <c r="J2221">
        <v>11</v>
      </c>
      <c r="M2221">
        <v>228</v>
      </c>
      <c r="N2221">
        <v>54</v>
      </c>
      <c r="O2221">
        <v>32</v>
      </c>
      <c r="P2221">
        <v>70</v>
      </c>
      <c r="Q2221">
        <v>26</v>
      </c>
      <c r="R2221">
        <v>47</v>
      </c>
    </row>
    <row r="2222" spans="1:18" x14ac:dyDescent="0.25">
      <c r="A2222" t="s">
        <v>2372</v>
      </c>
      <c r="B2222" t="s">
        <v>55</v>
      </c>
      <c r="C2222" t="s">
        <v>2366</v>
      </c>
      <c r="D2222" t="s">
        <v>2367</v>
      </c>
      <c r="E2222" t="s">
        <v>78</v>
      </c>
      <c r="F2222" t="s">
        <v>252</v>
      </c>
      <c r="G2222">
        <v>6.5007999999999999</v>
      </c>
      <c r="H2222">
        <v>-75.742800000000003</v>
      </c>
      <c r="I2222" t="s">
        <v>2368</v>
      </c>
      <c r="J2222">
        <v>11</v>
      </c>
      <c r="M2222">
        <v>222</v>
      </c>
      <c r="N2222">
        <v>44</v>
      </c>
      <c r="O2222">
        <v>32</v>
      </c>
      <c r="P2222">
        <v>74</v>
      </c>
      <c r="Q2222">
        <v>28</v>
      </c>
      <c r="R2222">
        <v>44</v>
      </c>
    </row>
    <row r="2223" spans="1:18" x14ac:dyDescent="0.25">
      <c r="A2223" t="s">
        <v>2373</v>
      </c>
      <c r="B2223" t="s">
        <v>55</v>
      </c>
      <c r="C2223" t="s">
        <v>2366</v>
      </c>
      <c r="D2223" t="s">
        <v>2367</v>
      </c>
      <c r="E2223" t="s">
        <v>78</v>
      </c>
      <c r="F2223" t="s">
        <v>252</v>
      </c>
      <c r="G2223">
        <v>6.5007999999999999</v>
      </c>
      <c r="H2223">
        <v>-75.742800000000003</v>
      </c>
      <c r="I2223" t="s">
        <v>2368</v>
      </c>
      <c r="J2223">
        <v>11</v>
      </c>
      <c r="M2223">
        <v>216</v>
      </c>
      <c r="N2223">
        <v>51</v>
      </c>
      <c r="O2223">
        <v>36</v>
      </c>
      <c r="P2223">
        <v>54</v>
      </c>
      <c r="Q2223">
        <v>31</v>
      </c>
      <c r="R2223">
        <v>45</v>
      </c>
    </row>
    <row r="2224" spans="1:18" x14ac:dyDescent="0.25">
      <c r="A2224" t="s">
        <v>2374</v>
      </c>
      <c r="B2224" t="s">
        <v>55</v>
      </c>
      <c r="C2224" t="s">
        <v>2366</v>
      </c>
      <c r="D2224" t="s">
        <v>2367</v>
      </c>
      <c r="E2224" t="s">
        <v>78</v>
      </c>
      <c r="F2224" t="s">
        <v>252</v>
      </c>
      <c r="G2224">
        <v>6.5007999999999999</v>
      </c>
      <c r="H2224">
        <v>-75.742800000000003</v>
      </c>
      <c r="I2224" t="s">
        <v>2368</v>
      </c>
      <c r="J2224">
        <v>11</v>
      </c>
      <c r="M2224">
        <v>216</v>
      </c>
      <c r="N2224">
        <v>61</v>
      </c>
      <c r="O2224">
        <v>26</v>
      </c>
      <c r="P2224">
        <v>52</v>
      </c>
      <c r="Q2224">
        <v>31</v>
      </c>
      <c r="R2224">
        <v>51</v>
      </c>
    </row>
    <row r="2225" spans="1:18" x14ac:dyDescent="0.25">
      <c r="A2225" t="s">
        <v>2375</v>
      </c>
      <c r="B2225" t="s">
        <v>55</v>
      </c>
      <c r="C2225" t="s">
        <v>2366</v>
      </c>
      <c r="D2225" t="s">
        <v>2367</v>
      </c>
      <c r="E2225" t="s">
        <v>78</v>
      </c>
      <c r="F2225" t="s">
        <v>252</v>
      </c>
      <c r="G2225">
        <v>6.5007999999999999</v>
      </c>
      <c r="H2225">
        <v>-75.742800000000003</v>
      </c>
      <c r="I2225" t="s">
        <v>2368</v>
      </c>
      <c r="J2225">
        <v>11</v>
      </c>
      <c r="M2225">
        <v>214</v>
      </c>
      <c r="N2225">
        <v>51</v>
      </c>
      <c r="O2225">
        <v>34</v>
      </c>
      <c r="P2225">
        <v>50</v>
      </c>
      <c r="Q2225">
        <v>38</v>
      </c>
      <c r="R2225">
        <v>38</v>
      </c>
    </row>
    <row r="2226" spans="1:18" x14ac:dyDescent="0.25">
      <c r="A2226" t="s">
        <v>2376</v>
      </c>
      <c r="B2226" t="s">
        <v>55</v>
      </c>
      <c r="C2226" t="s">
        <v>2366</v>
      </c>
      <c r="D2226" t="s">
        <v>2367</v>
      </c>
      <c r="E2226" t="s">
        <v>78</v>
      </c>
      <c r="F2226" t="s">
        <v>252</v>
      </c>
      <c r="G2226">
        <v>6.5007999999999999</v>
      </c>
      <c r="H2226">
        <v>-75.742800000000003</v>
      </c>
      <c r="I2226" t="s">
        <v>2368</v>
      </c>
      <c r="J2226">
        <v>11</v>
      </c>
      <c r="M2226">
        <v>208</v>
      </c>
      <c r="N2226">
        <v>59</v>
      </c>
      <c r="O2226">
        <v>32</v>
      </c>
      <c r="P2226">
        <v>38</v>
      </c>
      <c r="Q2226">
        <v>38</v>
      </c>
      <c r="R2226">
        <v>42</v>
      </c>
    </row>
    <row r="2227" spans="1:18" x14ac:dyDescent="0.25">
      <c r="A2227" t="s">
        <v>2377</v>
      </c>
      <c r="B2227" t="s">
        <v>55</v>
      </c>
      <c r="C2227" t="s">
        <v>2366</v>
      </c>
      <c r="D2227" t="s">
        <v>2367</v>
      </c>
      <c r="E2227" t="s">
        <v>78</v>
      </c>
      <c r="F2227" t="s">
        <v>252</v>
      </c>
      <c r="G2227">
        <v>6.5007999999999999</v>
      </c>
      <c r="H2227">
        <v>-75.742800000000003</v>
      </c>
      <c r="I2227" t="s">
        <v>2368</v>
      </c>
      <c r="J2227">
        <v>11</v>
      </c>
      <c r="M2227">
        <v>207</v>
      </c>
      <c r="N2227">
        <v>49</v>
      </c>
      <c r="O2227">
        <v>30</v>
      </c>
      <c r="P2227">
        <v>46</v>
      </c>
      <c r="Q2227">
        <v>40</v>
      </c>
      <c r="R2227">
        <v>44</v>
      </c>
    </row>
    <row r="2228" spans="1:18" x14ac:dyDescent="0.25">
      <c r="A2228" t="s">
        <v>2378</v>
      </c>
      <c r="B2228" t="s">
        <v>55</v>
      </c>
      <c r="C2228" t="s">
        <v>2366</v>
      </c>
      <c r="D2228" t="s">
        <v>2367</v>
      </c>
      <c r="E2228" t="s">
        <v>78</v>
      </c>
      <c r="F2228" t="s">
        <v>252</v>
      </c>
      <c r="G2228">
        <v>6.5007999999999999</v>
      </c>
      <c r="H2228">
        <v>-75.742800000000003</v>
      </c>
      <c r="I2228" t="s">
        <v>2368</v>
      </c>
      <c r="J2228">
        <v>11</v>
      </c>
      <c r="M2228">
        <v>205</v>
      </c>
      <c r="N2228">
        <v>49</v>
      </c>
      <c r="O2228">
        <v>28</v>
      </c>
      <c r="P2228">
        <v>56</v>
      </c>
      <c r="Q2228">
        <v>26</v>
      </c>
      <c r="R2228">
        <v>58</v>
      </c>
    </row>
    <row r="2229" spans="1:18" x14ac:dyDescent="0.25">
      <c r="A2229" t="s">
        <v>2379</v>
      </c>
      <c r="B2229" t="s">
        <v>55</v>
      </c>
      <c r="C2229" t="s">
        <v>2366</v>
      </c>
      <c r="D2229" t="s">
        <v>2367</v>
      </c>
      <c r="E2229" t="s">
        <v>78</v>
      </c>
      <c r="F2229" t="s">
        <v>252</v>
      </c>
      <c r="G2229">
        <v>6.5007999999999999</v>
      </c>
      <c r="H2229">
        <v>-75.742800000000003</v>
      </c>
      <c r="I2229" t="s">
        <v>2368</v>
      </c>
      <c r="J2229">
        <v>11</v>
      </c>
      <c r="M2229">
        <v>204</v>
      </c>
      <c r="N2229">
        <v>49</v>
      </c>
      <c r="O2229">
        <v>30</v>
      </c>
      <c r="P2229">
        <v>56</v>
      </c>
      <c r="Q2229">
        <v>29</v>
      </c>
      <c r="R2229">
        <v>38</v>
      </c>
    </row>
    <row r="2230" spans="1:18" x14ac:dyDescent="0.25">
      <c r="A2230" t="s">
        <v>2380</v>
      </c>
      <c r="B2230" t="s">
        <v>55</v>
      </c>
      <c r="C2230" t="s">
        <v>2366</v>
      </c>
      <c r="D2230" t="s">
        <v>2367</v>
      </c>
      <c r="E2230" t="s">
        <v>78</v>
      </c>
      <c r="F2230" t="s">
        <v>252</v>
      </c>
      <c r="G2230">
        <v>6.5007999999999999</v>
      </c>
      <c r="H2230">
        <v>-75.742800000000003</v>
      </c>
      <c r="I2230" t="s">
        <v>2368</v>
      </c>
      <c r="J2230">
        <v>11</v>
      </c>
      <c r="M2230">
        <v>202</v>
      </c>
      <c r="N2230">
        <v>49</v>
      </c>
      <c r="O2230">
        <v>24</v>
      </c>
      <c r="P2230">
        <v>62</v>
      </c>
      <c r="Q2230">
        <v>26</v>
      </c>
      <c r="R2230">
        <v>44</v>
      </c>
    </row>
    <row r="2231" spans="1:18" x14ac:dyDescent="0.25">
      <c r="A2231" t="s">
        <v>2381</v>
      </c>
      <c r="B2231" t="s">
        <v>55</v>
      </c>
      <c r="C2231" t="s">
        <v>2366</v>
      </c>
      <c r="D2231" t="s">
        <v>2367</v>
      </c>
      <c r="E2231" t="s">
        <v>78</v>
      </c>
      <c r="F2231" t="s">
        <v>252</v>
      </c>
      <c r="G2231">
        <v>6.5007999999999999</v>
      </c>
      <c r="H2231">
        <v>-75.742800000000003</v>
      </c>
      <c r="I2231" t="s">
        <v>2368</v>
      </c>
      <c r="J2231">
        <v>11</v>
      </c>
      <c r="M2231">
        <v>200</v>
      </c>
      <c r="N2231">
        <v>54</v>
      </c>
      <c r="O2231">
        <v>22</v>
      </c>
      <c r="P2231">
        <v>46</v>
      </c>
      <c r="Q2231">
        <v>38</v>
      </c>
      <c r="R2231">
        <v>40</v>
      </c>
    </row>
    <row r="2232" spans="1:18" x14ac:dyDescent="0.25">
      <c r="A2232" t="s">
        <v>2382</v>
      </c>
      <c r="B2232" t="s">
        <v>55</v>
      </c>
      <c r="C2232" t="s">
        <v>2366</v>
      </c>
      <c r="D2232" t="s">
        <v>2367</v>
      </c>
      <c r="E2232" t="s">
        <v>78</v>
      </c>
      <c r="F2232" t="s">
        <v>252</v>
      </c>
      <c r="G2232">
        <v>6.5007999999999999</v>
      </c>
      <c r="H2232">
        <v>-75.742800000000003</v>
      </c>
      <c r="I2232" t="s">
        <v>2368</v>
      </c>
      <c r="J2232">
        <v>11</v>
      </c>
      <c r="M2232">
        <v>195</v>
      </c>
      <c r="N2232">
        <v>41</v>
      </c>
      <c r="O2232">
        <v>30</v>
      </c>
      <c r="P2232">
        <v>46</v>
      </c>
      <c r="Q2232">
        <v>34</v>
      </c>
      <c r="R2232">
        <v>51</v>
      </c>
    </row>
    <row r="2233" spans="1:18" x14ac:dyDescent="0.25">
      <c r="A2233" t="s">
        <v>2383</v>
      </c>
      <c r="B2233" t="s">
        <v>55</v>
      </c>
      <c r="C2233" t="s">
        <v>2366</v>
      </c>
      <c r="D2233" t="s">
        <v>2367</v>
      </c>
      <c r="E2233" t="s">
        <v>78</v>
      </c>
      <c r="F2233" t="s">
        <v>252</v>
      </c>
      <c r="G2233">
        <v>6.5007999999999999</v>
      </c>
      <c r="H2233">
        <v>-75.742800000000003</v>
      </c>
      <c r="I2233" t="s">
        <v>2368</v>
      </c>
      <c r="J2233">
        <v>11</v>
      </c>
      <c r="M2233">
        <v>189</v>
      </c>
      <c r="N2233">
        <v>39</v>
      </c>
      <c r="O2233">
        <v>28</v>
      </c>
      <c r="P2233">
        <v>52</v>
      </c>
      <c r="Q2233">
        <v>31</v>
      </c>
      <c r="R2233">
        <v>40</v>
      </c>
    </row>
    <row r="2234" spans="1:18" x14ac:dyDescent="0.25">
      <c r="A2234" t="s">
        <v>2384</v>
      </c>
      <c r="B2234" t="s">
        <v>55</v>
      </c>
      <c r="C2234" t="s">
        <v>2366</v>
      </c>
      <c r="D2234" t="s">
        <v>2367</v>
      </c>
      <c r="E2234" t="s">
        <v>78</v>
      </c>
      <c r="F2234" t="s">
        <v>252</v>
      </c>
      <c r="G2234">
        <v>6.5007999999999999</v>
      </c>
      <c r="H2234">
        <v>-75.742800000000003</v>
      </c>
      <c r="I2234" t="s">
        <v>2368</v>
      </c>
      <c r="J2234">
        <v>11</v>
      </c>
      <c r="M2234">
        <v>185</v>
      </c>
      <c r="N2234">
        <v>44</v>
      </c>
      <c r="O2234">
        <v>22</v>
      </c>
      <c r="P2234">
        <v>44</v>
      </c>
      <c r="Q2234">
        <v>38</v>
      </c>
      <c r="R2234">
        <v>38</v>
      </c>
    </row>
    <row r="2235" spans="1:18" x14ac:dyDescent="0.25">
      <c r="A2235" t="s">
        <v>2385</v>
      </c>
      <c r="B2235" t="s">
        <v>55</v>
      </c>
      <c r="C2235" t="s">
        <v>2366</v>
      </c>
      <c r="D2235" t="s">
        <v>2367</v>
      </c>
      <c r="E2235" t="s">
        <v>78</v>
      </c>
      <c r="F2235" t="s">
        <v>252</v>
      </c>
      <c r="G2235">
        <v>6.5007999999999999</v>
      </c>
      <c r="H2235">
        <v>-75.742800000000003</v>
      </c>
      <c r="I2235" t="s">
        <v>2368</v>
      </c>
      <c r="J2235">
        <v>11</v>
      </c>
      <c r="M2235">
        <v>184</v>
      </c>
      <c r="N2235">
        <v>49</v>
      </c>
      <c r="O2235">
        <v>24</v>
      </c>
      <c r="P2235">
        <v>54</v>
      </c>
      <c r="Q2235">
        <v>28</v>
      </c>
      <c r="R2235">
        <v>15</v>
      </c>
    </row>
    <row r="2236" spans="1:18" x14ac:dyDescent="0.25">
      <c r="A2236" t="s">
        <v>2386</v>
      </c>
      <c r="B2236" t="s">
        <v>55</v>
      </c>
      <c r="C2236" t="s">
        <v>2366</v>
      </c>
      <c r="D2236" t="s">
        <v>2367</v>
      </c>
      <c r="E2236" t="s">
        <v>78</v>
      </c>
      <c r="F2236" t="s">
        <v>252</v>
      </c>
      <c r="G2236">
        <v>6.5007999999999999</v>
      </c>
      <c r="H2236">
        <v>-75.742800000000003</v>
      </c>
      <c r="I2236" t="s">
        <v>2368</v>
      </c>
      <c r="J2236">
        <v>11</v>
      </c>
      <c r="M2236">
        <v>180</v>
      </c>
      <c r="N2236">
        <v>39</v>
      </c>
      <c r="O2236">
        <v>30</v>
      </c>
      <c r="P2236">
        <v>44</v>
      </c>
      <c r="Q2236">
        <v>28</v>
      </c>
      <c r="R2236">
        <v>47</v>
      </c>
    </row>
    <row r="2237" spans="1:18" x14ac:dyDescent="0.25">
      <c r="A2237" t="s">
        <v>2387</v>
      </c>
      <c r="B2237" t="s">
        <v>55</v>
      </c>
      <c r="C2237" t="s">
        <v>2366</v>
      </c>
      <c r="D2237" t="s">
        <v>2367</v>
      </c>
      <c r="E2237" t="s">
        <v>78</v>
      </c>
      <c r="F2237" t="s">
        <v>252</v>
      </c>
      <c r="G2237">
        <v>6.5007999999999999</v>
      </c>
      <c r="H2237">
        <v>-75.742800000000003</v>
      </c>
      <c r="I2237" t="s">
        <v>2368</v>
      </c>
      <c r="J2237">
        <v>11</v>
      </c>
      <c r="M2237">
        <v>180</v>
      </c>
      <c r="N2237">
        <v>49</v>
      </c>
      <c r="O2237">
        <v>16</v>
      </c>
      <c r="P2237">
        <v>54</v>
      </c>
      <c r="Q2237">
        <v>22</v>
      </c>
      <c r="R2237">
        <v>44</v>
      </c>
    </row>
    <row r="2238" spans="1:18" x14ac:dyDescent="0.25">
      <c r="A2238" t="s">
        <v>2388</v>
      </c>
      <c r="B2238" t="s">
        <v>55</v>
      </c>
      <c r="C2238" t="s">
        <v>2366</v>
      </c>
      <c r="D2238" t="s">
        <v>2367</v>
      </c>
      <c r="E2238" t="s">
        <v>78</v>
      </c>
      <c r="F2238" t="s">
        <v>252</v>
      </c>
      <c r="G2238">
        <v>6.5007999999999999</v>
      </c>
      <c r="H2238">
        <v>-75.742800000000003</v>
      </c>
      <c r="I2238" t="s">
        <v>2368</v>
      </c>
      <c r="J2238">
        <v>11</v>
      </c>
      <c r="M2238">
        <v>177</v>
      </c>
      <c r="N2238">
        <v>44</v>
      </c>
      <c r="O2238">
        <v>18</v>
      </c>
      <c r="P2238">
        <v>50</v>
      </c>
      <c r="Q2238">
        <v>28</v>
      </c>
      <c r="R2238">
        <v>42</v>
      </c>
    </row>
    <row r="2239" spans="1:18" x14ac:dyDescent="0.25">
      <c r="A2239" t="s">
        <v>2389</v>
      </c>
      <c r="B2239" t="s">
        <v>55</v>
      </c>
      <c r="C2239" t="s">
        <v>2366</v>
      </c>
      <c r="D2239" t="s">
        <v>2367</v>
      </c>
      <c r="E2239" t="s">
        <v>78</v>
      </c>
      <c r="F2239" t="s">
        <v>252</v>
      </c>
      <c r="G2239">
        <v>6.5007999999999999</v>
      </c>
      <c r="H2239">
        <v>-75.742800000000003</v>
      </c>
      <c r="I2239" t="s">
        <v>2368</v>
      </c>
      <c r="J2239">
        <v>11</v>
      </c>
      <c r="M2239">
        <v>175</v>
      </c>
      <c r="N2239">
        <v>32</v>
      </c>
      <c r="O2239">
        <v>24</v>
      </c>
      <c r="P2239">
        <v>48</v>
      </c>
      <c r="Q2239">
        <v>33</v>
      </c>
      <c r="R2239">
        <v>45</v>
      </c>
    </row>
    <row r="2240" spans="1:18" x14ac:dyDescent="0.25">
      <c r="A2240" t="s">
        <v>2390</v>
      </c>
      <c r="B2240" t="s">
        <v>55</v>
      </c>
      <c r="C2240" t="s">
        <v>2366</v>
      </c>
      <c r="D2240" t="s">
        <v>2367</v>
      </c>
      <c r="E2240" t="s">
        <v>78</v>
      </c>
      <c r="F2240" t="s">
        <v>252</v>
      </c>
      <c r="G2240">
        <v>6.5007999999999999</v>
      </c>
      <c r="H2240">
        <v>-75.742800000000003</v>
      </c>
      <c r="I2240" t="s">
        <v>2368</v>
      </c>
      <c r="J2240">
        <v>11</v>
      </c>
      <c r="M2240">
        <v>174</v>
      </c>
      <c r="N2240">
        <v>51</v>
      </c>
      <c r="O2240">
        <v>28</v>
      </c>
      <c r="P2240">
        <v>34</v>
      </c>
      <c r="Q2240">
        <v>26</v>
      </c>
      <c r="R2240">
        <v>36</v>
      </c>
    </row>
    <row r="2241" spans="1:18" x14ac:dyDescent="0.25">
      <c r="A2241" t="s">
        <v>2391</v>
      </c>
      <c r="B2241" t="s">
        <v>55</v>
      </c>
      <c r="C2241" t="s">
        <v>2366</v>
      </c>
      <c r="D2241" t="s">
        <v>2367</v>
      </c>
      <c r="E2241" t="s">
        <v>78</v>
      </c>
      <c r="F2241" t="s">
        <v>252</v>
      </c>
      <c r="G2241">
        <v>6.5007999999999999</v>
      </c>
      <c r="H2241">
        <v>-75.742800000000003</v>
      </c>
      <c r="I2241" t="s">
        <v>2368</v>
      </c>
      <c r="J2241">
        <v>11</v>
      </c>
      <c r="M2241">
        <v>170</v>
      </c>
      <c r="N2241">
        <v>51</v>
      </c>
      <c r="O2241">
        <v>28</v>
      </c>
      <c r="P2241">
        <v>36</v>
      </c>
      <c r="Q2241">
        <v>21</v>
      </c>
      <c r="R2241">
        <v>35</v>
      </c>
    </row>
    <row r="2242" spans="1:18" x14ac:dyDescent="0.25">
      <c r="A2242" t="s">
        <v>2392</v>
      </c>
      <c r="B2242" t="s">
        <v>55</v>
      </c>
      <c r="C2242" t="s">
        <v>2366</v>
      </c>
      <c r="D2242" t="s">
        <v>2367</v>
      </c>
      <c r="E2242" t="s">
        <v>78</v>
      </c>
      <c r="F2242" t="s">
        <v>252</v>
      </c>
      <c r="G2242">
        <v>6.5007999999999999</v>
      </c>
      <c r="H2242">
        <v>-75.742800000000003</v>
      </c>
      <c r="I2242" t="s">
        <v>2368</v>
      </c>
      <c r="J2242">
        <v>11</v>
      </c>
      <c r="M2242">
        <v>170</v>
      </c>
      <c r="N2242">
        <v>44</v>
      </c>
      <c r="O2242">
        <v>24</v>
      </c>
      <c r="P2242">
        <v>38</v>
      </c>
      <c r="Q2242">
        <v>26</v>
      </c>
      <c r="R2242">
        <v>45</v>
      </c>
    </row>
    <row r="2243" spans="1:18" x14ac:dyDescent="0.25">
      <c r="A2243" t="s">
        <v>2393</v>
      </c>
      <c r="B2243" t="s">
        <v>55</v>
      </c>
      <c r="C2243" t="s">
        <v>2366</v>
      </c>
      <c r="D2243" t="s">
        <v>2367</v>
      </c>
      <c r="E2243" t="s">
        <v>78</v>
      </c>
      <c r="F2243" t="s">
        <v>252</v>
      </c>
      <c r="G2243">
        <v>6.5007999999999999</v>
      </c>
      <c r="H2243">
        <v>-75.742800000000003</v>
      </c>
      <c r="I2243" t="s">
        <v>2368</v>
      </c>
      <c r="J2243">
        <v>11</v>
      </c>
      <c r="M2243">
        <v>167</v>
      </c>
      <c r="N2243">
        <v>37</v>
      </c>
      <c r="O2243">
        <v>30</v>
      </c>
      <c r="P2243">
        <v>24</v>
      </c>
      <c r="Q2243">
        <v>34</v>
      </c>
      <c r="R2243">
        <v>58</v>
      </c>
    </row>
    <row r="2244" spans="1:18" x14ac:dyDescent="0.25">
      <c r="A2244" t="s">
        <v>2394</v>
      </c>
      <c r="B2244" t="s">
        <v>55</v>
      </c>
      <c r="C2244" t="s">
        <v>2366</v>
      </c>
      <c r="D2244" t="s">
        <v>2367</v>
      </c>
      <c r="E2244" t="s">
        <v>78</v>
      </c>
      <c r="F2244" t="s">
        <v>252</v>
      </c>
      <c r="G2244">
        <v>6.5007999999999999</v>
      </c>
      <c r="H2244">
        <v>-75.742800000000003</v>
      </c>
      <c r="I2244" t="s">
        <v>2368</v>
      </c>
      <c r="J2244">
        <v>11</v>
      </c>
      <c r="M2244">
        <v>166</v>
      </c>
      <c r="N2244">
        <v>32</v>
      </c>
      <c r="O2244">
        <v>32</v>
      </c>
      <c r="P2244">
        <v>46</v>
      </c>
      <c r="Q2244">
        <v>22</v>
      </c>
      <c r="R2244">
        <v>35</v>
      </c>
    </row>
    <row r="2245" spans="1:18" x14ac:dyDescent="0.25">
      <c r="A2245" t="s">
        <v>2395</v>
      </c>
      <c r="B2245" t="s">
        <v>55</v>
      </c>
      <c r="C2245" t="s">
        <v>2366</v>
      </c>
      <c r="D2245" t="s">
        <v>2367</v>
      </c>
      <c r="E2245" t="s">
        <v>78</v>
      </c>
      <c r="F2245" t="s">
        <v>252</v>
      </c>
      <c r="G2245">
        <v>6.5007999999999999</v>
      </c>
      <c r="H2245">
        <v>-75.742800000000003</v>
      </c>
      <c r="I2245" t="s">
        <v>2368</v>
      </c>
      <c r="J2245">
        <v>11</v>
      </c>
      <c r="M2245">
        <v>165</v>
      </c>
      <c r="N2245">
        <v>27</v>
      </c>
      <c r="O2245">
        <v>26</v>
      </c>
      <c r="P2245">
        <v>32</v>
      </c>
      <c r="Q2245">
        <v>40</v>
      </c>
      <c r="R2245">
        <v>56</v>
      </c>
    </row>
    <row r="2246" spans="1:18" x14ac:dyDescent="0.25">
      <c r="A2246" t="s">
        <v>2396</v>
      </c>
      <c r="B2246" t="s">
        <v>55</v>
      </c>
      <c r="C2246" t="s">
        <v>2366</v>
      </c>
      <c r="D2246" t="s">
        <v>2367</v>
      </c>
      <c r="E2246" t="s">
        <v>78</v>
      </c>
      <c r="F2246" t="s">
        <v>252</v>
      </c>
      <c r="G2246">
        <v>6.5007999999999999</v>
      </c>
      <c r="H2246">
        <v>-75.742800000000003</v>
      </c>
      <c r="I2246" t="s">
        <v>2368</v>
      </c>
      <c r="J2246">
        <v>11</v>
      </c>
      <c r="M2246">
        <v>163</v>
      </c>
      <c r="N2246">
        <v>27</v>
      </c>
      <c r="O2246">
        <v>28</v>
      </c>
      <c r="P2246">
        <v>32</v>
      </c>
      <c r="Q2246">
        <v>43</v>
      </c>
      <c r="R2246">
        <v>35</v>
      </c>
    </row>
    <row r="2247" spans="1:18" x14ac:dyDescent="0.25">
      <c r="A2247" t="s">
        <v>2397</v>
      </c>
      <c r="B2247" t="s">
        <v>55</v>
      </c>
      <c r="C2247" t="s">
        <v>2366</v>
      </c>
      <c r="D2247" t="s">
        <v>2367</v>
      </c>
      <c r="E2247" t="s">
        <v>78</v>
      </c>
      <c r="F2247" t="s">
        <v>252</v>
      </c>
      <c r="G2247">
        <v>6.5007999999999999</v>
      </c>
      <c r="H2247">
        <v>-75.742800000000003</v>
      </c>
      <c r="I2247" t="s">
        <v>2368</v>
      </c>
      <c r="J2247">
        <v>11</v>
      </c>
      <c r="M2247">
        <v>163</v>
      </c>
      <c r="N2247">
        <v>22</v>
      </c>
      <c r="O2247">
        <v>28</v>
      </c>
      <c r="P2247">
        <v>54</v>
      </c>
      <c r="Q2247">
        <v>24</v>
      </c>
      <c r="R2247">
        <v>40</v>
      </c>
    </row>
    <row r="2248" spans="1:18" x14ac:dyDescent="0.25">
      <c r="A2248" t="s">
        <v>2398</v>
      </c>
      <c r="B2248" t="s">
        <v>55</v>
      </c>
      <c r="C2248" t="s">
        <v>2366</v>
      </c>
      <c r="D2248" t="s">
        <v>2367</v>
      </c>
      <c r="E2248" t="s">
        <v>78</v>
      </c>
      <c r="F2248" t="s">
        <v>252</v>
      </c>
      <c r="G2248">
        <v>6.5007999999999999</v>
      </c>
      <c r="H2248">
        <v>-75.742800000000003</v>
      </c>
      <c r="I2248" t="s">
        <v>2368</v>
      </c>
      <c r="J2248">
        <v>11</v>
      </c>
      <c r="M2248">
        <v>159</v>
      </c>
      <c r="N2248">
        <v>27</v>
      </c>
      <c r="O2248">
        <v>20</v>
      </c>
      <c r="P2248">
        <v>36</v>
      </c>
      <c r="Q2248">
        <v>41</v>
      </c>
      <c r="R2248">
        <v>40</v>
      </c>
    </row>
    <row r="2249" spans="1:18" x14ac:dyDescent="0.25">
      <c r="A2249" t="s">
        <v>2399</v>
      </c>
      <c r="B2249" t="s">
        <v>55</v>
      </c>
      <c r="C2249" t="s">
        <v>2366</v>
      </c>
      <c r="D2249" t="s">
        <v>2367</v>
      </c>
      <c r="E2249" t="s">
        <v>78</v>
      </c>
      <c r="F2249" t="s">
        <v>252</v>
      </c>
      <c r="G2249">
        <v>6.5007999999999999</v>
      </c>
      <c r="H2249">
        <v>-75.742800000000003</v>
      </c>
      <c r="I2249" t="s">
        <v>2368</v>
      </c>
      <c r="J2249">
        <v>11</v>
      </c>
      <c r="M2249">
        <v>151</v>
      </c>
      <c r="N2249">
        <v>37</v>
      </c>
      <c r="O2249">
        <v>18</v>
      </c>
      <c r="P2249">
        <v>38</v>
      </c>
      <c r="Q2249">
        <v>21</v>
      </c>
      <c r="R2249">
        <v>53</v>
      </c>
    </row>
    <row r="2250" spans="1:18" x14ac:dyDescent="0.25">
      <c r="A2250" t="s">
        <v>2400</v>
      </c>
      <c r="B2250" t="s">
        <v>55</v>
      </c>
      <c r="C2250" t="s">
        <v>2366</v>
      </c>
      <c r="D2250" t="s">
        <v>2367</v>
      </c>
      <c r="E2250" t="s">
        <v>78</v>
      </c>
      <c r="F2250" t="s">
        <v>252</v>
      </c>
      <c r="G2250">
        <v>6.5007999999999999</v>
      </c>
      <c r="H2250">
        <v>-75.742800000000003</v>
      </c>
      <c r="I2250" t="s">
        <v>2368</v>
      </c>
      <c r="J2250">
        <v>11</v>
      </c>
      <c r="M2250">
        <v>142</v>
      </c>
      <c r="N2250">
        <v>34</v>
      </c>
      <c r="O2250">
        <v>28</v>
      </c>
      <c r="P2250">
        <v>30</v>
      </c>
      <c r="Q2250">
        <v>24</v>
      </c>
      <c r="R2250">
        <v>20</v>
      </c>
    </row>
    <row r="2251" spans="1:18" x14ac:dyDescent="0.25">
      <c r="A2251" t="s">
        <v>2401</v>
      </c>
      <c r="B2251" t="s">
        <v>55</v>
      </c>
      <c r="C2251" t="s">
        <v>2366</v>
      </c>
      <c r="D2251" t="s">
        <v>2367</v>
      </c>
      <c r="E2251" t="s">
        <v>78</v>
      </c>
      <c r="F2251" t="s">
        <v>252</v>
      </c>
      <c r="G2251">
        <v>6.5007999999999999</v>
      </c>
      <c r="H2251">
        <v>-75.742800000000003</v>
      </c>
      <c r="I2251" t="s">
        <v>2368</v>
      </c>
      <c r="J2251">
        <v>11</v>
      </c>
      <c r="M2251">
        <v>138</v>
      </c>
      <c r="N2251">
        <v>37</v>
      </c>
      <c r="O2251">
        <v>8</v>
      </c>
      <c r="P2251">
        <v>38</v>
      </c>
      <c r="Q2251">
        <v>28</v>
      </c>
      <c r="R2251">
        <v>27</v>
      </c>
    </row>
    <row r="2252" spans="1:18" x14ac:dyDescent="0.25">
      <c r="A2252" t="s">
        <v>2402</v>
      </c>
      <c r="B2252" t="s">
        <v>55</v>
      </c>
      <c r="C2252" t="s">
        <v>2366</v>
      </c>
      <c r="D2252" t="s">
        <v>2367</v>
      </c>
      <c r="E2252" t="s">
        <v>78</v>
      </c>
      <c r="F2252" t="s">
        <v>252</v>
      </c>
      <c r="G2252">
        <v>6.5007999999999999</v>
      </c>
      <c r="H2252">
        <v>-75.742800000000003</v>
      </c>
      <c r="I2252" t="s">
        <v>2368</v>
      </c>
      <c r="J2252">
        <v>11</v>
      </c>
      <c r="M2252">
        <v>136</v>
      </c>
      <c r="N2252">
        <v>29</v>
      </c>
      <c r="O2252">
        <v>18</v>
      </c>
      <c r="P2252">
        <v>32</v>
      </c>
      <c r="Q2252">
        <v>29</v>
      </c>
      <c r="R2252">
        <v>27</v>
      </c>
    </row>
    <row r="2253" spans="1:18" x14ac:dyDescent="0.25">
      <c r="A2253" t="s">
        <v>2403</v>
      </c>
      <c r="B2253" t="s">
        <v>55</v>
      </c>
      <c r="C2253" t="s">
        <v>2366</v>
      </c>
      <c r="D2253" t="s">
        <v>2367</v>
      </c>
      <c r="E2253" t="s">
        <v>78</v>
      </c>
      <c r="F2253" t="s">
        <v>252</v>
      </c>
      <c r="G2253">
        <v>6.5007999999999999</v>
      </c>
      <c r="H2253">
        <v>-75.742800000000003</v>
      </c>
      <c r="I2253" t="s">
        <v>2368</v>
      </c>
      <c r="J2253">
        <v>11</v>
      </c>
      <c r="M2253">
        <v>102</v>
      </c>
      <c r="N2253">
        <v>39</v>
      </c>
      <c r="O2253">
        <v>14</v>
      </c>
      <c r="P2253">
        <v>22</v>
      </c>
      <c r="Q2253">
        <v>14</v>
      </c>
      <c r="R2253">
        <v>0</v>
      </c>
    </row>
    <row r="2254" spans="1:18" x14ac:dyDescent="0.25">
      <c r="A2254" t="s">
        <v>2404</v>
      </c>
      <c r="B2254" t="s">
        <v>55</v>
      </c>
      <c r="C2254" t="s">
        <v>2405</v>
      </c>
      <c r="D2254" t="s">
        <v>2406</v>
      </c>
      <c r="E2254" t="s">
        <v>78</v>
      </c>
      <c r="F2254" t="s">
        <v>252</v>
      </c>
      <c r="G2254">
        <v>7.6672000000000002</v>
      </c>
      <c r="H2254">
        <v>-76.681100000000001</v>
      </c>
      <c r="I2254" t="s">
        <v>2407</v>
      </c>
      <c r="J2254">
        <v>11</v>
      </c>
      <c r="M2254">
        <v>248</v>
      </c>
      <c r="N2254">
        <v>61</v>
      </c>
      <c r="O2254">
        <v>44</v>
      </c>
      <c r="P2254">
        <v>54</v>
      </c>
      <c r="Q2254">
        <v>33</v>
      </c>
      <c r="R2254">
        <v>69</v>
      </c>
    </row>
    <row r="2255" spans="1:18" x14ac:dyDescent="0.25">
      <c r="A2255" t="s">
        <v>2408</v>
      </c>
      <c r="B2255" t="s">
        <v>55</v>
      </c>
      <c r="C2255" t="s">
        <v>2405</v>
      </c>
      <c r="D2255" t="s">
        <v>2406</v>
      </c>
      <c r="E2255" t="s">
        <v>78</v>
      </c>
      <c r="F2255" t="s">
        <v>252</v>
      </c>
      <c r="G2255">
        <v>7.6672000000000002</v>
      </c>
      <c r="H2255">
        <v>-76.681100000000001</v>
      </c>
      <c r="I2255" t="s">
        <v>2407</v>
      </c>
      <c r="J2255">
        <v>11</v>
      </c>
      <c r="M2255">
        <v>216</v>
      </c>
      <c r="N2255">
        <v>59</v>
      </c>
      <c r="O2255">
        <v>30</v>
      </c>
      <c r="P2255">
        <v>52</v>
      </c>
      <c r="Q2255">
        <v>28</v>
      </c>
      <c r="R2255">
        <v>58</v>
      </c>
    </row>
    <row r="2256" spans="1:18" x14ac:dyDescent="0.25">
      <c r="A2256" t="s">
        <v>2409</v>
      </c>
      <c r="B2256" t="s">
        <v>55</v>
      </c>
      <c r="C2256" t="s">
        <v>2405</v>
      </c>
      <c r="D2256" t="s">
        <v>2406</v>
      </c>
      <c r="E2256" t="s">
        <v>78</v>
      </c>
      <c r="F2256" t="s">
        <v>252</v>
      </c>
      <c r="G2256">
        <v>7.6672000000000002</v>
      </c>
      <c r="H2256">
        <v>-76.681100000000001</v>
      </c>
      <c r="I2256" t="s">
        <v>2407</v>
      </c>
      <c r="J2256">
        <v>11</v>
      </c>
      <c r="M2256">
        <v>213</v>
      </c>
      <c r="N2256">
        <v>49</v>
      </c>
      <c r="O2256">
        <v>34</v>
      </c>
      <c r="P2256">
        <v>60</v>
      </c>
      <c r="Q2256">
        <v>28</v>
      </c>
      <c r="R2256">
        <v>42</v>
      </c>
    </row>
    <row r="2257" spans="1:18" x14ac:dyDescent="0.25">
      <c r="A2257" t="s">
        <v>2410</v>
      </c>
      <c r="B2257" t="s">
        <v>55</v>
      </c>
      <c r="C2257" t="s">
        <v>2405</v>
      </c>
      <c r="D2257" t="s">
        <v>2406</v>
      </c>
      <c r="E2257" t="s">
        <v>78</v>
      </c>
      <c r="F2257" t="s">
        <v>252</v>
      </c>
      <c r="G2257">
        <v>7.6672000000000002</v>
      </c>
      <c r="H2257">
        <v>-76.681100000000001</v>
      </c>
      <c r="I2257" t="s">
        <v>2407</v>
      </c>
      <c r="J2257">
        <v>11</v>
      </c>
      <c r="M2257">
        <v>204</v>
      </c>
      <c r="N2257">
        <v>39</v>
      </c>
      <c r="O2257">
        <v>26</v>
      </c>
      <c r="P2257">
        <v>60</v>
      </c>
      <c r="Q2257">
        <v>36</v>
      </c>
      <c r="R2257">
        <v>47</v>
      </c>
    </row>
    <row r="2258" spans="1:18" x14ac:dyDescent="0.25">
      <c r="A2258" t="s">
        <v>2411</v>
      </c>
      <c r="B2258" t="s">
        <v>55</v>
      </c>
      <c r="C2258" t="s">
        <v>2405</v>
      </c>
      <c r="D2258" t="s">
        <v>2406</v>
      </c>
      <c r="E2258" t="s">
        <v>78</v>
      </c>
      <c r="F2258" t="s">
        <v>252</v>
      </c>
      <c r="G2258">
        <v>7.6672000000000002</v>
      </c>
      <c r="H2258">
        <v>-76.681100000000001</v>
      </c>
      <c r="I2258" t="s">
        <v>2407</v>
      </c>
      <c r="J2258">
        <v>11</v>
      </c>
      <c r="M2258">
        <v>203</v>
      </c>
      <c r="N2258">
        <v>51</v>
      </c>
      <c r="O2258">
        <v>20</v>
      </c>
      <c r="P2258">
        <v>46</v>
      </c>
      <c r="Q2258">
        <v>38</v>
      </c>
      <c r="R2258">
        <v>62</v>
      </c>
    </row>
    <row r="2259" spans="1:18" x14ac:dyDescent="0.25">
      <c r="A2259" t="s">
        <v>2412</v>
      </c>
      <c r="B2259" t="s">
        <v>55</v>
      </c>
      <c r="C2259" t="s">
        <v>2405</v>
      </c>
      <c r="D2259" t="s">
        <v>2406</v>
      </c>
      <c r="E2259" t="s">
        <v>78</v>
      </c>
      <c r="F2259" t="s">
        <v>252</v>
      </c>
      <c r="G2259">
        <v>7.6672000000000002</v>
      </c>
      <c r="H2259">
        <v>-76.681100000000001</v>
      </c>
      <c r="I2259" t="s">
        <v>2407</v>
      </c>
      <c r="J2259">
        <v>11</v>
      </c>
      <c r="M2259">
        <v>202</v>
      </c>
      <c r="N2259">
        <v>44</v>
      </c>
      <c r="O2259">
        <v>34</v>
      </c>
      <c r="P2259">
        <v>46</v>
      </c>
      <c r="Q2259">
        <v>36</v>
      </c>
      <c r="R2259">
        <v>44</v>
      </c>
    </row>
    <row r="2260" spans="1:18" x14ac:dyDescent="0.25">
      <c r="A2260" t="s">
        <v>2413</v>
      </c>
      <c r="B2260" t="s">
        <v>55</v>
      </c>
      <c r="C2260" t="s">
        <v>2405</v>
      </c>
      <c r="D2260" t="s">
        <v>2406</v>
      </c>
      <c r="E2260" t="s">
        <v>78</v>
      </c>
      <c r="F2260" t="s">
        <v>252</v>
      </c>
      <c r="G2260">
        <v>7.6672000000000002</v>
      </c>
      <c r="H2260">
        <v>-76.681100000000001</v>
      </c>
      <c r="I2260" t="s">
        <v>2407</v>
      </c>
      <c r="J2260">
        <v>11</v>
      </c>
      <c r="M2260">
        <v>200</v>
      </c>
      <c r="N2260">
        <v>46</v>
      </c>
      <c r="O2260">
        <v>32</v>
      </c>
      <c r="P2260">
        <v>56</v>
      </c>
      <c r="Q2260">
        <v>26</v>
      </c>
      <c r="R2260">
        <v>40</v>
      </c>
    </row>
    <row r="2261" spans="1:18" x14ac:dyDescent="0.25">
      <c r="A2261" t="s">
        <v>2414</v>
      </c>
      <c r="B2261" t="s">
        <v>55</v>
      </c>
      <c r="C2261" t="s">
        <v>2405</v>
      </c>
      <c r="D2261" t="s">
        <v>2406</v>
      </c>
      <c r="E2261" t="s">
        <v>78</v>
      </c>
      <c r="F2261" t="s">
        <v>252</v>
      </c>
      <c r="G2261">
        <v>7.6672000000000002</v>
      </c>
      <c r="H2261">
        <v>-76.681100000000001</v>
      </c>
      <c r="I2261" t="s">
        <v>2407</v>
      </c>
      <c r="J2261">
        <v>11</v>
      </c>
      <c r="M2261">
        <v>199</v>
      </c>
      <c r="N2261">
        <v>41</v>
      </c>
      <c r="O2261">
        <v>26</v>
      </c>
      <c r="P2261">
        <v>52</v>
      </c>
      <c r="Q2261">
        <v>28</v>
      </c>
      <c r="R2261">
        <v>76</v>
      </c>
    </row>
    <row r="2262" spans="1:18" x14ac:dyDescent="0.25">
      <c r="A2262" t="s">
        <v>2415</v>
      </c>
      <c r="B2262" t="s">
        <v>55</v>
      </c>
      <c r="C2262" t="s">
        <v>2405</v>
      </c>
      <c r="D2262" t="s">
        <v>2406</v>
      </c>
      <c r="E2262" t="s">
        <v>78</v>
      </c>
      <c r="F2262" t="s">
        <v>252</v>
      </c>
      <c r="G2262">
        <v>7.6672000000000002</v>
      </c>
      <c r="H2262">
        <v>-76.681100000000001</v>
      </c>
      <c r="I2262" t="s">
        <v>2407</v>
      </c>
      <c r="J2262">
        <v>11</v>
      </c>
      <c r="M2262">
        <v>183</v>
      </c>
      <c r="N2262">
        <v>29</v>
      </c>
      <c r="O2262">
        <v>38</v>
      </c>
      <c r="P2262">
        <v>58</v>
      </c>
      <c r="Q2262">
        <v>24</v>
      </c>
      <c r="R2262">
        <v>27</v>
      </c>
    </row>
    <row r="2263" spans="1:18" x14ac:dyDescent="0.25">
      <c r="A2263" t="s">
        <v>2416</v>
      </c>
      <c r="B2263" t="s">
        <v>55</v>
      </c>
      <c r="C2263" t="s">
        <v>2405</v>
      </c>
      <c r="D2263" t="s">
        <v>2406</v>
      </c>
      <c r="E2263" t="s">
        <v>78</v>
      </c>
      <c r="F2263" t="s">
        <v>252</v>
      </c>
      <c r="G2263">
        <v>7.6672000000000002</v>
      </c>
      <c r="H2263">
        <v>-76.681100000000001</v>
      </c>
      <c r="I2263" t="s">
        <v>2407</v>
      </c>
      <c r="J2263">
        <v>11</v>
      </c>
      <c r="M2263">
        <v>177</v>
      </c>
      <c r="N2263">
        <v>49</v>
      </c>
      <c r="O2263">
        <v>28</v>
      </c>
      <c r="P2263">
        <v>38</v>
      </c>
      <c r="Q2263">
        <v>24</v>
      </c>
      <c r="R2263">
        <v>44</v>
      </c>
    </row>
    <row r="2264" spans="1:18" x14ac:dyDescent="0.25">
      <c r="A2264" t="s">
        <v>2417</v>
      </c>
      <c r="B2264" t="s">
        <v>55</v>
      </c>
      <c r="C2264" t="s">
        <v>2405</v>
      </c>
      <c r="D2264" t="s">
        <v>2406</v>
      </c>
      <c r="E2264" t="s">
        <v>78</v>
      </c>
      <c r="F2264" t="s">
        <v>252</v>
      </c>
      <c r="G2264">
        <v>7.6672000000000002</v>
      </c>
      <c r="H2264">
        <v>-76.681100000000001</v>
      </c>
      <c r="I2264" t="s">
        <v>2407</v>
      </c>
      <c r="J2264">
        <v>11</v>
      </c>
      <c r="M2264">
        <v>171</v>
      </c>
      <c r="N2264">
        <v>41</v>
      </c>
      <c r="O2264">
        <v>20</v>
      </c>
      <c r="P2264">
        <v>42</v>
      </c>
      <c r="Q2264">
        <v>31</v>
      </c>
      <c r="R2264">
        <v>40</v>
      </c>
    </row>
    <row r="2265" spans="1:18" x14ac:dyDescent="0.25">
      <c r="A2265" t="s">
        <v>2418</v>
      </c>
      <c r="B2265" t="s">
        <v>55</v>
      </c>
      <c r="C2265" t="s">
        <v>2405</v>
      </c>
      <c r="D2265" t="s">
        <v>2406</v>
      </c>
      <c r="E2265" t="s">
        <v>78</v>
      </c>
      <c r="F2265" t="s">
        <v>252</v>
      </c>
      <c r="G2265">
        <v>7.6672000000000002</v>
      </c>
      <c r="H2265">
        <v>-76.681100000000001</v>
      </c>
      <c r="I2265" t="s">
        <v>2407</v>
      </c>
      <c r="J2265">
        <v>11</v>
      </c>
      <c r="M2265">
        <v>166</v>
      </c>
      <c r="N2265">
        <v>34</v>
      </c>
      <c r="O2265">
        <v>28</v>
      </c>
      <c r="P2265">
        <v>44</v>
      </c>
      <c r="Q2265">
        <v>26</v>
      </c>
      <c r="R2265">
        <v>35</v>
      </c>
    </row>
    <row r="2266" spans="1:18" x14ac:dyDescent="0.25">
      <c r="A2266" t="s">
        <v>2419</v>
      </c>
      <c r="B2266" t="s">
        <v>55</v>
      </c>
      <c r="C2266" t="s">
        <v>2405</v>
      </c>
      <c r="D2266" t="s">
        <v>2406</v>
      </c>
      <c r="E2266" t="s">
        <v>78</v>
      </c>
      <c r="F2266" t="s">
        <v>252</v>
      </c>
      <c r="G2266">
        <v>7.6672000000000002</v>
      </c>
      <c r="H2266">
        <v>-76.681100000000001</v>
      </c>
      <c r="I2266" t="s">
        <v>2407</v>
      </c>
      <c r="J2266">
        <v>11</v>
      </c>
      <c r="M2266">
        <v>164</v>
      </c>
      <c r="N2266">
        <v>24</v>
      </c>
      <c r="O2266">
        <v>20</v>
      </c>
      <c r="P2266">
        <v>50</v>
      </c>
      <c r="Q2266">
        <v>38</v>
      </c>
      <c r="R2266">
        <v>29</v>
      </c>
    </row>
    <row r="2267" spans="1:18" x14ac:dyDescent="0.25">
      <c r="A2267" t="s">
        <v>2420</v>
      </c>
      <c r="B2267" t="s">
        <v>55</v>
      </c>
      <c r="C2267" t="s">
        <v>2405</v>
      </c>
      <c r="D2267" t="s">
        <v>2406</v>
      </c>
      <c r="E2267" t="s">
        <v>78</v>
      </c>
      <c r="F2267" t="s">
        <v>252</v>
      </c>
      <c r="G2267">
        <v>7.6672000000000002</v>
      </c>
      <c r="H2267">
        <v>-76.681100000000001</v>
      </c>
      <c r="I2267" t="s">
        <v>2407</v>
      </c>
      <c r="J2267">
        <v>11</v>
      </c>
      <c r="M2267">
        <v>159</v>
      </c>
      <c r="N2267">
        <v>34</v>
      </c>
      <c r="O2267">
        <v>30</v>
      </c>
      <c r="P2267">
        <v>38</v>
      </c>
      <c r="Q2267">
        <v>28</v>
      </c>
      <c r="R2267">
        <v>25</v>
      </c>
    </row>
    <row r="2268" spans="1:18" x14ac:dyDescent="0.25">
      <c r="A2268" t="s">
        <v>2421</v>
      </c>
      <c r="B2268" t="s">
        <v>55</v>
      </c>
      <c r="C2268" t="s">
        <v>2405</v>
      </c>
      <c r="D2268" t="s">
        <v>2406</v>
      </c>
      <c r="E2268" t="s">
        <v>78</v>
      </c>
      <c r="F2268" t="s">
        <v>252</v>
      </c>
      <c r="G2268">
        <v>7.6672000000000002</v>
      </c>
      <c r="H2268">
        <v>-76.681100000000001</v>
      </c>
      <c r="I2268" t="s">
        <v>2407</v>
      </c>
      <c r="J2268">
        <v>11</v>
      </c>
      <c r="M2268">
        <v>157</v>
      </c>
      <c r="N2268">
        <v>37</v>
      </c>
      <c r="O2268">
        <v>22</v>
      </c>
      <c r="P2268">
        <v>44</v>
      </c>
      <c r="Q2268">
        <v>21</v>
      </c>
      <c r="R2268">
        <v>38</v>
      </c>
    </row>
    <row r="2269" spans="1:18" x14ac:dyDescent="0.25">
      <c r="A2269" t="s">
        <v>2422</v>
      </c>
      <c r="B2269" t="s">
        <v>55</v>
      </c>
      <c r="C2269" t="s">
        <v>2405</v>
      </c>
      <c r="D2269" t="s">
        <v>2406</v>
      </c>
      <c r="E2269" t="s">
        <v>78</v>
      </c>
      <c r="F2269" t="s">
        <v>252</v>
      </c>
      <c r="G2269">
        <v>7.6672000000000002</v>
      </c>
      <c r="H2269">
        <v>-76.681100000000001</v>
      </c>
      <c r="I2269" t="s">
        <v>2407</v>
      </c>
      <c r="J2269">
        <v>11</v>
      </c>
      <c r="M2269">
        <v>156</v>
      </c>
      <c r="N2269">
        <v>29</v>
      </c>
      <c r="O2269">
        <v>40</v>
      </c>
      <c r="P2269">
        <v>38</v>
      </c>
      <c r="Q2269">
        <v>19</v>
      </c>
      <c r="R2269">
        <v>27</v>
      </c>
    </row>
    <row r="2270" spans="1:18" x14ac:dyDescent="0.25">
      <c r="A2270" t="s">
        <v>2423</v>
      </c>
      <c r="B2270" t="s">
        <v>55</v>
      </c>
      <c r="C2270" t="s">
        <v>2405</v>
      </c>
      <c r="D2270" t="s">
        <v>2406</v>
      </c>
      <c r="E2270" t="s">
        <v>78</v>
      </c>
      <c r="F2270" t="s">
        <v>252</v>
      </c>
      <c r="G2270">
        <v>7.6672000000000002</v>
      </c>
      <c r="H2270">
        <v>-76.681100000000001</v>
      </c>
      <c r="I2270" t="s">
        <v>2407</v>
      </c>
      <c r="J2270">
        <v>11</v>
      </c>
      <c r="M2270">
        <v>153</v>
      </c>
      <c r="N2270">
        <v>41</v>
      </c>
      <c r="O2270">
        <v>24</v>
      </c>
      <c r="P2270">
        <v>36</v>
      </c>
      <c r="Q2270">
        <v>17</v>
      </c>
      <c r="R2270">
        <v>42</v>
      </c>
    </row>
    <row r="2271" spans="1:18" x14ac:dyDescent="0.25">
      <c r="A2271" t="s">
        <v>2424</v>
      </c>
      <c r="B2271" t="s">
        <v>55</v>
      </c>
      <c r="C2271" t="s">
        <v>2405</v>
      </c>
      <c r="D2271" t="s">
        <v>2406</v>
      </c>
      <c r="E2271" t="s">
        <v>78</v>
      </c>
      <c r="F2271" t="s">
        <v>252</v>
      </c>
      <c r="G2271">
        <v>7.6672000000000002</v>
      </c>
      <c r="H2271">
        <v>-76.681100000000001</v>
      </c>
      <c r="I2271" t="s">
        <v>2407</v>
      </c>
      <c r="J2271">
        <v>11</v>
      </c>
      <c r="M2271">
        <v>152</v>
      </c>
      <c r="N2271">
        <v>44</v>
      </c>
      <c r="O2271">
        <v>28</v>
      </c>
      <c r="P2271">
        <v>32</v>
      </c>
      <c r="Q2271">
        <v>16</v>
      </c>
      <c r="R2271">
        <v>36</v>
      </c>
    </row>
    <row r="2272" spans="1:18" x14ac:dyDescent="0.25">
      <c r="A2272" t="s">
        <v>2425</v>
      </c>
      <c r="B2272" t="s">
        <v>55</v>
      </c>
      <c r="C2272" t="s">
        <v>2405</v>
      </c>
      <c r="D2272" t="s">
        <v>2406</v>
      </c>
      <c r="E2272" t="s">
        <v>78</v>
      </c>
      <c r="F2272" t="s">
        <v>252</v>
      </c>
      <c r="G2272">
        <v>7.6672000000000002</v>
      </c>
      <c r="H2272">
        <v>-76.681100000000001</v>
      </c>
      <c r="I2272" t="s">
        <v>2407</v>
      </c>
      <c r="J2272">
        <v>11</v>
      </c>
      <c r="M2272">
        <v>152</v>
      </c>
      <c r="N2272">
        <v>41</v>
      </c>
      <c r="O2272">
        <v>14</v>
      </c>
      <c r="P2272">
        <v>32</v>
      </c>
      <c r="Q2272">
        <v>26</v>
      </c>
      <c r="R2272">
        <v>55</v>
      </c>
    </row>
    <row r="2273" spans="1:18" x14ac:dyDescent="0.25">
      <c r="A2273" t="s">
        <v>2426</v>
      </c>
      <c r="B2273" t="s">
        <v>55</v>
      </c>
      <c r="C2273" t="s">
        <v>2405</v>
      </c>
      <c r="D2273" t="s">
        <v>2406</v>
      </c>
      <c r="E2273" t="s">
        <v>78</v>
      </c>
      <c r="F2273" t="s">
        <v>252</v>
      </c>
      <c r="G2273">
        <v>7.6672000000000002</v>
      </c>
      <c r="H2273">
        <v>-76.681100000000001</v>
      </c>
      <c r="I2273" t="s">
        <v>2407</v>
      </c>
      <c r="J2273">
        <v>11</v>
      </c>
      <c r="M2273">
        <v>144</v>
      </c>
      <c r="N2273">
        <v>29</v>
      </c>
      <c r="O2273">
        <v>28</v>
      </c>
      <c r="P2273">
        <v>32</v>
      </c>
      <c r="Q2273">
        <v>24</v>
      </c>
      <c r="R2273">
        <v>35</v>
      </c>
    </row>
    <row r="2274" spans="1:18" x14ac:dyDescent="0.25">
      <c r="A2274" t="s">
        <v>2427</v>
      </c>
      <c r="B2274" t="s">
        <v>55</v>
      </c>
      <c r="C2274" t="s">
        <v>2405</v>
      </c>
      <c r="D2274" t="s">
        <v>2406</v>
      </c>
      <c r="E2274" t="s">
        <v>78</v>
      </c>
      <c r="F2274" t="s">
        <v>252</v>
      </c>
      <c r="G2274">
        <v>7.6672000000000002</v>
      </c>
      <c r="H2274">
        <v>-76.681100000000001</v>
      </c>
      <c r="I2274" t="s">
        <v>2407</v>
      </c>
      <c r="J2274">
        <v>11</v>
      </c>
      <c r="M2274">
        <v>143</v>
      </c>
      <c r="N2274">
        <v>32</v>
      </c>
      <c r="O2274">
        <v>30</v>
      </c>
      <c r="P2274">
        <v>26</v>
      </c>
      <c r="Q2274">
        <v>29</v>
      </c>
      <c r="R2274">
        <v>22</v>
      </c>
    </row>
    <row r="2275" spans="1:18" x14ac:dyDescent="0.25">
      <c r="A2275" t="s">
        <v>2428</v>
      </c>
      <c r="B2275" t="s">
        <v>55</v>
      </c>
      <c r="C2275" t="s">
        <v>2405</v>
      </c>
      <c r="D2275" t="s">
        <v>2406</v>
      </c>
      <c r="E2275" t="s">
        <v>78</v>
      </c>
      <c r="F2275" t="s">
        <v>252</v>
      </c>
      <c r="G2275">
        <v>7.6672000000000002</v>
      </c>
      <c r="H2275">
        <v>-76.681100000000001</v>
      </c>
      <c r="I2275" t="s">
        <v>2407</v>
      </c>
      <c r="J2275">
        <v>11</v>
      </c>
      <c r="M2275">
        <v>138</v>
      </c>
      <c r="N2275">
        <v>37</v>
      </c>
      <c r="O2275">
        <v>22</v>
      </c>
      <c r="P2275">
        <v>38</v>
      </c>
      <c r="Q2275">
        <v>16</v>
      </c>
      <c r="R2275">
        <v>22</v>
      </c>
    </row>
    <row r="2276" spans="1:18" x14ac:dyDescent="0.25">
      <c r="A2276" t="s">
        <v>2429</v>
      </c>
      <c r="B2276" t="s">
        <v>55</v>
      </c>
      <c r="C2276" t="s">
        <v>2405</v>
      </c>
      <c r="D2276" t="s">
        <v>2406</v>
      </c>
      <c r="E2276" t="s">
        <v>78</v>
      </c>
      <c r="F2276" t="s">
        <v>252</v>
      </c>
      <c r="G2276">
        <v>7.6672000000000002</v>
      </c>
      <c r="H2276">
        <v>-76.681100000000001</v>
      </c>
      <c r="I2276" t="s">
        <v>2407</v>
      </c>
      <c r="J2276">
        <v>11</v>
      </c>
      <c r="M2276">
        <v>135</v>
      </c>
      <c r="N2276">
        <v>32</v>
      </c>
      <c r="O2276">
        <v>28</v>
      </c>
      <c r="P2276">
        <v>26</v>
      </c>
      <c r="Q2276">
        <v>24</v>
      </c>
      <c r="R2276">
        <v>22</v>
      </c>
    </row>
    <row r="2277" spans="1:18" x14ac:dyDescent="0.25">
      <c r="A2277" t="s">
        <v>2430</v>
      </c>
      <c r="B2277" t="s">
        <v>55</v>
      </c>
      <c r="C2277" t="s">
        <v>2405</v>
      </c>
      <c r="D2277" t="s">
        <v>2406</v>
      </c>
      <c r="E2277" t="s">
        <v>78</v>
      </c>
      <c r="F2277" t="s">
        <v>252</v>
      </c>
      <c r="G2277">
        <v>7.6672000000000002</v>
      </c>
      <c r="H2277">
        <v>-76.681100000000001</v>
      </c>
      <c r="I2277" t="s">
        <v>2407</v>
      </c>
      <c r="J2277">
        <v>11</v>
      </c>
      <c r="M2277">
        <v>135</v>
      </c>
      <c r="N2277">
        <v>27</v>
      </c>
      <c r="O2277">
        <v>28</v>
      </c>
      <c r="P2277">
        <v>34</v>
      </c>
      <c r="Q2277">
        <v>17</v>
      </c>
      <c r="R2277">
        <v>33</v>
      </c>
    </row>
    <row r="2278" spans="1:18" x14ac:dyDescent="0.25">
      <c r="A2278" t="s">
        <v>2431</v>
      </c>
      <c r="B2278" t="s">
        <v>55</v>
      </c>
      <c r="C2278" t="s">
        <v>2405</v>
      </c>
      <c r="D2278" t="s">
        <v>2406</v>
      </c>
      <c r="E2278" t="s">
        <v>78</v>
      </c>
      <c r="F2278" t="s">
        <v>252</v>
      </c>
      <c r="G2278">
        <v>7.6672000000000002</v>
      </c>
      <c r="H2278">
        <v>-76.681100000000001</v>
      </c>
      <c r="I2278" t="s">
        <v>2407</v>
      </c>
      <c r="J2278">
        <v>11</v>
      </c>
      <c r="M2278">
        <v>134</v>
      </c>
      <c r="N2278">
        <v>32</v>
      </c>
      <c r="O2278">
        <v>20</v>
      </c>
      <c r="P2278">
        <v>32</v>
      </c>
      <c r="Q2278">
        <v>21</v>
      </c>
      <c r="R2278">
        <v>35</v>
      </c>
    </row>
    <row r="2279" spans="1:18" x14ac:dyDescent="0.25">
      <c r="A2279" t="s">
        <v>2432</v>
      </c>
      <c r="B2279" t="s">
        <v>55</v>
      </c>
      <c r="C2279" t="s">
        <v>2405</v>
      </c>
      <c r="D2279" t="s">
        <v>2406</v>
      </c>
      <c r="E2279" t="s">
        <v>78</v>
      </c>
      <c r="F2279" t="s">
        <v>252</v>
      </c>
      <c r="G2279">
        <v>7.6672000000000002</v>
      </c>
      <c r="H2279">
        <v>-76.681100000000001</v>
      </c>
      <c r="I2279" t="s">
        <v>2407</v>
      </c>
      <c r="J2279">
        <v>11</v>
      </c>
      <c r="M2279">
        <v>133</v>
      </c>
      <c r="N2279">
        <v>22</v>
      </c>
      <c r="O2279">
        <v>28</v>
      </c>
      <c r="P2279">
        <v>38</v>
      </c>
      <c r="Q2279">
        <v>19</v>
      </c>
      <c r="R2279">
        <v>25</v>
      </c>
    </row>
    <row r="2280" spans="1:18" x14ac:dyDescent="0.25">
      <c r="A2280" t="s">
        <v>2433</v>
      </c>
      <c r="B2280" t="s">
        <v>55</v>
      </c>
      <c r="C2280" t="s">
        <v>2405</v>
      </c>
      <c r="D2280" t="s">
        <v>2406</v>
      </c>
      <c r="E2280" t="s">
        <v>78</v>
      </c>
      <c r="F2280" t="s">
        <v>252</v>
      </c>
      <c r="G2280">
        <v>7.6672000000000002</v>
      </c>
      <c r="H2280">
        <v>-76.681100000000001</v>
      </c>
      <c r="I2280" t="s">
        <v>2407</v>
      </c>
      <c r="J2280">
        <v>11</v>
      </c>
      <c r="M2280">
        <v>133</v>
      </c>
      <c r="N2280">
        <v>32</v>
      </c>
      <c r="O2280">
        <v>20</v>
      </c>
      <c r="P2280">
        <v>26</v>
      </c>
      <c r="Q2280">
        <v>29</v>
      </c>
      <c r="R2280">
        <v>24</v>
      </c>
    </row>
    <row r="2281" spans="1:18" x14ac:dyDescent="0.25">
      <c r="A2281" t="s">
        <v>2434</v>
      </c>
      <c r="B2281" t="s">
        <v>55</v>
      </c>
      <c r="C2281" t="s">
        <v>2405</v>
      </c>
      <c r="D2281" t="s">
        <v>2406</v>
      </c>
      <c r="E2281" t="s">
        <v>78</v>
      </c>
      <c r="F2281" t="s">
        <v>252</v>
      </c>
      <c r="G2281">
        <v>7.6672000000000002</v>
      </c>
      <c r="H2281">
        <v>-76.681100000000001</v>
      </c>
      <c r="I2281" t="s">
        <v>2407</v>
      </c>
      <c r="J2281">
        <v>11</v>
      </c>
      <c r="M2281">
        <v>130</v>
      </c>
      <c r="N2281">
        <v>34</v>
      </c>
      <c r="O2281">
        <v>26</v>
      </c>
      <c r="P2281">
        <v>24</v>
      </c>
      <c r="Q2281">
        <v>22</v>
      </c>
      <c r="R2281">
        <v>18</v>
      </c>
    </row>
    <row r="2282" spans="1:18" x14ac:dyDescent="0.25">
      <c r="A2282" t="s">
        <v>2435</v>
      </c>
      <c r="B2282" t="s">
        <v>55</v>
      </c>
      <c r="C2282" t="s">
        <v>2405</v>
      </c>
      <c r="D2282" t="s">
        <v>2406</v>
      </c>
      <c r="E2282" t="s">
        <v>78</v>
      </c>
      <c r="F2282" t="s">
        <v>252</v>
      </c>
      <c r="G2282">
        <v>7.6672000000000002</v>
      </c>
      <c r="H2282">
        <v>-76.681100000000001</v>
      </c>
      <c r="I2282" t="s">
        <v>2407</v>
      </c>
      <c r="J2282">
        <v>11</v>
      </c>
      <c r="M2282">
        <v>125</v>
      </c>
      <c r="N2282">
        <v>27</v>
      </c>
      <c r="O2282">
        <v>12</v>
      </c>
      <c r="P2282">
        <v>30</v>
      </c>
      <c r="Q2282">
        <v>26</v>
      </c>
      <c r="R2282">
        <v>40</v>
      </c>
    </row>
    <row r="2283" spans="1:18" x14ac:dyDescent="0.25">
      <c r="A2283" t="s">
        <v>2436</v>
      </c>
      <c r="B2283" t="s">
        <v>55</v>
      </c>
      <c r="C2283" t="s">
        <v>2405</v>
      </c>
      <c r="D2283" t="s">
        <v>2406</v>
      </c>
      <c r="E2283" t="s">
        <v>78</v>
      </c>
      <c r="F2283" t="s">
        <v>252</v>
      </c>
      <c r="G2283">
        <v>7.6672000000000002</v>
      </c>
      <c r="H2283">
        <v>-76.681100000000001</v>
      </c>
      <c r="I2283" t="s">
        <v>2407</v>
      </c>
      <c r="J2283">
        <v>11</v>
      </c>
      <c r="M2283">
        <v>125</v>
      </c>
      <c r="N2283">
        <v>32</v>
      </c>
      <c r="O2283">
        <v>24</v>
      </c>
      <c r="P2283">
        <v>24</v>
      </c>
      <c r="Q2283">
        <v>16</v>
      </c>
      <c r="R2283">
        <v>38</v>
      </c>
    </row>
    <row r="2284" spans="1:18" x14ac:dyDescent="0.25">
      <c r="A2284" t="s">
        <v>2437</v>
      </c>
      <c r="B2284" t="s">
        <v>55</v>
      </c>
      <c r="C2284" t="s">
        <v>2438</v>
      </c>
      <c r="D2284" t="s">
        <v>2439</v>
      </c>
      <c r="E2284" t="s">
        <v>78</v>
      </c>
      <c r="F2284" t="s">
        <v>252</v>
      </c>
      <c r="G2284">
        <v>5.5468999999999999</v>
      </c>
      <c r="H2284">
        <v>-75.642499999999998</v>
      </c>
      <c r="I2284" t="s">
        <v>2440</v>
      </c>
      <c r="J2284">
        <v>11</v>
      </c>
      <c r="M2284">
        <v>241</v>
      </c>
      <c r="N2284">
        <v>59</v>
      </c>
      <c r="O2284">
        <v>40</v>
      </c>
      <c r="P2284">
        <v>56</v>
      </c>
      <c r="Q2284">
        <v>40</v>
      </c>
      <c r="R2284">
        <v>44</v>
      </c>
    </row>
    <row r="2285" spans="1:18" x14ac:dyDescent="0.25">
      <c r="A2285" t="s">
        <v>2441</v>
      </c>
      <c r="B2285" t="s">
        <v>55</v>
      </c>
      <c r="C2285" t="s">
        <v>2438</v>
      </c>
      <c r="D2285" t="s">
        <v>2439</v>
      </c>
      <c r="E2285" t="s">
        <v>78</v>
      </c>
      <c r="F2285" t="s">
        <v>252</v>
      </c>
      <c r="G2285">
        <v>5.5468999999999999</v>
      </c>
      <c r="H2285">
        <v>-75.642499999999998</v>
      </c>
      <c r="I2285" t="s">
        <v>2440</v>
      </c>
      <c r="J2285">
        <v>11</v>
      </c>
      <c r="M2285">
        <v>227</v>
      </c>
      <c r="N2285">
        <v>54</v>
      </c>
      <c r="O2285">
        <v>42</v>
      </c>
      <c r="P2285">
        <v>48</v>
      </c>
      <c r="Q2285">
        <v>41</v>
      </c>
      <c r="R2285">
        <v>35</v>
      </c>
    </row>
    <row r="2286" spans="1:18" x14ac:dyDescent="0.25">
      <c r="A2286" t="s">
        <v>2442</v>
      </c>
      <c r="B2286" t="s">
        <v>55</v>
      </c>
      <c r="C2286" t="s">
        <v>2438</v>
      </c>
      <c r="D2286" t="s">
        <v>2439</v>
      </c>
      <c r="E2286" t="s">
        <v>78</v>
      </c>
      <c r="F2286" t="s">
        <v>252</v>
      </c>
      <c r="G2286">
        <v>5.5468999999999999</v>
      </c>
      <c r="H2286">
        <v>-75.642499999999998</v>
      </c>
      <c r="I2286" t="s">
        <v>2440</v>
      </c>
      <c r="J2286">
        <v>11</v>
      </c>
      <c r="M2286">
        <v>205</v>
      </c>
      <c r="N2286">
        <v>46</v>
      </c>
      <c r="O2286">
        <v>28</v>
      </c>
      <c r="P2286">
        <v>52</v>
      </c>
      <c r="Q2286">
        <v>34</v>
      </c>
      <c r="R2286">
        <v>51</v>
      </c>
    </row>
    <row r="2287" spans="1:18" x14ac:dyDescent="0.25">
      <c r="A2287" t="s">
        <v>2443</v>
      </c>
      <c r="B2287" t="s">
        <v>55</v>
      </c>
      <c r="C2287" t="s">
        <v>2438</v>
      </c>
      <c r="D2287" t="s">
        <v>2439</v>
      </c>
      <c r="E2287" t="s">
        <v>78</v>
      </c>
      <c r="F2287" t="s">
        <v>252</v>
      </c>
      <c r="G2287">
        <v>5.5468999999999999</v>
      </c>
      <c r="H2287">
        <v>-75.642499999999998</v>
      </c>
      <c r="I2287" t="s">
        <v>2440</v>
      </c>
      <c r="J2287">
        <v>11</v>
      </c>
      <c r="M2287">
        <v>201</v>
      </c>
      <c r="N2287">
        <v>49</v>
      </c>
      <c r="O2287">
        <v>32</v>
      </c>
      <c r="P2287">
        <v>42</v>
      </c>
      <c r="Q2287">
        <v>31</v>
      </c>
      <c r="R2287">
        <v>62</v>
      </c>
    </row>
    <row r="2288" spans="1:18" x14ac:dyDescent="0.25">
      <c r="A2288" t="s">
        <v>2444</v>
      </c>
      <c r="B2288" t="s">
        <v>55</v>
      </c>
      <c r="C2288" t="s">
        <v>2438</v>
      </c>
      <c r="D2288" t="s">
        <v>2439</v>
      </c>
      <c r="E2288" t="s">
        <v>78</v>
      </c>
      <c r="F2288" t="s">
        <v>252</v>
      </c>
      <c r="G2288">
        <v>5.5468999999999999</v>
      </c>
      <c r="H2288">
        <v>-75.642499999999998</v>
      </c>
      <c r="I2288" t="s">
        <v>2440</v>
      </c>
      <c r="J2288">
        <v>11</v>
      </c>
      <c r="M2288">
        <v>199</v>
      </c>
      <c r="N2288">
        <v>63</v>
      </c>
      <c r="O2288">
        <v>36</v>
      </c>
      <c r="P2288">
        <v>34</v>
      </c>
      <c r="Q2288">
        <v>22</v>
      </c>
      <c r="R2288">
        <v>51</v>
      </c>
    </row>
    <row r="2289" spans="1:18" x14ac:dyDescent="0.25">
      <c r="A2289" t="s">
        <v>2445</v>
      </c>
      <c r="B2289" t="s">
        <v>55</v>
      </c>
      <c r="C2289" t="s">
        <v>2438</v>
      </c>
      <c r="D2289" t="s">
        <v>2439</v>
      </c>
      <c r="E2289" t="s">
        <v>78</v>
      </c>
      <c r="F2289" t="s">
        <v>252</v>
      </c>
      <c r="G2289">
        <v>5.5468999999999999</v>
      </c>
      <c r="H2289">
        <v>-75.642499999999998</v>
      </c>
      <c r="I2289" t="s">
        <v>2440</v>
      </c>
      <c r="J2289">
        <v>11</v>
      </c>
      <c r="M2289">
        <v>199</v>
      </c>
      <c r="N2289">
        <v>46</v>
      </c>
      <c r="O2289">
        <v>38</v>
      </c>
      <c r="P2289">
        <v>48</v>
      </c>
      <c r="Q2289">
        <v>28</v>
      </c>
      <c r="R2289">
        <v>38</v>
      </c>
    </row>
    <row r="2290" spans="1:18" x14ac:dyDescent="0.25">
      <c r="A2290" t="s">
        <v>2446</v>
      </c>
      <c r="B2290" t="s">
        <v>55</v>
      </c>
      <c r="C2290" t="s">
        <v>2438</v>
      </c>
      <c r="D2290" t="s">
        <v>2439</v>
      </c>
      <c r="E2290" t="s">
        <v>78</v>
      </c>
      <c r="F2290" t="s">
        <v>252</v>
      </c>
      <c r="G2290">
        <v>5.5468999999999999</v>
      </c>
      <c r="H2290">
        <v>-75.642499999999998</v>
      </c>
      <c r="I2290" t="s">
        <v>2440</v>
      </c>
      <c r="J2290">
        <v>11</v>
      </c>
      <c r="M2290">
        <v>191</v>
      </c>
      <c r="N2290">
        <v>37</v>
      </c>
      <c r="O2290">
        <v>26</v>
      </c>
      <c r="P2290">
        <v>50</v>
      </c>
      <c r="Q2290">
        <v>45</v>
      </c>
      <c r="R2290">
        <v>25</v>
      </c>
    </row>
    <row r="2291" spans="1:18" x14ac:dyDescent="0.25">
      <c r="A2291" t="s">
        <v>2447</v>
      </c>
      <c r="B2291" t="s">
        <v>55</v>
      </c>
      <c r="C2291" t="s">
        <v>2438</v>
      </c>
      <c r="D2291" t="s">
        <v>2439</v>
      </c>
      <c r="E2291" t="s">
        <v>78</v>
      </c>
      <c r="F2291" t="s">
        <v>252</v>
      </c>
      <c r="G2291">
        <v>5.5468999999999999</v>
      </c>
      <c r="H2291">
        <v>-75.642499999999998</v>
      </c>
      <c r="I2291" t="s">
        <v>2440</v>
      </c>
      <c r="J2291">
        <v>11</v>
      </c>
      <c r="M2291">
        <v>185</v>
      </c>
      <c r="N2291">
        <v>54</v>
      </c>
      <c r="O2291">
        <v>16</v>
      </c>
      <c r="P2291">
        <v>44</v>
      </c>
      <c r="Q2291">
        <v>34</v>
      </c>
      <c r="R2291">
        <v>36</v>
      </c>
    </row>
    <row r="2292" spans="1:18" x14ac:dyDescent="0.25">
      <c r="A2292" t="s">
        <v>2448</v>
      </c>
      <c r="B2292" t="s">
        <v>55</v>
      </c>
      <c r="C2292" t="s">
        <v>2438</v>
      </c>
      <c r="D2292" t="s">
        <v>2439</v>
      </c>
      <c r="E2292" t="s">
        <v>78</v>
      </c>
      <c r="F2292" t="s">
        <v>252</v>
      </c>
      <c r="G2292">
        <v>5.5468999999999999</v>
      </c>
      <c r="H2292">
        <v>-75.642499999999998</v>
      </c>
      <c r="I2292" t="s">
        <v>2440</v>
      </c>
      <c r="J2292">
        <v>11</v>
      </c>
      <c r="M2292">
        <v>183</v>
      </c>
      <c r="N2292">
        <v>51</v>
      </c>
      <c r="O2292">
        <v>22</v>
      </c>
      <c r="P2292">
        <v>42</v>
      </c>
      <c r="Q2292">
        <v>33</v>
      </c>
      <c r="R2292">
        <v>33</v>
      </c>
    </row>
    <row r="2293" spans="1:18" x14ac:dyDescent="0.25">
      <c r="A2293" t="s">
        <v>2449</v>
      </c>
      <c r="B2293" t="s">
        <v>55</v>
      </c>
      <c r="C2293" t="s">
        <v>2438</v>
      </c>
      <c r="D2293" t="s">
        <v>2439</v>
      </c>
      <c r="E2293" t="s">
        <v>78</v>
      </c>
      <c r="F2293" t="s">
        <v>252</v>
      </c>
      <c r="G2293">
        <v>5.5468999999999999</v>
      </c>
      <c r="H2293">
        <v>-75.642499999999998</v>
      </c>
      <c r="I2293" t="s">
        <v>2440</v>
      </c>
      <c r="J2293">
        <v>11</v>
      </c>
      <c r="M2293">
        <v>183</v>
      </c>
      <c r="N2293">
        <v>44</v>
      </c>
      <c r="O2293">
        <v>34</v>
      </c>
      <c r="P2293">
        <v>46</v>
      </c>
      <c r="Q2293">
        <v>26</v>
      </c>
      <c r="R2293">
        <v>25</v>
      </c>
    </row>
    <row r="2294" spans="1:18" x14ac:dyDescent="0.25">
      <c r="A2294" t="s">
        <v>2450</v>
      </c>
      <c r="B2294" t="s">
        <v>55</v>
      </c>
      <c r="C2294" t="s">
        <v>2438</v>
      </c>
      <c r="D2294" t="s">
        <v>2439</v>
      </c>
      <c r="E2294" t="s">
        <v>78</v>
      </c>
      <c r="F2294" t="s">
        <v>252</v>
      </c>
      <c r="G2294">
        <v>5.5468999999999999</v>
      </c>
      <c r="H2294">
        <v>-75.642499999999998</v>
      </c>
      <c r="I2294" t="s">
        <v>2440</v>
      </c>
      <c r="J2294">
        <v>11</v>
      </c>
      <c r="M2294">
        <v>182</v>
      </c>
      <c r="N2294">
        <v>44</v>
      </c>
      <c r="O2294">
        <v>26</v>
      </c>
      <c r="P2294">
        <v>48</v>
      </c>
      <c r="Q2294">
        <v>29</v>
      </c>
      <c r="R2294">
        <v>31</v>
      </c>
    </row>
    <row r="2295" spans="1:18" x14ac:dyDescent="0.25">
      <c r="A2295" t="s">
        <v>2451</v>
      </c>
      <c r="B2295" t="s">
        <v>55</v>
      </c>
      <c r="C2295" t="s">
        <v>2438</v>
      </c>
      <c r="D2295" t="s">
        <v>2439</v>
      </c>
      <c r="E2295" t="s">
        <v>78</v>
      </c>
      <c r="F2295" t="s">
        <v>252</v>
      </c>
      <c r="G2295">
        <v>5.5468999999999999</v>
      </c>
      <c r="H2295">
        <v>-75.642499999999998</v>
      </c>
      <c r="I2295" t="s">
        <v>2440</v>
      </c>
      <c r="J2295">
        <v>11</v>
      </c>
      <c r="M2295">
        <v>181</v>
      </c>
      <c r="N2295">
        <v>49</v>
      </c>
      <c r="O2295">
        <v>26</v>
      </c>
      <c r="P2295">
        <v>38</v>
      </c>
      <c r="Q2295">
        <v>31</v>
      </c>
      <c r="R2295">
        <v>38</v>
      </c>
    </row>
    <row r="2296" spans="1:18" x14ac:dyDescent="0.25">
      <c r="A2296" t="s">
        <v>2452</v>
      </c>
      <c r="B2296" t="s">
        <v>55</v>
      </c>
      <c r="C2296" t="s">
        <v>2438</v>
      </c>
      <c r="D2296" t="s">
        <v>2439</v>
      </c>
      <c r="E2296" t="s">
        <v>78</v>
      </c>
      <c r="F2296" t="s">
        <v>252</v>
      </c>
      <c r="G2296">
        <v>5.5468999999999999</v>
      </c>
      <c r="H2296">
        <v>-75.642499999999998</v>
      </c>
      <c r="I2296" t="s">
        <v>2440</v>
      </c>
      <c r="J2296">
        <v>11</v>
      </c>
      <c r="M2296">
        <v>180</v>
      </c>
      <c r="N2296">
        <v>44</v>
      </c>
      <c r="O2296">
        <v>26</v>
      </c>
      <c r="P2296">
        <v>38</v>
      </c>
      <c r="Q2296">
        <v>34</v>
      </c>
      <c r="R2296">
        <v>40</v>
      </c>
    </row>
    <row r="2297" spans="1:18" x14ac:dyDescent="0.25">
      <c r="A2297" t="s">
        <v>2453</v>
      </c>
      <c r="B2297" t="s">
        <v>55</v>
      </c>
      <c r="C2297" t="s">
        <v>2438</v>
      </c>
      <c r="D2297" t="s">
        <v>2439</v>
      </c>
      <c r="E2297" t="s">
        <v>78</v>
      </c>
      <c r="F2297" t="s">
        <v>252</v>
      </c>
      <c r="G2297">
        <v>5.5468999999999999</v>
      </c>
      <c r="H2297">
        <v>-75.642499999999998</v>
      </c>
      <c r="I2297" t="s">
        <v>2440</v>
      </c>
      <c r="J2297">
        <v>11</v>
      </c>
      <c r="M2297">
        <v>177</v>
      </c>
      <c r="N2297">
        <v>46</v>
      </c>
      <c r="O2297">
        <v>24</v>
      </c>
      <c r="P2297">
        <v>46</v>
      </c>
      <c r="Q2297">
        <v>22</v>
      </c>
      <c r="R2297">
        <v>44</v>
      </c>
    </row>
    <row r="2298" spans="1:18" x14ac:dyDescent="0.25">
      <c r="A2298" t="s">
        <v>2454</v>
      </c>
      <c r="B2298" t="s">
        <v>55</v>
      </c>
      <c r="C2298" t="s">
        <v>2438</v>
      </c>
      <c r="D2298" t="s">
        <v>2439</v>
      </c>
      <c r="E2298" t="s">
        <v>78</v>
      </c>
      <c r="F2298" t="s">
        <v>252</v>
      </c>
      <c r="G2298">
        <v>5.5468999999999999</v>
      </c>
      <c r="H2298">
        <v>-75.642499999999998</v>
      </c>
      <c r="I2298" t="s">
        <v>2440</v>
      </c>
      <c r="J2298">
        <v>11</v>
      </c>
      <c r="M2298">
        <v>176</v>
      </c>
      <c r="N2298">
        <v>37</v>
      </c>
      <c r="O2298">
        <v>26</v>
      </c>
      <c r="P2298">
        <v>34</v>
      </c>
      <c r="Q2298">
        <v>36</v>
      </c>
      <c r="R2298">
        <v>60</v>
      </c>
    </row>
    <row r="2299" spans="1:18" x14ac:dyDescent="0.25">
      <c r="A2299" t="s">
        <v>2455</v>
      </c>
      <c r="B2299" t="s">
        <v>55</v>
      </c>
      <c r="C2299" t="s">
        <v>2438</v>
      </c>
      <c r="D2299" t="s">
        <v>2439</v>
      </c>
      <c r="E2299" t="s">
        <v>78</v>
      </c>
      <c r="F2299" t="s">
        <v>252</v>
      </c>
      <c r="G2299">
        <v>5.5468999999999999</v>
      </c>
      <c r="H2299">
        <v>-75.642499999999998</v>
      </c>
      <c r="I2299" t="s">
        <v>2440</v>
      </c>
      <c r="J2299">
        <v>11</v>
      </c>
      <c r="M2299">
        <v>170</v>
      </c>
      <c r="N2299">
        <v>46</v>
      </c>
      <c r="O2299">
        <v>18</v>
      </c>
      <c r="P2299">
        <v>40</v>
      </c>
      <c r="Q2299">
        <v>29</v>
      </c>
      <c r="R2299">
        <v>40</v>
      </c>
    </row>
    <row r="2300" spans="1:18" x14ac:dyDescent="0.25">
      <c r="A2300" t="s">
        <v>2456</v>
      </c>
      <c r="B2300" t="s">
        <v>55</v>
      </c>
      <c r="C2300" t="s">
        <v>2438</v>
      </c>
      <c r="D2300" t="s">
        <v>2439</v>
      </c>
      <c r="E2300" t="s">
        <v>78</v>
      </c>
      <c r="F2300" t="s">
        <v>252</v>
      </c>
      <c r="G2300">
        <v>5.5468999999999999</v>
      </c>
      <c r="H2300">
        <v>-75.642499999999998</v>
      </c>
      <c r="I2300" t="s">
        <v>2440</v>
      </c>
      <c r="J2300">
        <v>11</v>
      </c>
      <c r="M2300">
        <v>162</v>
      </c>
      <c r="N2300">
        <v>41</v>
      </c>
      <c r="O2300">
        <v>14</v>
      </c>
      <c r="P2300">
        <v>50</v>
      </c>
      <c r="Q2300">
        <v>28</v>
      </c>
      <c r="R2300">
        <v>22</v>
      </c>
    </row>
    <row r="2301" spans="1:18" x14ac:dyDescent="0.25">
      <c r="A2301" t="s">
        <v>2457</v>
      </c>
      <c r="B2301" t="s">
        <v>55</v>
      </c>
      <c r="C2301" t="s">
        <v>2438</v>
      </c>
      <c r="D2301" t="s">
        <v>2439</v>
      </c>
      <c r="E2301" t="s">
        <v>78</v>
      </c>
      <c r="F2301" t="s">
        <v>252</v>
      </c>
      <c r="G2301">
        <v>5.5468999999999999</v>
      </c>
      <c r="H2301">
        <v>-75.642499999999998</v>
      </c>
      <c r="I2301" t="s">
        <v>2440</v>
      </c>
      <c r="J2301">
        <v>11</v>
      </c>
      <c r="M2301">
        <v>159</v>
      </c>
      <c r="N2301">
        <v>41</v>
      </c>
      <c r="O2301">
        <v>16</v>
      </c>
      <c r="P2301">
        <v>46</v>
      </c>
      <c r="Q2301">
        <v>22</v>
      </c>
      <c r="R2301">
        <v>36</v>
      </c>
    </row>
    <row r="2302" spans="1:18" x14ac:dyDescent="0.25">
      <c r="A2302" t="s">
        <v>2458</v>
      </c>
      <c r="B2302" t="s">
        <v>55</v>
      </c>
      <c r="C2302" t="s">
        <v>2438</v>
      </c>
      <c r="D2302" t="s">
        <v>2439</v>
      </c>
      <c r="E2302" t="s">
        <v>78</v>
      </c>
      <c r="F2302" t="s">
        <v>252</v>
      </c>
      <c r="G2302">
        <v>5.5468999999999999</v>
      </c>
      <c r="H2302">
        <v>-75.642499999999998</v>
      </c>
      <c r="I2302" t="s">
        <v>2440</v>
      </c>
      <c r="J2302">
        <v>11</v>
      </c>
      <c r="M2302">
        <v>153</v>
      </c>
      <c r="N2302">
        <v>39</v>
      </c>
      <c r="O2302">
        <v>14</v>
      </c>
      <c r="P2302">
        <v>32</v>
      </c>
      <c r="Q2302">
        <v>33</v>
      </c>
      <c r="R2302">
        <v>44</v>
      </c>
    </row>
    <row r="2303" spans="1:18" x14ac:dyDescent="0.25">
      <c r="A2303" t="s">
        <v>2459</v>
      </c>
      <c r="B2303" t="s">
        <v>55</v>
      </c>
      <c r="C2303" t="s">
        <v>2438</v>
      </c>
      <c r="D2303" t="s">
        <v>2439</v>
      </c>
      <c r="E2303" t="s">
        <v>78</v>
      </c>
      <c r="F2303" t="s">
        <v>252</v>
      </c>
      <c r="G2303">
        <v>5.5468999999999999</v>
      </c>
      <c r="H2303">
        <v>-75.642499999999998</v>
      </c>
      <c r="I2303" t="s">
        <v>2440</v>
      </c>
      <c r="J2303">
        <v>11</v>
      </c>
      <c r="M2303">
        <v>151</v>
      </c>
      <c r="N2303">
        <v>37</v>
      </c>
      <c r="O2303">
        <v>32</v>
      </c>
      <c r="P2303">
        <v>24</v>
      </c>
      <c r="Q2303">
        <v>28</v>
      </c>
      <c r="R2303">
        <v>33</v>
      </c>
    </row>
    <row r="2304" spans="1:18" x14ac:dyDescent="0.25">
      <c r="A2304" t="s">
        <v>2460</v>
      </c>
      <c r="B2304" t="s">
        <v>55</v>
      </c>
      <c r="C2304" t="s">
        <v>2438</v>
      </c>
      <c r="D2304" t="s">
        <v>2439</v>
      </c>
      <c r="E2304" t="s">
        <v>78</v>
      </c>
      <c r="F2304" t="s">
        <v>252</v>
      </c>
      <c r="G2304">
        <v>5.5468999999999999</v>
      </c>
      <c r="H2304">
        <v>-75.642499999999998</v>
      </c>
      <c r="I2304" t="s">
        <v>2440</v>
      </c>
      <c r="J2304">
        <v>11</v>
      </c>
      <c r="M2304">
        <v>144</v>
      </c>
      <c r="N2304">
        <v>27</v>
      </c>
      <c r="O2304">
        <v>32</v>
      </c>
      <c r="P2304">
        <v>36</v>
      </c>
      <c r="Q2304">
        <v>22</v>
      </c>
      <c r="R2304">
        <v>22</v>
      </c>
    </row>
    <row r="2305" spans="1:18" x14ac:dyDescent="0.25">
      <c r="A2305" t="s">
        <v>2461</v>
      </c>
      <c r="B2305" t="s">
        <v>55</v>
      </c>
      <c r="C2305" t="s">
        <v>2438</v>
      </c>
      <c r="D2305" t="s">
        <v>2439</v>
      </c>
      <c r="E2305" t="s">
        <v>78</v>
      </c>
      <c r="F2305" t="s">
        <v>252</v>
      </c>
      <c r="G2305">
        <v>5.5468999999999999</v>
      </c>
      <c r="H2305">
        <v>-75.642499999999998</v>
      </c>
      <c r="I2305" t="s">
        <v>2440</v>
      </c>
      <c r="J2305">
        <v>11</v>
      </c>
      <c r="M2305">
        <v>142</v>
      </c>
      <c r="N2305">
        <v>29</v>
      </c>
      <c r="O2305">
        <v>24</v>
      </c>
      <c r="P2305">
        <v>34</v>
      </c>
      <c r="Q2305">
        <v>22</v>
      </c>
      <c r="R2305">
        <v>40</v>
      </c>
    </row>
    <row r="2306" spans="1:18" x14ac:dyDescent="0.25">
      <c r="A2306" t="s">
        <v>2462</v>
      </c>
      <c r="B2306" t="s">
        <v>55</v>
      </c>
      <c r="C2306" t="s">
        <v>2438</v>
      </c>
      <c r="D2306" t="s">
        <v>2439</v>
      </c>
      <c r="E2306" t="s">
        <v>78</v>
      </c>
      <c r="F2306" t="s">
        <v>252</v>
      </c>
      <c r="G2306">
        <v>5.5468999999999999</v>
      </c>
      <c r="H2306">
        <v>-75.642499999999998</v>
      </c>
      <c r="I2306" t="s">
        <v>2440</v>
      </c>
      <c r="J2306">
        <v>11</v>
      </c>
      <c r="M2306">
        <v>139</v>
      </c>
      <c r="N2306">
        <v>27</v>
      </c>
      <c r="O2306">
        <v>32</v>
      </c>
      <c r="P2306">
        <v>38</v>
      </c>
      <c r="Q2306">
        <v>16</v>
      </c>
      <c r="R2306">
        <v>25</v>
      </c>
    </row>
    <row r="2307" spans="1:18" x14ac:dyDescent="0.25">
      <c r="A2307" t="s">
        <v>2463</v>
      </c>
      <c r="B2307" t="s">
        <v>55</v>
      </c>
      <c r="C2307" t="s">
        <v>2438</v>
      </c>
      <c r="D2307" t="s">
        <v>2439</v>
      </c>
      <c r="E2307" t="s">
        <v>78</v>
      </c>
      <c r="F2307" t="s">
        <v>252</v>
      </c>
      <c r="G2307">
        <v>5.5468999999999999</v>
      </c>
      <c r="H2307">
        <v>-75.642499999999998</v>
      </c>
      <c r="I2307" t="s">
        <v>2440</v>
      </c>
      <c r="J2307">
        <v>11</v>
      </c>
      <c r="M2307">
        <v>136</v>
      </c>
      <c r="N2307">
        <v>29</v>
      </c>
      <c r="O2307">
        <v>22</v>
      </c>
      <c r="P2307">
        <v>32</v>
      </c>
      <c r="Q2307">
        <v>22</v>
      </c>
      <c r="R2307">
        <v>36</v>
      </c>
    </row>
    <row r="2308" spans="1:18" x14ac:dyDescent="0.25">
      <c r="A2308" t="s">
        <v>2464</v>
      </c>
      <c r="B2308" t="s">
        <v>55</v>
      </c>
      <c r="C2308" t="s">
        <v>2438</v>
      </c>
      <c r="D2308" t="s">
        <v>2439</v>
      </c>
      <c r="E2308" t="s">
        <v>78</v>
      </c>
      <c r="F2308" t="s">
        <v>252</v>
      </c>
      <c r="G2308">
        <v>5.5468999999999999</v>
      </c>
      <c r="H2308">
        <v>-75.642499999999998</v>
      </c>
      <c r="I2308" t="s">
        <v>2440</v>
      </c>
      <c r="J2308">
        <v>11</v>
      </c>
      <c r="M2308">
        <v>136</v>
      </c>
      <c r="N2308">
        <v>34</v>
      </c>
      <c r="O2308">
        <v>22</v>
      </c>
      <c r="P2308">
        <v>30</v>
      </c>
      <c r="Q2308">
        <v>21</v>
      </c>
      <c r="R2308">
        <v>33</v>
      </c>
    </row>
    <row r="2309" spans="1:18" x14ac:dyDescent="0.25">
      <c r="A2309" t="s">
        <v>2465</v>
      </c>
      <c r="B2309" t="s">
        <v>55</v>
      </c>
      <c r="C2309" t="s">
        <v>2438</v>
      </c>
      <c r="D2309" t="s">
        <v>2439</v>
      </c>
      <c r="E2309" t="s">
        <v>78</v>
      </c>
      <c r="F2309" t="s">
        <v>252</v>
      </c>
      <c r="G2309">
        <v>5.5468999999999999</v>
      </c>
      <c r="H2309">
        <v>-75.642499999999998</v>
      </c>
      <c r="I2309" t="s">
        <v>2440</v>
      </c>
      <c r="J2309">
        <v>11</v>
      </c>
      <c r="M2309">
        <v>90</v>
      </c>
      <c r="N2309">
        <v>12</v>
      </c>
      <c r="O2309">
        <v>26</v>
      </c>
      <c r="P2309">
        <v>10</v>
      </c>
      <c r="Q2309">
        <v>21</v>
      </c>
      <c r="R2309">
        <v>27</v>
      </c>
    </row>
    <row r="2310" spans="1:18" x14ac:dyDescent="0.25">
      <c r="A2310" t="s">
        <v>2466</v>
      </c>
      <c r="B2310" t="s">
        <v>55</v>
      </c>
      <c r="C2310" t="s">
        <v>2467</v>
      </c>
      <c r="D2310" t="s">
        <v>2468</v>
      </c>
      <c r="E2310" t="s">
        <v>78</v>
      </c>
      <c r="F2310" t="s">
        <v>252</v>
      </c>
      <c r="G2310">
        <v>5.6050000000000004</v>
      </c>
      <c r="H2310">
        <v>-75.941299999999998</v>
      </c>
      <c r="I2310" t="s">
        <v>137</v>
      </c>
      <c r="J2310">
        <v>11</v>
      </c>
      <c r="M2310">
        <v>242</v>
      </c>
      <c r="N2310">
        <v>41</v>
      </c>
      <c r="O2310">
        <v>48</v>
      </c>
      <c r="P2310">
        <v>58</v>
      </c>
      <c r="Q2310">
        <v>40</v>
      </c>
      <c r="R2310">
        <v>67</v>
      </c>
    </row>
    <row r="2311" spans="1:18" x14ac:dyDescent="0.25">
      <c r="A2311" t="s">
        <v>2469</v>
      </c>
      <c r="B2311" t="s">
        <v>55</v>
      </c>
      <c r="C2311" t="s">
        <v>2467</v>
      </c>
      <c r="D2311" t="s">
        <v>2468</v>
      </c>
      <c r="E2311" t="s">
        <v>78</v>
      </c>
      <c r="F2311" t="s">
        <v>252</v>
      </c>
      <c r="G2311">
        <v>5.6050000000000004</v>
      </c>
      <c r="H2311">
        <v>-75.941299999999998</v>
      </c>
      <c r="I2311" t="s">
        <v>137</v>
      </c>
      <c r="J2311">
        <v>11</v>
      </c>
      <c r="M2311">
        <v>197</v>
      </c>
      <c r="N2311">
        <v>41</v>
      </c>
      <c r="O2311">
        <v>36</v>
      </c>
      <c r="P2311">
        <v>44</v>
      </c>
      <c r="Q2311">
        <v>36</v>
      </c>
      <c r="R2311">
        <v>38</v>
      </c>
    </row>
    <row r="2312" spans="1:18" x14ac:dyDescent="0.25">
      <c r="A2312" t="s">
        <v>2470</v>
      </c>
      <c r="B2312" t="s">
        <v>55</v>
      </c>
      <c r="C2312" t="s">
        <v>2467</v>
      </c>
      <c r="D2312" t="s">
        <v>2468</v>
      </c>
      <c r="E2312" t="s">
        <v>78</v>
      </c>
      <c r="F2312" t="s">
        <v>252</v>
      </c>
      <c r="G2312">
        <v>5.6050000000000004</v>
      </c>
      <c r="H2312">
        <v>-75.941299999999998</v>
      </c>
      <c r="I2312" t="s">
        <v>137</v>
      </c>
      <c r="J2312">
        <v>11</v>
      </c>
      <c r="M2312">
        <v>186</v>
      </c>
      <c r="N2312">
        <v>46</v>
      </c>
      <c r="O2312">
        <v>32</v>
      </c>
      <c r="P2312">
        <v>40</v>
      </c>
      <c r="Q2312">
        <v>34</v>
      </c>
      <c r="R2312">
        <v>25</v>
      </c>
    </row>
    <row r="2313" spans="1:18" x14ac:dyDescent="0.25">
      <c r="A2313" t="s">
        <v>2471</v>
      </c>
      <c r="B2313" t="s">
        <v>55</v>
      </c>
      <c r="C2313" t="s">
        <v>2467</v>
      </c>
      <c r="D2313" t="s">
        <v>2468</v>
      </c>
      <c r="E2313" t="s">
        <v>78</v>
      </c>
      <c r="F2313" t="s">
        <v>252</v>
      </c>
      <c r="G2313">
        <v>5.6050000000000004</v>
      </c>
      <c r="H2313">
        <v>-75.941299999999998</v>
      </c>
      <c r="I2313" t="s">
        <v>137</v>
      </c>
      <c r="J2313">
        <v>11</v>
      </c>
      <c r="M2313">
        <v>183</v>
      </c>
      <c r="N2313">
        <v>41</v>
      </c>
      <c r="O2313">
        <v>26</v>
      </c>
      <c r="P2313">
        <v>42</v>
      </c>
      <c r="Q2313">
        <v>38</v>
      </c>
      <c r="R2313">
        <v>35</v>
      </c>
    </row>
    <row r="2314" spans="1:18" x14ac:dyDescent="0.25">
      <c r="A2314" t="s">
        <v>2472</v>
      </c>
      <c r="B2314" t="s">
        <v>55</v>
      </c>
      <c r="C2314" t="s">
        <v>2467</v>
      </c>
      <c r="D2314" t="s">
        <v>2468</v>
      </c>
      <c r="E2314" t="s">
        <v>78</v>
      </c>
      <c r="F2314" t="s">
        <v>252</v>
      </c>
      <c r="G2314">
        <v>5.6050000000000004</v>
      </c>
      <c r="H2314">
        <v>-75.941299999999998</v>
      </c>
      <c r="I2314" t="s">
        <v>137</v>
      </c>
      <c r="J2314">
        <v>11</v>
      </c>
      <c r="M2314">
        <v>182</v>
      </c>
      <c r="N2314">
        <v>46</v>
      </c>
      <c r="O2314">
        <v>22</v>
      </c>
      <c r="P2314">
        <v>54</v>
      </c>
      <c r="Q2314">
        <v>22</v>
      </c>
      <c r="R2314">
        <v>40</v>
      </c>
    </row>
    <row r="2315" spans="1:18" x14ac:dyDescent="0.25">
      <c r="A2315" t="s">
        <v>2473</v>
      </c>
      <c r="B2315" t="s">
        <v>55</v>
      </c>
      <c r="C2315" t="s">
        <v>2467</v>
      </c>
      <c r="D2315" t="s">
        <v>2468</v>
      </c>
      <c r="E2315" t="s">
        <v>78</v>
      </c>
      <c r="F2315" t="s">
        <v>252</v>
      </c>
      <c r="G2315">
        <v>5.6050000000000004</v>
      </c>
      <c r="H2315">
        <v>-75.941299999999998</v>
      </c>
      <c r="I2315" t="s">
        <v>137</v>
      </c>
      <c r="J2315">
        <v>11</v>
      </c>
      <c r="M2315">
        <v>179</v>
      </c>
      <c r="N2315">
        <v>41</v>
      </c>
      <c r="O2315">
        <v>26</v>
      </c>
      <c r="P2315">
        <v>42</v>
      </c>
      <c r="Q2315">
        <v>36</v>
      </c>
      <c r="R2315">
        <v>29</v>
      </c>
    </row>
    <row r="2316" spans="1:18" x14ac:dyDescent="0.25">
      <c r="A2316" t="s">
        <v>2474</v>
      </c>
      <c r="B2316" t="s">
        <v>55</v>
      </c>
      <c r="C2316" t="s">
        <v>2467</v>
      </c>
      <c r="D2316" t="s">
        <v>2468</v>
      </c>
      <c r="E2316" t="s">
        <v>78</v>
      </c>
      <c r="F2316" t="s">
        <v>252</v>
      </c>
      <c r="G2316">
        <v>5.6050000000000004</v>
      </c>
      <c r="H2316">
        <v>-75.941299999999998</v>
      </c>
      <c r="I2316" t="s">
        <v>137</v>
      </c>
      <c r="J2316">
        <v>11</v>
      </c>
      <c r="M2316">
        <v>173</v>
      </c>
      <c r="N2316">
        <v>37</v>
      </c>
      <c r="O2316">
        <v>22</v>
      </c>
      <c r="P2316">
        <v>40</v>
      </c>
      <c r="Q2316">
        <v>41</v>
      </c>
      <c r="R2316">
        <v>31</v>
      </c>
    </row>
    <row r="2317" spans="1:18" x14ac:dyDescent="0.25">
      <c r="A2317" t="s">
        <v>2475</v>
      </c>
      <c r="B2317" t="s">
        <v>55</v>
      </c>
      <c r="C2317" t="s">
        <v>2467</v>
      </c>
      <c r="D2317" t="s">
        <v>2468</v>
      </c>
      <c r="E2317" t="s">
        <v>78</v>
      </c>
      <c r="F2317" t="s">
        <v>252</v>
      </c>
      <c r="G2317">
        <v>5.6050000000000004</v>
      </c>
      <c r="H2317">
        <v>-75.941299999999998</v>
      </c>
      <c r="I2317" t="s">
        <v>137</v>
      </c>
      <c r="J2317">
        <v>11</v>
      </c>
      <c r="M2317">
        <v>172</v>
      </c>
      <c r="N2317">
        <v>46</v>
      </c>
      <c r="O2317">
        <v>24</v>
      </c>
      <c r="P2317">
        <v>36</v>
      </c>
      <c r="Q2317">
        <v>34</v>
      </c>
      <c r="R2317">
        <v>25</v>
      </c>
    </row>
    <row r="2318" spans="1:18" x14ac:dyDescent="0.25">
      <c r="A2318" t="s">
        <v>2476</v>
      </c>
      <c r="B2318" t="s">
        <v>55</v>
      </c>
      <c r="C2318" t="s">
        <v>2467</v>
      </c>
      <c r="D2318" t="s">
        <v>2468</v>
      </c>
      <c r="E2318" t="s">
        <v>78</v>
      </c>
      <c r="F2318" t="s">
        <v>252</v>
      </c>
      <c r="G2318">
        <v>5.6050000000000004</v>
      </c>
      <c r="H2318">
        <v>-75.941299999999998</v>
      </c>
      <c r="I2318" t="s">
        <v>137</v>
      </c>
      <c r="J2318">
        <v>11</v>
      </c>
      <c r="M2318">
        <v>170</v>
      </c>
      <c r="N2318">
        <v>22</v>
      </c>
      <c r="O2318">
        <v>22</v>
      </c>
      <c r="P2318">
        <v>52</v>
      </c>
      <c r="Q2318">
        <v>38</v>
      </c>
      <c r="R2318">
        <v>40</v>
      </c>
    </row>
    <row r="2319" spans="1:18" x14ac:dyDescent="0.25">
      <c r="A2319" t="s">
        <v>2477</v>
      </c>
      <c r="B2319" t="s">
        <v>55</v>
      </c>
      <c r="C2319" t="s">
        <v>2467</v>
      </c>
      <c r="D2319" t="s">
        <v>2468</v>
      </c>
      <c r="E2319" t="s">
        <v>78</v>
      </c>
      <c r="F2319" t="s">
        <v>252</v>
      </c>
      <c r="G2319">
        <v>5.6050000000000004</v>
      </c>
      <c r="H2319">
        <v>-75.941299999999998</v>
      </c>
      <c r="I2319" t="s">
        <v>137</v>
      </c>
      <c r="J2319">
        <v>11</v>
      </c>
      <c r="M2319">
        <v>169</v>
      </c>
      <c r="N2319">
        <v>32</v>
      </c>
      <c r="O2319">
        <v>32</v>
      </c>
      <c r="P2319">
        <v>44</v>
      </c>
      <c r="Q2319">
        <v>28</v>
      </c>
      <c r="R2319">
        <v>35</v>
      </c>
    </row>
    <row r="2320" spans="1:18" x14ac:dyDescent="0.25">
      <c r="A2320" t="s">
        <v>2478</v>
      </c>
      <c r="B2320" t="s">
        <v>55</v>
      </c>
      <c r="C2320" t="s">
        <v>2467</v>
      </c>
      <c r="D2320" t="s">
        <v>2468</v>
      </c>
      <c r="E2320" t="s">
        <v>78</v>
      </c>
      <c r="F2320" t="s">
        <v>252</v>
      </c>
      <c r="G2320">
        <v>5.6050000000000004</v>
      </c>
      <c r="H2320">
        <v>-75.941299999999998</v>
      </c>
      <c r="I2320" t="s">
        <v>137</v>
      </c>
      <c r="J2320">
        <v>11</v>
      </c>
      <c r="M2320">
        <v>164</v>
      </c>
      <c r="N2320">
        <v>39</v>
      </c>
      <c r="O2320">
        <v>22</v>
      </c>
      <c r="P2320">
        <v>46</v>
      </c>
      <c r="Q2320">
        <v>24</v>
      </c>
      <c r="R2320">
        <v>33</v>
      </c>
    </row>
    <row r="2321" spans="1:18" x14ac:dyDescent="0.25">
      <c r="A2321" t="s">
        <v>2479</v>
      </c>
      <c r="B2321" t="s">
        <v>55</v>
      </c>
      <c r="C2321" t="s">
        <v>2467</v>
      </c>
      <c r="D2321" t="s">
        <v>2468</v>
      </c>
      <c r="E2321" t="s">
        <v>78</v>
      </c>
      <c r="F2321" t="s">
        <v>252</v>
      </c>
      <c r="G2321">
        <v>5.6050000000000004</v>
      </c>
      <c r="H2321">
        <v>-75.941299999999998</v>
      </c>
      <c r="I2321" t="s">
        <v>137</v>
      </c>
      <c r="J2321">
        <v>11</v>
      </c>
      <c r="M2321">
        <v>164</v>
      </c>
      <c r="N2321">
        <v>41</v>
      </c>
      <c r="O2321">
        <v>12</v>
      </c>
      <c r="P2321">
        <v>50</v>
      </c>
      <c r="Q2321">
        <v>29</v>
      </c>
      <c r="R2321">
        <v>27</v>
      </c>
    </row>
    <row r="2322" spans="1:18" x14ac:dyDescent="0.25">
      <c r="A2322" t="s">
        <v>2480</v>
      </c>
      <c r="B2322" t="s">
        <v>55</v>
      </c>
      <c r="C2322" t="s">
        <v>2467</v>
      </c>
      <c r="D2322" t="s">
        <v>2468</v>
      </c>
      <c r="E2322" t="s">
        <v>78</v>
      </c>
      <c r="F2322" t="s">
        <v>252</v>
      </c>
      <c r="G2322">
        <v>5.6050000000000004</v>
      </c>
      <c r="H2322">
        <v>-75.941299999999998</v>
      </c>
      <c r="I2322" t="s">
        <v>137</v>
      </c>
      <c r="J2322">
        <v>11</v>
      </c>
      <c r="M2322">
        <v>160</v>
      </c>
      <c r="N2322">
        <v>37</v>
      </c>
      <c r="O2322">
        <v>22</v>
      </c>
      <c r="P2322">
        <v>32</v>
      </c>
      <c r="Q2322">
        <v>36</v>
      </c>
      <c r="R2322">
        <v>36</v>
      </c>
    </row>
    <row r="2323" spans="1:18" x14ac:dyDescent="0.25">
      <c r="A2323" t="s">
        <v>2481</v>
      </c>
      <c r="B2323" t="s">
        <v>55</v>
      </c>
      <c r="C2323" t="s">
        <v>2467</v>
      </c>
      <c r="D2323" t="s">
        <v>2468</v>
      </c>
      <c r="E2323" t="s">
        <v>78</v>
      </c>
      <c r="F2323" t="s">
        <v>252</v>
      </c>
      <c r="G2323">
        <v>5.6050000000000004</v>
      </c>
      <c r="H2323">
        <v>-75.941299999999998</v>
      </c>
      <c r="I2323" t="s">
        <v>137</v>
      </c>
      <c r="J2323">
        <v>11</v>
      </c>
      <c r="M2323">
        <v>159</v>
      </c>
      <c r="N2323">
        <v>41</v>
      </c>
      <c r="O2323">
        <v>14</v>
      </c>
      <c r="P2323">
        <v>48</v>
      </c>
      <c r="Q2323">
        <v>17</v>
      </c>
      <c r="R2323">
        <v>51</v>
      </c>
    </row>
    <row r="2324" spans="1:18" x14ac:dyDescent="0.25">
      <c r="A2324" t="s">
        <v>2482</v>
      </c>
      <c r="B2324" t="s">
        <v>55</v>
      </c>
      <c r="C2324" t="s">
        <v>2467</v>
      </c>
      <c r="D2324" t="s">
        <v>2468</v>
      </c>
      <c r="E2324" t="s">
        <v>78</v>
      </c>
      <c r="F2324" t="s">
        <v>252</v>
      </c>
      <c r="G2324">
        <v>5.6050000000000004</v>
      </c>
      <c r="H2324">
        <v>-75.941299999999998</v>
      </c>
      <c r="I2324" t="s">
        <v>137</v>
      </c>
      <c r="J2324">
        <v>11</v>
      </c>
      <c r="M2324">
        <v>154</v>
      </c>
      <c r="N2324">
        <v>34</v>
      </c>
      <c r="O2324">
        <v>18</v>
      </c>
      <c r="P2324">
        <v>42</v>
      </c>
      <c r="Q2324">
        <v>26</v>
      </c>
      <c r="R2324">
        <v>40</v>
      </c>
    </row>
    <row r="2325" spans="1:18" x14ac:dyDescent="0.25">
      <c r="A2325" t="s">
        <v>2483</v>
      </c>
      <c r="B2325" t="s">
        <v>55</v>
      </c>
      <c r="C2325" t="s">
        <v>2467</v>
      </c>
      <c r="D2325" t="s">
        <v>2468</v>
      </c>
      <c r="E2325" t="s">
        <v>78</v>
      </c>
      <c r="F2325" t="s">
        <v>252</v>
      </c>
      <c r="G2325">
        <v>5.6050000000000004</v>
      </c>
      <c r="H2325">
        <v>-75.941299999999998</v>
      </c>
      <c r="I2325" t="s">
        <v>137</v>
      </c>
      <c r="J2325">
        <v>11</v>
      </c>
      <c r="M2325">
        <v>151</v>
      </c>
      <c r="N2325">
        <v>32</v>
      </c>
      <c r="O2325">
        <v>16</v>
      </c>
      <c r="P2325">
        <v>54</v>
      </c>
      <c r="Q2325">
        <v>17</v>
      </c>
      <c r="R2325">
        <v>35</v>
      </c>
    </row>
    <row r="2326" spans="1:18" x14ac:dyDescent="0.25">
      <c r="A2326" t="s">
        <v>2484</v>
      </c>
      <c r="B2326" t="s">
        <v>55</v>
      </c>
      <c r="C2326" t="s">
        <v>2467</v>
      </c>
      <c r="D2326" t="s">
        <v>2468</v>
      </c>
      <c r="E2326" t="s">
        <v>78</v>
      </c>
      <c r="F2326" t="s">
        <v>252</v>
      </c>
      <c r="G2326">
        <v>5.6050000000000004</v>
      </c>
      <c r="H2326">
        <v>-75.941299999999998</v>
      </c>
      <c r="I2326" t="s">
        <v>137</v>
      </c>
      <c r="J2326">
        <v>11</v>
      </c>
      <c r="M2326">
        <v>149</v>
      </c>
      <c r="N2326">
        <v>32</v>
      </c>
      <c r="O2326">
        <v>18</v>
      </c>
      <c r="P2326">
        <v>38</v>
      </c>
      <c r="Q2326">
        <v>33</v>
      </c>
      <c r="R2326">
        <v>25</v>
      </c>
    </row>
    <row r="2327" spans="1:18" x14ac:dyDescent="0.25">
      <c r="A2327" t="s">
        <v>2485</v>
      </c>
      <c r="B2327" t="s">
        <v>55</v>
      </c>
      <c r="C2327" t="s">
        <v>2467</v>
      </c>
      <c r="D2327" t="s">
        <v>2468</v>
      </c>
      <c r="E2327" t="s">
        <v>78</v>
      </c>
      <c r="F2327" t="s">
        <v>252</v>
      </c>
      <c r="G2327">
        <v>5.6050000000000004</v>
      </c>
      <c r="H2327">
        <v>-75.941299999999998</v>
      </c>
      <c r="I2327" t="s">
        <v>137</v>
      </c>
      <c r="J2327">
        <v>11</v>
      </c>
      <c r="M2327">
        <v>136</v>
      </c>
      <c r="N2327">
        <v>24</v>
      </c>
      <c r="O2327">
        <v>16</v>
      </c>
      <c r="P2327">
        <v>30</v>
      </c>
      <c r="Q2327">
        <v>38</v>
      </c>
      <c r="R2327">
        <v>29</v>
      </c>
    </row>
    <row r="2328" spans="1:18" x14ac:dyDescent="0.25">
      <c r="A2328" t="s">
        <v>2486</v>
      </c>
      <c r="B2328" t="s">
        <v>55</v>
      </c>
      <c r="C2328" t="s">
        <v>2467</v>
      </c>
      <c r="D2328" t="s">
        <v>2468</v>
      </c>
      <c r="E2328" t="s">
        <v>78</v>
      </c>
      <c r="F2328" t="s">
        <v>252</v>
      </c>
      <c r="G2328">
        <v>5.6050000000000004</v>
      </c>
      <c r="H2328">
        <v>-75.941299999999998</v>
      </c>
      <c r="I2328" t="s">
        <v>137</v>
      </c>
      <c r="J2328">
        <v>11</v>
      </c>
      <c r="M2328">
        <v>131</v>
      </c>
      <c r="N2328">
        <v>29</v>
      </c>
      <c r="O2328">
        <v>22</v>
      </c>
      <c r="P2328">
        <v>38</v>
      </c>
      <c r="Q2328">
        <v>16</v>
      </c>
      <c r="R2328">
        <v>27</v>
      </c>
    </row>
    <row r="2329" spans="1:18" x14ac:dyDescent="0.25">
      <c r="A2329" t="s">
        <v>2487</v>
      </c>
      <c r="B2329" t="s">
        <v>55</v>
      </c>
      <c r="C2329" t="s">
        <v>2467</v>
      </c>
      <c r="D2329" t="s">
        <v>2468</v>
      </c>
      <c r="E2329" t="s">
        <v>78</v>
      </c>
      <c r="F2329" t="s">
        <v>252</v>
      </c>
      <c r="G2329">
        <v>5.6050000000000004</v>
      </c>
      <c r="H2329">
        <v>-75.941299999999998</v>
      </c>
      <c r="I2329" t="s">
        <v>137</v>
      </c>
      <c r="J2329">
        <v>11</v>
      </c>
      <c r="M2329">
        <v>112</v>
      </c>
      <c r="N2329">
        <v>24</v>
      </c>
      <c r="O2329">
        <v>14</v>
      </c>
      <c r="P2329">
        <v>18</v>
      </c>
      <c r="Q2329">
        <v>31</v>
      </c>
      <c r="R2329">
        <v>29</v>
      </c>
    </row>
    <row r="2330" spans="1:18" x14ac:dyDescent="0.25">
      <c r="A2330" t="s">
        <v>2488</v>
      </c>
      <c r="B2330" t="s">
        <v>55</v>
      </c>
      <c r="C2330" t="s">
        <v>2467</v>
      </c>
      <c r="D2330" t="s">
        <v>2468</v>
      </c>
      <c r="E2330" t="s">
        <v>78</v>
      </c>
      <c r="F2330" t="s">
        <v>252</v>
      </c>
      <c r="G2330">
        <v>5.6050000000000004</v>
      </c>
      <c r="H2330">
        <v>-75.941299999999998</v>
      </c>
      <c r="I2330" t="s">
        <v>137</v>
      </c>
      <c r="J2330">
        <v>11</v>
      </c>
      <c r="M2330">
        <v>78</v>
      </c>
      <c r="N2330">
        <v>0</v>
      </c>
      <c r="O2330">
        <v>16</v>
      </c>
      <c r="P2330">
        <v>22</v>
      </c>
      <c r="Q2330">
        <v>17</v>
      </c>
      <c r="R2330">
        <v>38</v>
      </c>
    </row>
    <row r="2331" spans="1:18" x14ac:dyDescent="0.25">
      <c r="A2331" t="s">
        <v>2489</v>
      </c>
      <c r="B2331" t="s">
        <v>55</v>
      </c>
      <c r="C2331" t="s">
        <v>2490</v>
      </c>
      <c r="D2331" t="s">
        <v>2491</v>
      </c>
      <c r="E2331" t="s">
        <v>78</v>
      </c>
      <c r="F2331" t="s">
        <v>252</v>
      </c>
      <c r="G2331">
        <v>6.2186000000000003</v>
      </c>
      <c r="H2331">
        <v>-75.241699999999994</v>
      </c>
      <c r="I2331" t="s">
        <v>2492</v>
      </c>
      <c r="J2331">
        <v>11</v>
      </c>
      <c r="M2331">
        <v>232</v>
      </c>
      <c r="N2331">
        <v>37</v>
      </c>
      <c r="O2331">
        <v>40</v>
      </c>
      <c r="P2331">
        <v>70</v>
      </c>
      <c r="Q2331">
        <v>36</v>
      </c>
      <c r="R2331">
        <v>55</v>
      </c>
    </row>
    <row r="2332" spans="1:18" x14ac:dyDescent="0.25">
      <c r="A2332" t="s">
        <v>2493</v>
      </c>
      <c r="B2332" t="s">
        <v>55</v>
      </c>
      <c r="C2332" t="s">
        <v>2490</v>
      </c>
      <c r="D2332" t="s">
        <v>2491</v>
      </c>
      <c r="E2332" t="s">
        <v>78</v>
      </c>
      <c r="F2332" t="s">
        <v>252</v>
      </c>
      <c r="G2332">
        <v>6.2186000000000003</v>
      </c>
      <c r="H2332">
        <v>-75.241699999999994</v>
      </c>
      <c r="I2332" t="s">
        <v>2492</v>
      </c>
      <c r="J2332">
        <v>11</v>
      </c>
      <c r="M2332">
        <v>231</v>
      </c>
      <c r="N2332">
        <v>34</v>
      </c>
      <c r="O2332">
        <v>42</v>
      </c>
      <c r="P2332">
        <v>56</v>
      </c>
      <c r="Q2332">
        <v>53</v>
      </c>
      <c r="R2332">
        <v>44</v>
      </c>
    </row>
    <row r="2333" spans="1:18" x14ac:dyDescent="0.25">
      <c r="A2333" t="s">
        <v>2494</v>
      </c>
      <c r="B2333" t="s">
        <v>55</v>
      </c>
      <c r="C2333" t="s">
        <v>2490</v>
      </c>
      <c r="D2333" t="s">
        <v>2491</v>
      </c>
      <c r="E2333" t="s">
        <v>78</v>
      </c>
      <c r="F2333" t="s">
        <v>252</v>
      </c>
      <c r="G2333">
        <v>6.2186000000000003</v>
      </c>
      <c r="H2333">
        <v>-75.241699999999994</v>
      </c>
      <c r="I2333" t="s">
        <v>2492</v>
      </c>
      <c r="J2333">
        <v>11</v>
      </c>
      <c r="M2333">
        <v>231</v>
      </c>
      <c r="N2333">
        <v>51</v>
      </c>
      <c r="O2333">
        <v>36</v>
      </c>
      <c r="P2333">
        <v>60</v>
      </c>
      <c r="Q2333">
        <v>34</v>
      </c>
      <c r="R2333">
        <v>55</v>
      </c>
    </row>
    <row r="2334" spans="1:18" x14ac:dyDescent="0.25">
      <c r="A2334" t="s">
        <v>2495</v>
      </c>
      <c r="B2334" t="s">
        <v>55</v>
      </c>
      <c r="C2334" t="s">
        <v>2490</v>
      </c>
      <c r="D2334" t="s">
        <v>2491</v>
      </c>
      <c r="E2334" t="s">
        <v>78</v>
      </c>
      <c r="F2334" t="s">
        <v>252</v>
      </c>
      <c r="G2334">
        <v>6.2186000000000003</v>
      </c>
      <c r="H2334">
        <v>-75.241699999999994</v>
      </c>
      <c r="I2334" t="s">
        <v>2492</v>
      </c>
      <c r="J2334">
        <v>11</v>
      </c>
      <c r="M2334">
        <v>221</v>
      </c>
      <c r="N2334">
        <v>59</v>
      </c>
      <c r="O2334">
        <v>30</v>
      </c>
      <c r="P2334">
        <v>48</v>
      </c>
      <c r="Q2334">
        <v>40</v>
      </c>
      <c r="R2334">
        <v>45</v>
      </c>
    </row>
    <row r="2335" spans="1:18" x14ac:dyDescent="0.25">
      <c r="A2335" t="s">
        <v>2496</v>
      </c>
      <c r="B2335" t="s">
        <v>55</v>
      </c>
      <c r="C2335" t="s">
        <v>2490</v>
      </c>
      <c r="D2335" t="s">
        <v>2491</v>
      </c>
      <c r="E2335" t="s">
        <v>78</v>
      </c>
      <c r="F2335" t="s">
        <v>252</v>
      </c>
      <c r="G2335">
        <v>6.2186000000000003</v>
      </c>
      <c r="H2335">
        <v>-75.241699999999994</v>
      </c>
      <c r="I2335" t="s">
        <v>2492</v>
      </c>
      <c r="J2335">
        <v>11</v>
      </c>
      <c r="M2335">
        <v>214</v>
      </c>
      <c r="N2335">
        <v>34</v>
      </c>
      <c r="O2335">
        <v>44</v>
      </c>
      <c r="P2335">
        <v>52</v>
      </c>
      <c r="Q2335">
        <v>38</v>
      </c>
      <c r="R2335">
        <v>51</v>
      </c>
    </row>
    <row r="2336" spans="1:18" x14ac:dyDescent="0.25">
      <c r="A2336" t="s">
        <v>2497</v>
      </c>
      <c r="B2336" t="s">
        <v>55</v>
      </c>
      <c r="C2336" t="s">
        <v>2490</v>
      </c>
      <c r="D2336" t="s">
        <v>2491</v>
      </c>
      <c r="E2336" t="s">
        <v>78</v>
      </c>
      <c r="F2336" t="s">
        <v>252</v>
      </c>
      <c r="G2336">
        <v>6.2186000000000003</v>
      </c>
      <c r="H2336">
        <v>-75.241699999999994</v>
      </c>
      <c r="I2336" t="s">
        <v>2492</v>
      </c>
      <c r="J2336">
        <v>11</v>
      </c>
      <c r="M2336">
        <v>208</v>
      </c>
      <c r="N2336">
        <v>37</v>
      </c>
      <c r="O2336">
        <v>46</v>
      </c>
      <c r="P2336">
        <v>58</v>
      </c>
      <c r="Q2336">
        <v>24</v>
      </c>
      <c r="R2336">
        <v>47</v>
      </c>
    </row>
    <row r="2337" spans="1:18" x14ac:dyDescent="0.25">
      <c r="A2337" t="s">
        <v>2498</v>
      </c>
      <c r="B2337" t="s">
        <v>55</v>
      </c>
      <c r="C2337" t="s">
        <v>2490</v>
      </c>
      <c r="D2337" t="s">
        <v>2491</v>
      </c>
      <c r="E2337" t="s">
        <v>78</v>
      </c>
      <c r="F2337" t="s">
        <v>252</v>
      </c>
      <c r="G2337">
        <v>6.2186000000000003</v>
      </c>
      <c r="H2337">
        <v>-75.241699999999994</v>
      </c>
      <c r="I2337" t="s">
        <v>2492</v>
      </c>
      <c r="J2337">
        <v>11</v>
      </c>
      <c r="M2337">
        <v>202</v>
      </c>
      <c r="N2337">
        <v>32</v>
      </c>
      <c r="O2337">
        <v>42</v>
      </c>
      <c r="P2337">
        <v>48</v>
      </c>
      <c r="Q2337">
        <v>38</v>
      </c>
      <c r="R2337">
        <v>47</v>
      </c>
    </row>
    <row r="2338" spans="1:18" x14ac:dyDescent="0.25">
      <c r="A2338" t="s">
        <v>2499</v>
      </c>
      <c r="B2338" t="s">
        <v>55</v>
      </c>
      <c r="C2338" t="s">
        <v>2490</v>
      </c>
      <c r="D2338" t="s">
        <v>2491</v>
      </c>
      <c r="E2338" t="s">
        <v>78</v>
      </c>
      <c r="F2338" t="s">
        <v>252</v>
      </c>
      <c r="G2338">
        <v>6.2186000000000003</v>
      </c>
      <c r="H2338">
        <v>-75.241699999999994</v>
      </c>
      <c r="I2338" t="s">
        <v>2492</v>
      </c>
      <c r="J2338">
        <v>11</v>
      </c>
      <c r="M2338">
        <v>202</v>
      </c>
      <c r="N2338">
        <v>46</v>
      </c>
      <c r="O2338">
        <v>42</v>
      </c>
      <c r="P2338">
        <v>32</v>
      </c>
      <c r="Q2338">
        <v>40</v>
      </c>
      <c r="R2338">
        <v>45</v>
      </c>
    </row>
    <row r="2339" spans="1:18" x14ac:dyDescent="0.25">
      <c r="A2339" t="s">
        <v>2500</v>
      </c>
      <c r="B2339" t="s">
        <v>55</v>
      </c>
      <c r="C2339" t="s">
        <v>2490</v>
      </c>
      <c r="D2339" t="s">
        <v>2491</v>
      </c>
      <c r="E2339" t="s">
        <v>78</v>
      </c>
      <c r="F2339" t="s">
        <v>252</v>
      </c>
      <c r="G2339">
        <v>6.2186000000000003</v>
      </c>
      <c r="H2339">
        <v>-75.241699999999994</v>
      </c>
      <c r="I2339" t="s">
        <v>2492</v>
      </c>
      <c r="J2339">
        <v>11</v>
      </c>
      <c r="M2339">
        <v>199</v>
      </c>
      <c r="N2339">
        <v>41</v>
      </c>
      <c r="O2339">
        <v>42</v>
      </c>
      <c r="P2339">
        <v>42</v>
      </c>
      <c r="Q2339">
        <v>29</v>
      </c>
      <c r="R2339">
        <v>53</v>
      </c>
    </row>
    <row r="2340" spans="1:18" x14ac:dyDescent="0.25">
      <c r="A2340" t="s">
        <v>2501</v>
      </c>
      <c r="B2340" t="s">
        <v>55</v>
      </c>
      <c r="C2340" t="s">
        <v>2490</v>
      </c>
      <c r="D2340" t="s">
        <v>2491</v>
      </c>
      <c r="E2340" t="s">
        <v>78</v>
      </c>
      <c r="F2340" t="s">
        <v>252</v>
      </c>
      <c r="G2340">
        <v>6.2186000000000003</v>
      </c>
      <c r="H2340">
        <v>-75.241699999999994</v>
      </c>
      <c r="I2340" t="s">
        <v>2492</v>
      </c>
      <c r="J2340">
        <v>11</v>
      </c>
      <c r="M2340">
        <v>199</v>
      </c>
      <c r="N2340">
        <v>44</v>
      </c>
      <c r="O2340">
        <v>30</v>
      </c>
      <c r="P2340">
        <v>40</v>
      </c>
      <c r="Q2340">
        <v>41</v>
      </c>
      <c r="R2340">
        <v>51</v>
      </c>
    </row>
    <row r="2341" spans="1:18" x14ac:dyDescent="0.25">
      <c r="A2341" t="s">
        <v>2502</v>
      </c>
      <c r="B2341" t="s">
        <v>55</v>
      </c>
      <c r="C2341" t="s">
        <v>2490</v>
      </c>
      <c r="D2341" t="s">
        <v>2491</v>
      </c>
      <c r="E2341" t="s">
        <v>78</v>
      </c>
      <c r="F2341" t="s">
        <v>252</v>
      </c>
      <c r="G2341">
        <v>6.2186000000000003</v>
      </c>
      <c r="H2341">
        <v>-75.241699999999994</v>
      </c>
      <c r="I2341" t="s">
        <v>2492</v>
      </c>
      <c r="J2341">
        <v>11</v>
      </c>
      <c r="M2341">
        <v>195</v>
      </c>
      <c r="N2341">
        <v>44</v>
      </c>
      <c r="O2341">
        <v>44</v>
      </c>
      <c r="P2341">
        <v>48</v>
      </c>
      <c r="Q2341">
        <v>19</v>
      </c>
      <c r="R2341">
        <v>44</v>
      </c>
    </row>
    <row r="2342" spans="1:18" x14ac:dyDescent="0.25">
      <c r="A2342" t="s">
        <v>2503</v>
      </c>
      <c r="B2342" t="s">
        <v>55</v>
      </c>
      <c r="C2342" t="s">
        <v>2490</v>
      </c>
      <c r="D2342" t="s">
        <v>2491</v>
      </c>
      <c r="E2342" t="s">
        <v>78</v>
      </c>
      <c r="F2342" t="s">
        <v>252</v>
      </c>
      <c r="G2342">
        <v>6.2186000000000003</v>
      </c>
      <c r="H2342">
        <v>-75.241699999999994</v>
      </c>
      <c r="I2342" t="s">
        <v>2492</v>
      </c>
      <c r="J2342">
        <v>11</v>
      </c>
      <c r="M2342">
        <v>195</v>
      </c>
      <c r="N2342">
        <v>51</v>
      </c>
      <c r="O2342">
        <v>28</v>
      </c>
      <c r="P2342">
        <v>46</v>
      </c>
      <c r="Q2342">
        <v>24</v>
      </c>
      <c r="R2342">
        <v>60</v>
      </c>
    </row>
    <row r="2343" spans="1:18" x14ac:dyDescent="0.25">
      <c r="A2343" t="s">
        <v>2504</v>
      </c>
      <c r="B2343" t="s">
        <v>55</v>
      </c>
      <c r="C2343" t="s">
        <v>2490</v>
      </c>
      <c r="D2343" t="s">
        <v>2491</v>
      </c>
      <c r="E2343" t="s">
        <v>78</v>
      </c>
      <c r="F2343" t="s">
        <v>252</v>
      </c>
      <c r="G2343">
        <v>6.2186000000000003</v>
      </c>
      <c r="H2343">
        <v>-75.241699999999994</v>
      </c>
      <c r="I2343" t="s">
        <v>2492</v>
      </c>
      <c r="J2343">
        <v>11</v>
      </c>
      <c r="M2343">
        <v>195</v>
      </c>
      <c r="N2343">
        <v>41</v>
      </c>
      <c r="O2343">
        <v>32</v>
      </c>
      <c r="P2343">
        <v>46</v>
      </c>
      <c r="Q2343">
        <v>33</v>
      </c>
      <c r="R2343">
        <v>49</v>
      </c>
    </row>
    <row r="2344" spans="1:18" x14ac:dyDescent="0.25">
      <c r="A2344" t="s">
        <v>2505</v>
      </c>
      <c r="B2344" t="s">
        <v>55</v>
      </c>
      <c r="C2344" t="s">
        <v>2490</v>
      </c>
      <c r="D2344" t="s">
        <v>2491</v>
      </c>
      <c r="E2344" t="s">
        <v>78</v>
      </c>
      <c r="F2344" t="s">
        <v>252</v>
      </c>
      <c r="G2344">
        <v>6.2186000000000003</v>
      </c>
      <c r="H2344">
        <v>-75.241699999999994</v>
      </c>
      <c r="I2344" t="s">
        <v>2492</v>
      </c>
      <c r="J2344">
        <v>11</v>
      </c>
      <c r="M2344">
        <v>193</v>
      </c>
      <c r="N2344">
        <v>44</v>
      </c>
      <c r="O2344">
        <v>26</v>
      </c>
      <c r="P2344">
        <v>50</v>
      </c>
      <c r="Q2344">
        <v>31</v>
      </c>
      <c r="R2344">
        <v>49</v>
      </c>
    </row>
    <row r="2345" spans="1:18" x14ac:dyDescent="0.25">
      <c r="A2345" t="s">
        <v>2506</v>
      </c>
      <c r="B2345" t="s">
        <v>55</v>
      </c>
      <c r="C2345" t="s">
        <v>2490</v>
      </c>
      <c r="D2345" t="s">
        <v>2491</v>
      </c>
      <c r="E2345" t="s">
        <v>78</v>
      </c>
      <c r="F2345" t="s">
        <v>252</v>
      </c>
      <c r="G2345">
        <v>6.2186000000000003</v>
      </c>
      <c r="H2345">
        <v>-75.241699999999994</v>
      </c>
      <c r="I2345" t="s">
        <v>2492</v>
      </c>
      <c r="J2345">
        <v>11</v>
      </c>
      <c r="M2345">
        <v>190</v>
      </c>
      <c r="N2345">
        <v>37</v>
      </c>
      <c r="O2345">
        <v>18</v>
      </c>
      <c r="P2345">
        <v>52</v>
      </c>
      <c r="Q2345">
        <v>40</v>
      </c>
      <c r="R2345">
        <v>56</v>
      </c>
    </row>
    <row r="2346" spans="1:18" x14ac:dyDescent="0.25">
      <c r="A2346" t="s">
        <v>2507</v>
      </c>
      <c r="B2346" t="s">
        <v>55</v>
      </c>
      <c r="C2346" t="s">
        <v>2490</v>
      </c>
      <c r="D2346" t="s">
        <v>2491</v>
      </c>
      <c r="E2346" t="s">
        <v>78</v>
      </c>
      <c r="F2346" t="s">
        <v>252</v>
      </c>
      <c r="G2346">
        <v>6.2186000000000003</v>
      </c>
      <c r="H2346">
        <v>-75.241699999999994</v>
      </c>
      <c r="I2346" t="s">
        <v>2492</v>
      </c>
      <c r="J2346">
        <v>11</v>
      </c>
      <c r="M2346">
        <v>188</v>
      </c>
      <c r="N2346">
        <v>44</v>
      </c>
      <c r="O2346">
        <v>28</v>
      </c>
      <c r="P2346">
        <v>48</v>
      </c>
      <c r="Q2346">
        <v>28</v>
      </c>
      <c r="R2346">
        <v>45</v>
      </c>
    </row>
    <row r="2347" spans="1:18" x14ac:dyDescent="0.25">
      <c r="A2347" t="s">
        <v>2508</v>
      </c>
      <c r="B2347" t="s">
        <v>55</v>
      </c>
      <c r="C2347" t="s">
        <v>2490</v>
      </c>
      <c r="D2347" t="s">
        <v>2491</v>
      </c>
      <c r="E2347" t="s">
        <v>78</v>
      </c>
      <c r="F2347" t="s">
        <v>252</v>
      </c>
      <c r="G2347">
        <v>6.2186000000000003</v>
      </c>
      <c r="H2347">
        <v>-75.241699999999994</v>
      </c>
      <c r="I2347" t="s">
        <v>2492</v>
      </c>
      <c r="J2347">
        <v>11</v>
      </c>
      <c r="M2347">
        <v>187</v>
      </c>
      <c r="N2347">
        <v>56</v>
      </c>
      <c r="O2347">
        <v>24</v>
      </c>
      <c r="P2347">
        <v>36</v>
      </c>
      <c r="Q2347">
        <v>28</v>
      </c>
      <c r="R2347">
        <v>55</v>
      </c>
    </row>
    <row r="2348" spans="1:18" x14ac:dyDescent="0.25">
      <c r="A2348" t="s">
        <v>2509</v>
      </c>
      <c r="B2348" t="s">
        <v>55</v>
      </c>
      <c r="C2348" t="s">
        <v>2490</v>
      </c>
      <c r="D2348" t="s">
        <v>2491</v>
      </c>
      <c r="E2348" t="s">
        <v>78</v>
      </c>
      <c r="F2348" t="s">
        <v>252</v>
      </c>
      <c r="G2348">
        <v>6.2186000000000003</v>
      </c>
      <c r="H2348">
        <v>-75.241699999999994</v>
      </c>
      <c r="I2348" t="s">
        <v>2492</v>
      </c>
      <c r="J2348">
        <v>11</v>
      </c>
      <c r="M2348">
        <v>180</v>
      </c>
      <c r="N2348">
        <v>41</v>
      </c>
      <c r="O2348">
        <v>32</v>
      </c>
      <c r="P2348">
        <v>36</v>
      </c>
      <c r="Q2348">
        <v>31</v>
      </c>
      <c r="R2348">
        <v>47</v>
      </c>
    </row>
    <row r="2349" spans="1:18" x14ac:dyDescent="0.25">
      <c r="A2349" t="s">
        <v>2510</v>
      </c>
      <c r="B2349" t="s">
        <v>55</v>
      </c>
      <c r="C2349" t="s">
        <v>2490</v>
      </c>
      <c r="D2349" t="s">
        <v>2491</v>
      </c>
      <c r="E2349" t="s">
        <v>78</v>
      </c>
      <c r="F2349" t="s">
        <v>252</v>
      </c>
      <c r="G2349">
        <v>6.2186000000000003</v>
      </c>
      <c r="H2349">
        <v>-75.241699999999994</v>
      </c>
      <c r="I2349" t="s">
        <v>2492</v>
      </c>
      <c r="J2349">
        <v>11</v>
      </c>
      <c r="M2349">
        <v>180</v>
      </c>
      <c r="N2349">
        <v>37</v>
      </c>
      <c r="O2349">
        <v>32</v>
      </c>
      <c r="P2349">
        <v>38</v>
      </c>
      <c r="Q2349">
        <v>34</v>
      </c>
      <c r="R2349">
        <v>45</v>
      </c>
    </row>
    <row r="2350" spans="1:18" x14ac:dyDescent="0.25">
      <c r="A2350" t="s">
        <v>2511</v>
      </c>
      <c r="B2350" t="s">
        <v>55</v>
      </c>
      <c r="C2350" t="s">
        <v>2490</v>
      </c>
      <c r="D2350" t="s">
        <v>2491</v>
      </c>
      <c r="E2350" t="s">
        <v>78</v>
      </c>
      <c r="F2350" t="s">
        <v>252</v>
      </c>
      <c r="G2350">
        <v>6.2186000000000003</v>
      </c>
      <c r="H2350">
        <v>-75.241699999999994</v>
      </c>
      <c r="I2350" t="s">
        <v>2492</v>
      </c>
      <c r="J2350">
        <v>11</v>
      </c>
      <c r="M2350">
        <v>177</v>
      </c>
      <c r="N2350">
        <v>41</v>
      </c>
      <c r="O2350">
        <v>26</v>
      </c>
      <c r="P2350">
        <v>42</v>
      </c>
      <c r="Q2350">
        <v>31</v>
      </c>
      <c r="R2350">
        <v>38</v>
      </c>
    </row>
    <row r="2351" spans="1:18" x14ac:dyDescent="0.25">
      <c r="A2351" t="s">
        <v>2512</v>
      </c>
      <c r="B2351" t="s">
        <v>55</v>
      </c>
      <c r="C2351" t="s">
        <v>2490</v>
      </c>
      <c r="D2351" t="s">
        <v>2491</v>
      </c>
      <c r="E2351" t="s">
        <v>78</v>
      </c>
      <c r="F2351" t="s">
        <v>252</v>
      </c>
      <c r="G2351">
        <v>6.2186000000000003</v>
      </c>
      <c r="H2351">
        <v>-75.241699999999994</v>
      </c>
      <c r="I2351" t="s">
        <v>2492</v>
      </c>
      <c r="J2351">
        <v>11</v>
      </c>
      <c r="M2351">
        <v>174</v>
      </c>
      <c r="N2351">
        <v>46</v>
      </c>
      <c r="O2351">
        <v>18</v>
      </c>
      <c r="P2351">
        <v>34</v>
      </c>
      <c r="Q2351">
        <v>31</v>
      </c>
      <c r="R2351">
        <v>65</v>
      </c>
    </row>
    <row r="2352" spans="1:18" x14ac:dyDescent="0.25">
      <c r="A2352" t="s">
        <v>2513</v>
      </c>
      <c r="B2352" t="s">
        <v>55</v>
      </c>
      <c r="C2352" t="s">
        <v>2490</v>
      </c>
      <c r="D2352" t="s">
        <v>2491</v>
      </c>
      <c r="E2352" t="s">
        <v>78</v>
      </c>
      <c r="F2352" t="s">
        <v>252</v>
      </c>
      <c r="G2352">
        <v>6.2186000000000003</v>
      </c>
      <c r="H2352">
        <v>-75.241699999999994</v>
      </c>
      <c r="I2352" t="s">
        <v>2492</v>
      </c>
      <c r="J2352">
        <v>11</v>
      </c>
      <c r="M2352">
        <v>168</v>
      </c>
      <c r="N2352">
        <v>49</v>
      </c>
      <c r="O2352">
        <v>18</v>
      </c>
      <c r="P2352">
        <v>32</v>
      </c>
      <c r="Q2352">
        <v>26</v>
      </c>
      <c r="R2352">
        <v>62</v>
      </c>
    </row>
    <row r="2353" spans="1:18" x14ac:dyDescent="0.25">
      <c r="A2353" t="s">
        <v>2514</v>
      </c>
      <c r="B2353" t="s">
        <v>55</v>
      </c>
      <c r="C2353" t="s">
        <v>2490</v>
      </c>
      <c r="D2353" t="s">
        <v>2491</v>
      </c>
      <c r="E2353" t="s">
        <v>78</v>
      </c>
      <c r="F2353" t="s">
        <v>252</v>
      </c>
      <c r="G2353">
        <v>6.2186000000000003</v>
      </c>
      <c r="H2353">
        <v>-75.241699999999994</v>
      </c>
      <c r="I2353" t="s">
        <v>2492</v>
      </c>
      <c r="J2353">
        <v>11</v>
      </c>
      <c r="M2353">
        <v>167</v>
      </c>
      <c r="N2353">
        <v>37</v>
      </c>
      <c r="O2353">
        <v>26</v>
      </c>
      <c r="P2353">
        <v>34</v>
      </c>
      <c r="Q2353">
        <v>34</v>
      </c>
      <c r="R2353">
        <v>42</v>
      </c>
    </row>
    <row r="2354" spans="1:18" x14ac:dyDescent="0.25">
      <c r="A2354" t="s">
        <v>2515</v>
      </c>
      <c r="B2354" t="s">
        <v>55</v>
      </c>
      <c r="C2354" t="s">
        <v>2490</v>
      </c>
      <c r="D2354" t="s">
        <v>2491</v>
      </c>
      <c r="E2354" t="s">
        <v>78</v>
      </c>
      <c r="F2354" t="s">
        <v>252</v>
      </c>
      <c r="G2354">
        <v>6.2186000000000003</v>
      </c>
      <c r="H2354">
        <v>-75.241699999999994</v>
      </c>
      <c r="I2354" t="s">
        <v>2492</v>
      </c>
      <c r="J2354">
        <v>11</v>
      </c>
      <c r="M2354">
        <v>167</v>
      </c>
      <c r="N2354">
        <v>41</v>
      </c>
      <c r="O2354">
        <v>32</v>
      </c>
      <c r="P2354">
        <v>32</v>
      </c>
      <c r="Q2354">
        <v>31</v>
      </c>
      <c r="R2354">
        <v>25</v>
      </c>
    </row>
    <row r="2355" spans="1:18" x14ac:dyDescent="0.25">
      <c r="A2355" t="s">
        <v>2516</v>
      </c>
      <c r="B2355" t="s">
        <v>55</v>
      </c>
      <c r="C2355" t="s">
        <v>2490</v>
      </c>
      <c r="D2355" t="s">
        <v>2491</v>
      </c>
      <c r="E2355" t="s">
        <v>78</v>
      </c>
      <c r="F2355" t="s">
        <v>252</v>
      </c>
      <c r="G2355">
        <v>6.2186000000000003</v>
      </c>
      <c r="H2355">
        <v>-75.241699999999994</v>
      </c>
      <c r="I2355" t="s">
        <v>2492</v>
      </c>
      <c r="J2355">
        <v>11</v>
      </c>
      <c r="M2355">
        <v>167</v>
      </c>
      <c r="N2355">
        <v>29</v>
      </c>
      <c r="O2355">
        <v>32</v>
      </c>
      <c r="P2355">
        <v>34</v>
      </c>
      <c r="Q2355">
        <v>38</v>
      </c>
      <c r="R2355">
        <v>35</v>
      </c>
    </row>
    <row r="2356" spans="1:18" x14ac:dyDescent="0.25">
      <c r="A2356" t="s">
        <v>2517</v>
      </c>
      <c r="B2356" t="s">
        <v>55</v>
      </c>
      <c r="C2356" t="s">
        <v>2490</v>
      </c>
      <c r="D2356" t="s">
        <v>2491</v>
      </c>
      <c r="E2356" t="s">
        <v>78</v>
      </c>
      <c r="F2356" t="s">
        <v>252</v>
      </c>
      <c r="G2356">
        <v>6.2186000000000003</v>
      </c>
      <c r="H2356">
        <v>-75.241699999999994</v>
      </c>
      <c r="I2356" t="s">
        <v>2492</v>
      </c>
      <c r="J2356">
        <v>11</v>
      </c>
      <c r="M2356">
        <v>165</v>
      </c>
      <c r="N2356">
        <v>24</v>
      </c>
      <c r="O2356">
        <v>34</v>
      </c>
      <c r="P2356">
        <v>42</v>
      </c>
      <c r="Q2356">
        <v>29</v>
      </c>
      <c r="R2356">
        <v>40</v>
      </c>
    </row>
    <row r="2357" spans="1:18" x14ac:dyDescent="0.25">
      <c r="A2357" t="s">
        <v>2518</v>
      </c>
      <c r="B2357" t="s">
        <v>55</v>
      </c>
      <c r="C2357" t="s">
        <v>2490</v>
      </c>
      <c r="D2357" t="s">
        <v>2491</v>
      </c>
      <c r="E2357" t="s">
        <v>78</v>
      </c>
      <c r="F2357" t="s">
        <v>252</v>
      </c>
      <c r="G2357">
        <v>6.2186000000000003</v>
      </c>
      <c r="H2357">
        <v>-75.241699999999994</v>
      </c>
      <c r="I2357" t="s">
        <v>2492</v>
      </c>
      <c r="J2357">
        <v>11</v>
      </c>
      <c r="M2357">
        <v>151</v>
      </c>
      <c r="N2357">
        <v>37</v>
      </c>
      <c r="O2357">
        <v>34</v>
      </c>
      <c r="P2357">
        <v>22</v>
      </c>
      <c r="Q2357">
        <v>28</v>
      </c>
      <c r="R2357">
        <v>33</v>
      </c>
    </row>
    <row r="2358" spans="1:18" x14ac:dyDescent="0.25">
      <c r="A2358" t="s">
        <v>2519</v>
      </c>
      <c r="B2358" t="s">
        <v>55</v>
      </c>
      <c r="C2358" t="s">
        <v>2490</v>
      </c>
      <c r="D2358" t="s">
        <v>2491</v>
      </c>
      <c r="E2358" t="s">
        <v>78</v>
      </c>
      <c r="F2358" t="s">
        <v>252</v>
      </c>
      <c r="G2358">
        <v>6.2186000000000003</v>
      </c>
      <c r="H2358">
        <v>-75.241699999999994</v>
      </c>
      <c r="I2358" t="s">
        <v>2492</v>
      </c>
      <c r="J2358">
        <v>11</v>
      </c>
      <c r="M2358">
        <v>145</v>
      </c>
      <c r="N2358">
        <v>41</v>
      </c>
      <c r="O2358">
        <v>24</v>
      </c>
      <c r="P2358">
        <v>36</v>
      </c>
      <c r="Q2358">
        <v>24</v>
      </c>
      <c r="R2358">
        <v>0</v>
      </c>
    </row>
    <row r="2359" spans="1:18" x14ac:dyDescent="0.25">
      <c r="A2359" t="s">
        <v>2520</v>
      </c>
      <c r="B2359" t="s">
        <v>55</v>
      </c>
      <c r="C2359" t="s">
        <v>2490</v>
      </c>
      <c r="D2359" t="s">
        <v>2491</v>
      </c>
      <c r="E2359" t="s">
        <v>78</v>
      </c>
      <c r="F2359" t="s">
        <v>252</v>
      </c>
      <c r="G2359">
        <v>6.2186000000000003</v>
      </c>
      <c r="H2359">
        <v>-75.241699999999994</v>
      </c>
      <c r="I2359" t="s">
        <v>2492</v>
      </c>
      <c r="J2359">
        <v>11</v>
      </c>
      <c r="M2359">
        <v>140</v>
      </c>
      <c r="N2359">
        <v>27</v>
      </c>
      <c r="O2359">
        <v>32</v>
      </c>
      <c r="P2359">
        <v>22</v>
      </c>
      <c r="Q2359">
        <v>26</v>
      </c>
      <c r="R2359">
        <v>44</v>
      </c>
    </row>
    <row r="2360" spans="1:18" x14ac:dyDescent="0.25">
      <c r="A2360" t="s">
        <v>2521</v>
      </c>
      <c r="B2360" t="s">
        <v>55</v>
      </c>
      <c r="C2360" t="s">
        <v>2490</v>
      </c>
      <c r="D2360" t="s">
        <v>2491</v>
      </c>
      <c r="E2360" t="s">
        <v>78</v>
      </c>
      <c r="F2360" t="s">
        <v>252</v>
      </c>
      <c r="G2360">
        <v>6.2186000000000003</v>
      </c>
      <c r="H2360">
        <v>-75.241699999999994</v>
      </c>
      <c r="I2360" t="s">
        <v>2492</v>
      </c>
      <c r="J2360">
        <v>11</v>
      </c>
      <c r="M2360">
        <v>120</v>
      </c>
      <c r="N2360">
        <v>27</v>
      </c>
      <c r="O2360">
        <v>28</v>
      </c>
      <c r="P2360">
        <v>18</v>
      </c>
      <c r="Q2360">
        <v>19</v>
      </c>
      <c r="R2360">
        <v>36</v>
      </c>
    </row>
    <row r="2361" spans="1:18" x14ac:dyDescent="0.25">
      <c r="A2361" t="s">
        <v>2522</v>
      </c>
      <c r="B2361" t="s">
        <v>55</v>
      </c>
      <c r="C2361" t="s">
        <v>2490</v>
      </c>
      <c r="D2361" t="s">
        <v>2491</v>
      </c>
      <c r="E2361" t="s">
        <v>78</v>
      </c>
      <c r="F2361" t="s">
        <v>252</v>
      </c>
      <c r="G2361">
        <v>6.2186000000000003</v>
      </c>
      <c r="H2361">
        <v>-75.241699999999994</v>
      </c>
      <c r="I2361" t="s">
        <v>2492</v>
      </c>
      <c r="J2361">
        <v>11</v>
      </c>
      <c r="M2361">
        <v>115</v>
      </c>
      <c r="N2361">
        <v>12</v>
      </c>
      <c r="O2361">
        <v>22</v>
      </c>
      <c r="P2361">
        <v>34</v>
      </c>
      <c r="Q2361">
        <v>24</v>
      </c>
      <c r="R2361">
        <v>22</v>
      </c>
    </row>
    <row r="2362" spans="1:18" x14ac:dyDescent="0.25">
      <c r="A2362" t="s">
        <v>2523</v>
      </c>
      <c r="B2362" t="s">
        <v>55</v>
      </c>
      <c r="C2362" t="s">
        <v>2490</v>
      </c>
      <c r="D2362" t="s">
        <v>2491</v>
      </c>
      <c r="E2362" t="s">
        <v>78</v>
      </c>
      <c r="F2362" t="s">
        <v>252</v>
      </c>
      <c r="G2362">
        <v>6.2186000000000003</v>
      </c>
      <c r="H2362">
        <v>-75.241699999999994</v>
      </c>
      <c r="I2362" t="s">
        <v>2492</v>
      </c>
      <c r="J2362">
        <v>11</v>
      </c>
      <c r="M2362">
        <v>55</v>
      </c>
      <c r="N2362">
        <v>0</v>
      </c>
      <c r="O2362">
        <v>8</v>
      </c>
      <c r="P2362">
        <v>14</v>
      </c>
      <c r="Q2362">
        <v>12</v>
      </c>
      <c r="R2362">
        <v>42</v>
      </c>
    </row>
    <row r="2363" spans="1:18" x14ac:dyDescent="0.25">
      <c r="A2363" t="s">
        <v>2524</v>
      </c>
      <c r="B2363" t="s">
        <v>55</v>
      </c>
      <c r="C2363" t="s">
        <v>2525</v>
      </c>
      <c r="D2363" t="s">
        <v>2526</v>
      </c>
      <c r="E2363" t="s">
        <v>78</v>
      </c>
      <c r="F2363" t="s">
        <v>252</v>
      </c>
      <c r="G2363">
        <v>7.0785999999999998</v>
      </c>
      <c r="H2363">
        <v>-74.698300000000003</v>
      </c>
      <c r="I2363" t="s">
        <v>2527</v>
      </c>
      <c r="J2363">
        <v>11</v>
      </c>
      <c r="M2363">
        <v>223</v>
      </c>
      <c r="N2363">
        <v>49</v>
      </c>
      <c r="O2363">
        <v>32</v>
      </c>
      <c r="P2363">
        <v>66</v>
      </c>
      <c r="Q2363">
        <v>33</v>
      </c>
      <c r="R2363">
        <v>40</v>
      </c>
    </row>
    <row r="2364" spans="1:18" x14ac:dyDescent="0.25">
      <c r="A2364" t="s">
        <v>2528</v>
      </c>
      <c r="B2364" t="s">
        <v>55</v>
      </c>
      <c r="C2364" t="s">
        <v>2525</v>
      </c>
      <c r="D2364" t="s">
        <v>2526</v>
      </c>
      <c r="E2364" t="s">
        <v>78</v>
      </c>
      <c r="F2364" t="s">
        <v>252</v>
      </c>
      <c r="G2364">
        <v>7.0785999999999998</v>
      </c>
      <c r="H2364">
        <v>-74.698300000000003</v>
      </c>
      <c r="I2364" t="s">
        <v>2527</v>
      </c>
      <c r="J2364">
        <v>11</v>
      </c>
      <c r="M2364">
        <v>222</v>
      </c>
      <c r="N2364">
        <v>59</v>
      </c>
      <c r="O2364">
        <v>36</v>
      </c>
      <c r="P2364">
        <v>46</v>
      </c>
      <c r="Q2364">
        <v>34</v>
      </c>
      <c r="R2364">
        <v>53</v>
      </c>
    </row>
    <row r="2365" spans="1:18" x14ac:dyDescent="0.25">
      <c r="A2365" t="s">
        <v>2529</v>
      </c>
      <c r="B2365" t="s">
        <v>55</v>
      </c>
      <c r="C2365" t="s">
        <v>2525</v>
      </c>
      <c r="D2365" t="s">
        <v>2526</v>
      </c>
      <c r="E2365" t="s">
        <v>78</v>
      </c>
      <c r="F2365" t="s">
        <v>252</v>
      </c>
      <c r="G2365">
        <v>7.0785999999999998</v>
      </c>
      <c r="H2365">
        <v>-74.698300000000003</v>
      </c>
      <c r="I2365" t="s">
        <v>2527</v>
      </c>
      <c r="J2365">
        <v>11</v>
      </c>
      <c r="M2365">
        <v>209</v>
      </c>
      <c r="N2365">
        <v>56</v>
      </c>
      <c r="O2365">
        <v>26</v>
      </c>
      <c r="P2365">
        <v>48</v>
      </c>
      <c r="Q2365">
        <v>31</v>
      </c>
      <c r="R2365">
        <v>60</v>
      </c>
    </row>
    <row r="2366" spans="1:18" x14ac:dyDescent="0.25">
      <c r="A2366" t="s">
        <v>2530</v>
      </c>
      <c r="B2366" t="s">
        <v>55</v>
      </c>
      <c r="C2366" t="s">
        <v>2525</v>
      </c>
      <c r="D2366" t="s">
        <v>2526</v>
      </c>
      <c r="E2366" t="s">
        <v>78</v>
      </c>
      <c r="F2366" t="s">
        <v>252</v>
      </c>
      <c r="G2366">
        <v>7.0785999999999998</v>
      </c>
      <c r="H2366">
        <v>-74.698300000000003</v>
      </c>
      <c r="I2366" t="s">
        <v>2527</v>
      </c>
      <c r="J2366">
        <v>11</v>
      </c>
      <c r="M2366">
        <v>208</v>
      </c>
      <c r="N2366">
        <v>51</v>
      </c>
      <c r="O2366">
        <v>24</v>
      </c>
      <c r="P2366">
        <v>48</v>
      </c>
      <c r="Q2366">
        <v>38</v>
      </c>
      <c r="R2366">
        <v>58</v>
      </c>
    </row>
    <row r="2367" spans="1:18" x14ac:dyDescent="0.25">
      <c r="A2367" t="s">
        <v>2531</v>
      </c>
      <c r="B2367" t="s">
        <v>55</v>
      </c>
      <c r="C2367" t="s">
        <v>2525</v>
      </c>
      <c r="D2367" t="s">
        <v>2526</v>
      </c>
      <c r="E2367" t="s">
        <v>78</v>
      </c>
      <c r="F2367" t="s">
        <v>252</v>
      </c>
      <c r="G2367">
        <v>7.0785999999999998</v>
      </c>
      <c r="H2367">
        <v>-74.698300000000003</v>
      </c>
      <c r="I2367" t="s">
        <v>2527</v>
      </c>
      <c r="J2367">
        <v>11</v>
      </c>
      <c r="M2367">
        <v>196</v>
      </c>
      <c r="N2367">
        <v>54</v>
      </c>
      <c r="O2367">
        <v>30</v>
      </c>
      <c r="P2367">
        <v>52</v>
      </c>
      <c r="Q2367">
        <v>22</v>
      </c>
      <c r="R2367">
        <v>36</v>
      </c>
    </row>
    <row r="2368" spans="1:18" x14ac:dyDescent="0.25">
      <c r="A2368" t="s">
        <v>2532</v>
      </c>
      <c r="B2368" t="s">
        <v>55</v>
      </c>
      <c r="C2368" t="s">
        <v>2525</v>
      </c>
      <c r="D2368" t="s">
        <v>2526</v>
      </c>
      <c r="E2368" t="s">
        <v>78</v>
      </c>
      <c r="F2368" t="s">
        <v>252</v>
      </c>
      <c r="G2368">
        <v>7.0785999999999998</v>
      </c>
      <c r="H2368">
        <v>-74.698300000000003</v>
      </c>
      <c r="I2368" t="s">
        <v>2527</v>
      </c>
      <c r="J2368">
        <v>11</v>
      </c>
      <c r="M2368">
        <v>196</v>
      </c>
      <c r="N2368">
        <v>51</v>
      </c>
      <c r="O2368">
        <v>26</v>
      </c>
      <c r="P2368">
        <v>50</v>
      </c>
      <c r="Q2368">
        <v>26</v>
      </c>
      <c r="R2368">
        <v>49</v>
      </c>
    </row>
    <row r="2369" spans="1:18" x14ac:dyDescent="0.25">
      <c r="A2369" t="s">
        <v>2533</v>
      </c>
      <c r="B2369" t="s">
        <v>55</v>
      </c>
      <c r="C2369" t="s">
        <v>2525</v>
      </c>
      <c r="D2369" t="s">
        <v>2526</v>
      </c>
      <c r="E2369" t="s">
        <v>78</v>
      </c>
      <c r="F2369" t="s">
        <v>252</v>
      </c>
      <c r="G2369">
        <v>7.0785999999999998</v>
      </c>
      <c r="H2369">
        <v>-74.698300000000003</v>
      </c>
      <c r="I2369" t="s">
        <v>2527</v>
      </c>
      <c r="J2369">
        <v>11</v>
      </c>
      <c r="M2369">
        <v>194</v>
      </c>
      <c r="N2369">
        <v>44</v>
      </c>
      <c r="O2369">
        <v>30</v>
      </c>
      <c r="P2369">
        <v>50</v>
      </c>
      <c r="Q2369">
        <v>33</v>
      </c>
      <c r="R2369">
        <v>35</v>
      </c>
    </row>
    <row r="2370" spans="1:18" x14ac:dyDescent="0.25">
      <c r="A2370" t="s">
        <v>2534</v>
      </c>
      <c r="B2370" t="s">
        <v>55</v>
      </c>
      <c r="C2370" t="s">
        <v>2525</v>
      </c>
      <c r="D2370" t="s">
        <v>2526</v>
      </c>
      <c r="E2370" t="s">
        <v>78</v>
      </c>
      <c r="F2370" t="s">
        <v>252</v>
      </c>
      <c r="G2370">
        <v>7.0785999999999998</v>
      </c>
      <c r="H2370">
        <v>-74.698300000000003</v>
      </c>
      <c r="I2370" t="s">
        <v>2527</v>
      </c>
      <c r="J2370">
        <v>11</v>
      </c>
      <c r="M2370">
        <v>189</v>
      </c>
      <c r="N2370">
        <v>22</v>
      </c>
      <c r="O2370">
        <v>34</v>
      </c>
      <c r="P2370">
        <v>68</v>
      </c>
      <c r="Q2370">
        <v>29</v>
      </c>
      <c r="R2370">
        <v>31</v>
      </c>
    </row>
    <row r="2371" spans="1:18" x14ac:dyDescent="0.25">
      <c r="A2371" t="s">
        <v>2535</v>
      </c>
      <c r="B2371" t="s">
        <v>55</v>
      </c>
      <c r="C2371" t="s">
        <v>2525</v>
      </c>
      <c r="D2371" t="s">
        <v>2526</v>
      </c>
      <c r="E2371" t="s">
        <v>78</v>
      </c>
      <c r="F2371" t="s">
        <v>252</v>
      </c>
      <c r="G2371">
        <v>7.0785999999999998</v>
      </c>
      <c r="H2371">
        <v>-74.698300000000003</v>
      </c>
      <c r="I2371" t="s">
        <v>2527</v>
      </c>
      <c r="J2371">
        <v>11</v>
      </c>
      <c r="M2371">
        <v>186</v>
      </c>
      <c r="N2371">
        <v>34</v>
      </c>
      <c r="O2371">
        <v>34</v>
      </c>
      <c r="P2371">
        <v>52</v>
      </c>
      <c r="Q2371">
        <v>29</v>
      </c>
      <c r="R2371">
        <v>35</v>
      </c>
    </row>
    <row r="2372" spans="1:18" x14ac:dyDescent="0.25">
      <c r="A2372" t="s">
        <v>2536</v>
      </c>
      <c r="B2372" t="s">
        <v>55</v>
      </c>
      <c r="C2372" t="s">
        <v>2525</v>
      </c>
      <c r="D2372" t="s">
        <v>2526</v>
      </c>
      <c r="E2372" t="s">
        <v>78</v>
      </c>
      <c r="F2372" t="s">
        <v>252</v>
      </c>
      <c r="G2372">
        <v>7.0785999999999998</v>
      </c>
      <c r="H2372">
        <v>-74.698300000000003</v>
      </c>
      <c r="I2372" t="s">
        <v>2527</v>
      </c>
      <c r="J2372">
        <v>11</v>
      </c>
      <c r="M2372">
        <v>185</v>
      </c>
      <c r="N2372">
        <v>39</v>
      </c>
      <c r="O2372">
        <v>20</v>
      </c>
      <c r="P2372">
        <v>58</v>
      </c>
      <c r="Q2372">
        <v>29</v>
      </c>
      <c r="R2372">
        <v>42</v>
      </c>
    </row>
    <row r="2373" spans="1:18" x14ac:dyDescent="0.25">
      <c r="A2373" t="s">
        <v>2537</v>
      </c>
      <c r="B2373" t="s">
        <v>55</v>
      </c>
      <c r="C2373" t="s">
        <v>2525</v>
      </c>
      <c r="D2373" t="s">
        <v>2526</v>
      </c>
      <c r="E2373" t="s">
        <v>78</v>
      </c>
      <c r="F2373" t="s">
        <v>252</v>
      </c>
      <c r="G2373">
        <v>7.0785999999999998</v>
      </c>
      <c r="H2373">
        <v>-74.698300000000003</v>
      </c>
      <c r="I2373" t="s">
        <v>2527</v>
      </c>
      <c r="J2373">
        <v>11</v>
      </c>
      <c r="M2373">
        <v>180</v>
      </c>
      <c r="N2373">
        <v>49</v>
      </c>
      <c r="O2373">
        <v>32</v>
      </c>
      <c r="P2373">
        <v>34</v>
      </c>
      <c r="Q2373">
        <v>24</v>
      </c>
      <c r="R2373">
        <v>51</v>
      </c>
    </row>
    <row r="2374" spans="1:18" x14ac:dyDescent="0.25">
      <c r="A2374" t="s">
        <v>2538</v>
      </c>
      <c r="B2374" t="s">
        <v>55</v>
      </c>
      <c r="C2374" t="s">
        <v>2525</v>
      </c>
      <c r="D2374" t="s">
        <v>2526</v>
      </c>
      <c r="E2374" t="s">
        <v>78</v>
      </c>
      <c r="F2374" t="s">
        <v>252</v>
      </c>
      <c r="G2374">
        <v>7.0785999999999998</v>
      </c>
      <c r="H2374">
        <v>-74.698300000000003</v>
      </c>
      <c r="I2374" t="s">
        <v>2527</v>
      </c>
      <c r="J2374">
        <v>11</v>
      </c>
      <c r="M2374">
        <v>177</v>
      </c>
      <c r="N2374">
        <v>29</v>
      </c>
      <c r="O2374">
        <v>34</v>
      </c>
      <c r="P2374">
        <v>40</v>
      </c>
      <c r="Q2374">
        <v>40</v>
      </c>
      <c r="R2374">
        <v>33</v>
      </c>
    </row>
    <row r="2375" spans="1:18" x14ac:dyDescent="0.25">
      <c r="A2375" t="s">
        <v>2539</v>
      </c>
      <c r="B2375" t="s">
        <v>55</v>
      </c>
      <c r="C2375" t="s">
        <v>2525</v>
      </c>
      <c r="D2375" t="s">
        <v>2526</v>
      </c>
      <c r="E2375" t="s">
        <v>78</v>
      </c>
      <c r="F2375" t="s">
        <v>252</v>
      </c>
      <c r="G2375">
        <v>7.0785999999999998</v>
      </c>
      <c r="H2375">
        <v>-74.698300000000003</v>
      </c>
      <c r="I2375" t="s">
        <v>2527</v>
      </c>
      <c r="J2375">
        <v>11</v>
      </c>
      <c r="M2375">
        <v>177</v>
      </c>
      <c r="N2375">
        <v>44</v>
      </c>
      <c r="O2375">
        <v>22</v>
      </c>
      <c r="P2375">
        <v>42</v>
      </c>
      <c r="Q2375">
        <v>28</v>
      </c>
      <c r="R2375">
        <v>53</v>
      </c>
    </row>
    <row r="2376" spans="1:18" x14ac:dyDescent="0.25">
      <c r="A2376" t="s">
        <v>2540</v>
      </c>
      <c r="B2376" t="s">
        <v>55</v>
      </c>
      <c r="C2376" t="s">
        <v>2525</v>
      </c>
      <c r="D2376" t="s">
        <v>2526</v>
      </c>
      <c r="E2376" t="s">
        <v>78</v>
      </c>
      <c r="F2376" t="s">
        <v>252</v>
      </c>
      <c r="G2376">
        <v>7.0785999999999998</v>
      </c>
      <c r="H2376">
        <v>-74.698300000000003</v>
      </c>
      <c r="I2376" t="s">
        <v>2527</v>
      </c>
      <c r="J2376">
        <v>11</v>
      </c>
      <c r="M2376">
        <v>176</v>
      </c>
      <c r="N2376">
        <v>54</v>
      </c>
      <c r="O2376">
        <v>18</v>
      </c>
      <c r="P2376">
        <v>38</v>
      </c>
      <c r="Q2376">
        <v>29</v>
      </c>
      <c r="R2376">
        <v>40</v>
      </c>
    </row>
    <row r="2377" spans="1:18" x14ac:dyDescent="0.25">
      <c r="A2377" t="s">
        <v>2541</v>
      </c>
      <c r="B2377" t="s">
        <v>55</v>
      </c>
      <c r="C2377" t="s">
        <v>2525</v>
      </c>
      <c r="D2377" t="s">
        <v>2526</v>
      </c>
      <c r="E2377" t="s">
        <v>78</v>
      </c>
      <c r="F2377" t="s">
        <v>252</v>
      </c>
      <c r="G2377">
        <v>7.0785999999999998</v>
      </c>
      <c r="H2377">
        <v>-74.698300000000003</v>
      </c>
      <c r="I2377" t="s">
        <v>2527</v>
      </c>
      <c r="J2377">
        <v>11</v>
      </c>
      <c r="M2377">
        <v>175</v>
      </c>
      <c r="N2377">
        <v>46</v>
      </c>
      <c r="O2377">
        <v>20</v>
      </c>
      <c r="P2377">
        <v>50</v>
      </c>
      <c r="Q2377">
        <v>24</v>
      </c>
      <c r="R2377">
        <v>35</v>
      </c>
    </row>
    <row r="2378" spans="1:18" x14ac:dyDescent="0.25">
      <c r="A2378" t="s">
        <v>2542</v>
      </c>
      <c r="B2378" t="s">
        <v>55</v>
      </c>
      <c r="C2378" t="s">
        <v>2525</v>
      </c>
      <c r="D2378" t="s">
        <v>2526</v>
      </c>
      <c r="E2378" t="s">
        <v>78</v>
      </c>
      <c r="F2378" t="s">
        <v>252</v>
      </c>
      <c r="G2378">
        <v>7.0785999999999998</v>
      </c>
      <c r="H2378">
        <v>-74.698300000000003</v>
      </c>
      <c r="I2378" t="s">
        <v>2527</v>
      </c>
      <c r="J2378">
        <v>11</v>
      </c>
      <c r="M2378">
        <v>175</v>
      </c>
      <c r="N2378">
        <v>20</v>
      </c>
      <c r="O2378">
        <v>38</v>
      </c>
      <c r="P2378">
        <v>50</v>
      </c>
      <c r="Q2378">
        <v>33</v>
      </c>
      <c r="R2378">
        <v>35</v>
      </c>
    </row>
    <row r="2379" spans="1:18" x14ac:dyDescent="0.25">
      <c r="A2379" t="s">
        <v>2543</v>
      </c>
      <c r="B2379" t="s">
        <v>55</v>
      </c>
      <c r="C2379" t="s">
        <v>2525</v>
      </c>
      <c r="D2379" t="s">
        <v>2526</v>
      </c>
      <c r="E2379" t="s">
        <v>78</v>
      </c>
      <c r="F2379" t="s">
        <v>252</v>
      </c>
      <c r="G2379">
        <v>7.0785999999999998</v>
      </c>
      <c r="H2379">
        <v>-74.698300000000003</v>
      </c>
      <c r="I2379" t="s">
        <v>2527</v>
      </c>
      <c r="J2379">
        <v>11</v>
      </c>
      <c r="M2379">
        <v>173</v>
      </c>
      <c r="N2379">
        <v>37</v>
      </c>
      <c r="O2379">
        <v>34</v>
      </c>
      <c r="P2379">
        <v>36</v>
      </c>
      <c r="Q2379">
        <v>33</v>
      </c>
      <c r="R2379">
        <v>33</v>
      </c>
    </row>
    <row r="2380" spans="1:18" x14ac:dyDescent="0.25">
      <c r="A2380" t="s">
        <v>2544</v>
      </c>
      <c r="B2380" t="s">
        <v>55</v>
      </c>
      <c r="C2380" t="s">
        <v>2525</v>
      </c>
      <c r="D2380" t="s">
        <v>2526</v>
      </c>
      <c r="E2380" t="s">
        <v>78</v>
      </c>
      <c r="F2380" t="s">
        <v>252</v>
      </c>
      <c r="G2380">
        <v>7.0785999999999998</v>
      </c>
      <c r="H2380">
        <v>-74.698300000000003</v>
      </c>
      <c r="I2380" t="s">
        <v>2527</v>
      </c>
      <c r="J2380">
        <v>11</v>
      </c>
      <c r="M2380">
        <v>171</v>
      </c>
      <c r="N2380">
        <v>39</v>
      </c>
      <c r="O2380">
        <v>38</v>
      </c>
      <c r="P2380">
        <v>40</v>
      </c>
      <c r="Q2380">
        <v>21</v>
      </c>
      <c r="R2380">
        <v>33</v>
      </c>
    </row>
    <row r="2381" spans="1:18" x14ac:dyDescent="0.25">
      <c r="A2381" t="s">
        <v>2545</v>
      </c>
      <c r="B2381" t="s">
        <v>55</v>
      </c>
      <c r="C2381" t="s">
        <v>2525</v>
      </c>
      <c r="D2381" t="s">
        <v>2526</v>
      </c>
      <c r="E2381" t="s">
        <v>78</v>
      </c>
      <c r="F2381" t="s">
        <v>252</v>
      </c>
      <c r="G2381">
        <v>7.0785999999999998</v>
      </c>
      <c r="H2381">
        <v>-74.698300000000003</v>
      </c>
      <c r="I2381" t="s">
        <v>2527</v>
      </c>
      <c r="J2381">
        <v>11</v>
      </c>
      <c r="M2381">
        <v>171</v>
      </c>
      <c r="N2381">
        <v>29</v>
      </c>
      <c r="O2381">
        <v>24</v>
      </c>
      <c r="P2381">
        <v>46</v>
      </c>
      <c r="Q2381">
        <v>29</v>
      </c>
      <c r="R2381">
        <v>58</v>
      </c>
    </row>
    <row r="2382" spans="1:18" x14ac:dyDescent="0.25">
      <c r="A2382" t="s">
        <v>2546</v>
      </c>
      <c r="B2382" t="s">
        <v>55</v>
      </c>
      <c r="C2382" t="s">
        <v>2525</v>
      </c>
      <c r="D2382" t="s">
        <v>2526</v>
      </c>
      <c r="E2382" t="s">
        <v>78</v>
      </c>
      <c r="F2382" t="s">
        <v>252</v>
      </c>
      <c r="G2382">
        <v>7.0785999999999998</v>
      </c>
      <c r="H2382">
        <v>-74.698300000000003</v>
      </c>
      <c r="I2382" t="s">
        <v>2527</v>
      </c>
      <c r="J2382">
        <v>11</v>
      </c>
      <c r="M2382">
        <v>162</v>
      </c>
      <c r="N2382">
        <v>59</v>
      </c>
      <c r="O2382">
        <v>18</v>
      </c>
      <c r="P2382">
        <v>34</v>
      </c>
      <c r="Q2382">
        <v>17</v>
      </c>
      <c r="R2382">
        <v>38</v>
      </c>
    </row>
    <row r="2383" spans="1:18" x14ac:dyDescent="0.25">
      <c r="A2383" t="s">
        <v>2547</v>
      </c>
      <c r="B2383" t="s">
        <v>55</v>
      </c>
      <c r="C2383" t="s">
        <v>2525</v>
      </c>
      <c r="D2383" t="s">
        <v>2526</v>
      </c>
      <c r="E2383" t="s">
        <v>78</v>
      </c>
      <c r="F2383" t="s">
        <v>252</v>
      </c>
      <c r="G2383">
        <v>7.0785999999999998</v>
      </c>
      <c r="H2383">
        <v>-74.698300000000003</v>
      </c>
      <c r="I2383" t="s">
        <v>2527</v>
      </c>
      <c r="J2383">
        <v>11</v>
      </c>
      <c r="M2383">
        <v>149</v>
      </c>
      <c r="N2383">
        <v>39</v>
      </c>
      <c r="O2383">
        <v>20</v>
      </c>
      <c r="P2383">
        <v>28</v>
      </c>
      <c r="Q2383">
        <v>33</v>
      </c>
      <c r="R2383">
        <v>27</v>
      </c>
    </row>
    <row r="2384" spans="1:18" x14ac:dyDescent="0.25">
      <c r="A2384" t="s">
        <v>2548</v>
      </c>
      <c r="B2384" t="s">
        <v>55</v>
      </c>
      <c r="C2384" t="s">
        <v>2525</v>
      </c>
      <c r="D2384" t="s">
        <v>2526</v>
      </c>
      <c r="E2384" t="s">
        <v>78</v>
      </c>
      <c r="F2384" t="s">
        <v>252</v>
      </c>
      <c r="G2384">
        <v>7.0785999999999998</v>
      </c>
      <c r="H2384">
        <v>-74.698300000000003</v>
      </c>
      <c r="I2384" t="s">
        <v>2527</v>
      </c>
      <c r="J2384">
        <v>11</v>
      </c>
      <c r="M2384">
        <v>145</v>
      </c>
      <c r="N2384">
        <v>32</v>
      </c>
      <c r="O2384">
        <v>30</v>
      </c>
      <c r="P2384">
        <v>32</v>
      </c>
      <c r="Q2384">
        <v>24</v>
      </c>
      <c r="R2384">
        <v>24</v>
      </c>
    </row>
    <row r="2385" spans="1:18" x14ac:dyDescent="0.25">
      <c r="A2385" t="s">
        <v>2549</v>
      </c>
      <c r="B2385" t="s">
        <v>55</v>
      </c>
      <c r="C2385" t="s">
        <v>2525</v>
      </c>
      <c r="D2385" t="s">
        <v>2526</v>
      </c>
      <c r="E2385" t="s">
        <v>78</v>
      </c>
      <c r="F2385" t="s">
        <v>252</v>
      </c>
      <c r="G2385">
        <v>7.0785999999999998</v>
      </c>
      <c r="H2385">
        <v>-74.698300000000003</v>
      </c>
      <c r="I2385" t="s">
        <v>2527</v>
      </c>
      <c r="J2385">
        <v>11</v>
      </c>
      <c r="M2385">
        <v>137</v>
      </c>
      <c r="N2385">
        <v>27</v>
      </c>
      <c r="O2385">
        <v>30</v>
      </c>
      <c r="P2385">
        <v>32</v>
      </c>
      <c r="Q2385">
        <v>24</v>
      </c>
      <c r="R2385">
        <v>16</v>
      </c>
    </row>
    <row r="2386" spans="1:18" x14ac:dyDescent="0.25">
      <c r="A2386" t="s">
        <v>2550</v>
      </c>
      <c r="B2386" t="s">
        <v>55</v>
      </c>
      <c r="C2386" t="s">
        <v>2551</v>
      </c>
      <c r="D2386" t="s">
        <v>2552</v>
      </c>
      <c r="E2386" t="s">
        <v>78</v>
      </c>
      <c r="F2386" t="s">
        <v>252</v>
      </c>
      <c r="G2386">
        <v>7.0269000000000004</v>
      </c>
      <c r="H2386">
        <v>-74.697500000000005</v>
      </c>
      <c r="I2386" t="s">
        <v>2553</v>
      </c>
      <c r="J2386">
        <v>11</v>
      </c>
      <c r="M2386">
        <v>259</v>
      </c>
      <c r="N2386">
        <v>68</v>
      </c>
      <c r="O2386">
        <v>50</v>
      </c>
      <c r="P2386">
        <v>62</v>
      </c>
      <c r="Q2386">
        <v>31</v>
      </c>
      <c r="R2386">
        <v>40</v>
      </c>
    </row>
    <row r="2387" spans="1:18" x14ac:dyDescent="0.25">
      <c r="A2387" t="s">
        <v>2554</v>
      </c>
      <c r="B2387" t="s">
        <v>55</v>
      </c>
      <c r="C2387" t="s">
        <v>2551</v>
      </c>
      <c r="D2387" t="s">
        <v>2552</v>
      </c>
      <c r="E2387" t="s">
        <v>78</v>
      </c>
      <c r="F2387" t="s">
        <v>252</v>
      </c>
      <c r="G2387">
        <v>7.0269000000000004</v>
      </c>
      <c r="H2387">
        <v>-74.697500000000005</v>
      </c>
      <c r="I2387" t="s">
        <v>2553</v>
      </c>
      <c r="J2387">
        <v>11</v>
      </c>
      <c r="M2387">
        <v>251</v>
      </c>
      <c r="N2387">
        <v>44</v>
      </c>
      <c r="O2387">
        <v>38</v>
      </c>
      <c r="P2387">
        <v>74</v>
      </c>
      <c r="Q2387">
        <v>43</v>
      </c>
      <c r="R2387">
        <v>56</v>
      </c>
    </row>
    <row r="2388" spans="1:18" x14ac:dyDescent="0.25">
      <c r="A2388" t="s">
        <v>2555</v>
      </c>
      <c r="B2388" t="s">
        <v>55</v>
      </c>
      <c r="C2388" t="s">
        <v>2551</v>
      </c>
      <c r="D2388" t="s">
        <v>2552</v>
      </c>
      <c r="E2388" t="s">
        <v>78</v>
      </c>
      <c r="F2388" t="s">
        <v>252</v>
      </c>
      <c r="G2388">
        <v>7.0269000000000004</v>
      </c>
      <c r="H2388">
        <v>-74.697500000000005</v>
      </c>
      <c r="I2388" t="s">
        <v>2553</v>
      </c>
      <c r="J2388">
        <v>11</v>
      </c>
      <c r="M2388">
        <v>247</v>
      </c>
      <c r="N2388">
        <v>44</v>
      </c>
      <c r="O2388">
        <v>40</v>
      </c>
      <c r="P2388">
        <v>78</v>
      </c>
      <c r="Q2388">
        <v>33</v>
      </c>
      <c r="R2388">
        <v>58</v>
      </c>
    </row>
    <row r="2389" spans="1:18" x14ac:dyDescent="0.25">
      <c r="A2389" t="s">
        <v>2556</v>
      </c>
      <c r="B2389" t="s">
        <v>55</v>
      </c>
      <c r="C2389" t="s">
        <v>2551</v>
      </c>
      <c r="D2389" t="s">
        <v>2552</v>
      </c>
      <c r="E2389" t="s">
        <v>78</v>
      </c>
      <c r="F2389" t="s">
        <v>252</v>
      </c>
      <c r="G2389">
        <v>7.0269000000000004</v>
      </c>
      <c r="H2389">
        <v>-74.697500000000005</v>
      </c>
      <c r="I2389" t="s">
        <v>2553</v>
      </c>
      <c r="J2389">
        <v>11</v>
      </c>
      <c r="M2389">
        <v>244</v>
      </c>
      <c r="N2389">
        <v>44</v>
      </c>
      <c r="O2389">
        <v>36</v>
      </c>
      <c r="P2389">
        <v>72</v>
      </c>
      <c r="Q2389">
        <v>40</v>
      </c>
      <c r="R2389">
        <v>60</v>
      </c>
    </row>
    <row r="2390" spans="1:18" x14ac:dyDescent="0.25">
      <c r="A2390" t="s">
        <v>2557</v>
      </c>
      <c r="B2390" t="s">
        <v>55</v>
      </c>
      <c r="C2390" t="s">
        <v>2551</v>
      </c>
      <c r="D2390" t="s">
        <v>2552</v>
      </c>
      <c r="E2390" t="s">
        <v>78</v>
      </c>
      <c r="F2390" t="s">
        <v>252</v>
      </c>
      <c r="G2390">
        <v>7.0269000000000004</v>
      </c>
      <c r="H2390">
        <v>-74.697500000000005</v>
      </c>
      <c r="I2390" t="s">
        <v>2553</v>
      </c>
      <c r="J2390">
        <v>11</v>
      </c>
      <c r="M2390">
        <v>244</v>
      </c>
      <c r="N2390">
        <v>44</v>
      </c>
      <c r="O2390">
        <v>36</v>
      </c>
      <c r="P2390">
        <v>76</v>
      </c>
      <c r="Q2390">
        <v>36</v>
      </c>
      <c r="R2390">
        <v>58</v>
      </c>
    </row>
    <row r="2391" spans="1:18" x14ac:dyDescent="0.25">
      <c r="A2391" t="s">
        <v>2558</v>
      </c>
      <c r="B2391" t="s">
        <v>55</v>
      </c>
      <c r="C2391" t="s">
        <v>2551</v>
      </c>
      <c r="D2391" t="s">
        <v>2552</v>
      </c>
      <c r="E2391" t="s">
        <v>78</v>
      </c>
      <c r="F2391" t="s">
        <v>252</v>
      </c>
      <c r="G2391">
        <v>7.0269000000000004</v>
      </c>
      <c r="H2391">
        <v>-74.697500000000005</v>
      </c>
      <c r="I2391" t="s">
        <v>2553</v>
      </c>
      <c r="J2391">
        <v>11</v>
      </c>
      <c r="M2391">
        <v>238</v>
      </c>
      <c r="N2391">
        <v>44</v>
      </c>
      <c r="O2391">
        <v>38</v>
      </c>
      <c r="P2391">
        <v>64</v>
      </c>
      <c r="Q2391">
        <v>41</v>
      </c>
      <c r="R2391">
        <v>58</v>
      </c>
    </row>
    <row r="2392" spans="1:18" x14ac:dyDescent="0.25">
      <c r="A2392" t="s">
        <v>2559</v>
      </c>
      <c r="B2392" t="s">
        <v>55</v>
      </c>
      <c r="C2392" t="s">
        <v>2551</v>
      </c>
      <c r="D2392" t="s">
        <v>2552</v>
      </c>
      <c r="E2392" t="s">
        <v>78</v>
      </c>
      <c r="F2392" t="s">
        <v>252</v>
      </c>
      <c r="G2392">
        <v>7.0269000000000004</v>
      </c>
      <c r="H2392">
        <v>-74.697500000000005</v>
      </c>
      <c r="I2392" t="s">
        <v>2553</v>
      </c>
      <c r="J2392">
        <v>11</v>
      </c>
      <c r="M2392">
        <v>235</v>
      </c>
      <c r="N2392">
        <v>63</v>
      </c>
      <c r="O2392">
        <v>38</v>
      </c>
      <c r="P2392">
        <v>52</v>
      </c>
      <c r="Q2392">
        <v>28</v>
      </c>
      <c r="R2392">
        <v>69</v>
      </c>
    </row>
    <row r="2393" spans="1:18" x14ac:dyDescent="0.25">
      <c r="A2393" t="s">
        <v>2560</v>
      </c>
      <c r="B2393" t="s">
        <v>55</v>
      </c>
      <c r="C2393" t="s">
        <v>2551</v>
      </c>
      <c r="D2393" t="s">
        <v>2552</v>
      </c>
      <c r="E2393" t="s">
        <v>78</v>
      </c>
      <c r="F2393" t="s">
        <v>252</v>
      </c>
      <c r="G2393">
        <v>7.0269000000000004</v>
      </c>
      <c r="H2393">
        <v>-74.697500000000005</v>
      </c>
      <c r="I2393" t="s">
        <v>2553</v>
      </c>
      <c r="J2393">
        <v>11</v>
      </c>
      <c r="M2393">
        <v>208</v>
      </c>
      <c r="N2393">
        <v>49</v>
      </c>
      <c r="O2393">
        <v>38</v>
      </c>
      <c r="P2393">
        <v>28</v>
      </c>
      <c r="Q2393">
        <v>47</v>
      </c>
      <c r="R2393">
        <v>56</v>
      </c>
    </row>
    <row r="2394" spans="1:18" x14ac:dyDescent="0.25">
      <c r="A2394" t="s">
        <v>2561</v>
      </c>
      <c r="B2394" t="s">
        <v>55</v>
      </c>
      <c r="C2394" t="s">
        <v>2551</v>
      </c>
      <c r="D2394" t="s">
        <v>2552</v>
      </c>
      <c r="E2394" t="s">
        <v>78</v>
      </c>
      <c r="F2394" t="s">
        <v>252</v>
      </c>
      <c r="G2394">
        <v>7.0269000000000004</v>
      </c>
      <c r="H2394">
        <v>-74.697500000000005</v>
      </c>
      <c r="I2394" t="s">
        <v>2553</v>
      </c>
      <c r="J2394">
        <v>11</v>
      </c>
      <c r="M2394">
        <v>201</v>
      </c>
      <c r="N2394">
        <v>51</v>
      </c>
      <c r="O2394">
        <v>28</v>
      </c>
      <c r="P2394">
        <v>48</v>
      </c>
      <c r="Q2394">
        <v>34</v>
      </c>
      <c r="R2394">
        <v>38</v>
      </c>
    </row>
    <row r="2395" spans="1:18" x14ac:dyDescent="0.25">
      <c r="A2395" t="s">
        <v>2562</v>
      </c>
      <c r="B2395" t="s">
        <v>55</v>
      </c>
      <c r="C2395" t="s">
        <v>2551</v>
      </c>
      <c r="D2395" t="s">
        <v>2552</v>
      </c>
      <c r="E2395" t="s">
        <v>78</v>
      </c>
      <c r="F2395" t="s">
        <v>252</v>
      </c>
      <c r="G2395">
        <v>7.0269000000000004</v>
      </c>
      <c r="H2395">
        <v>-74.697500000000005</v>
      </c>
      <c r="I2395" t="s">
        <v>2553</v>
      </c>
      <c r="J2395">
        <v>11</v>
      </c>
      <c r="M2395">
        <v>199</v>
      </c>
      <c r="N2395">
        <v>39</v>
      </c>
      <c r="O2395">
        <v>36</v>
      </c>
      <c r="P2395">
        <v>42</v>
      </c>
      <c r="Q2395">
        <v>45</v>
      </c>
      <c r="R2395">
        <v>33</v>
      </c>
    </row>
    <row r="2396" spans="1:18" x14ac:dyDescent="0.25">
      <c r="A2396" t="s">
        <v>2563</v>
      </c>
      <c r="B2396" t="s">
        <v>55</v>
      </c>
      <c r="C2396" t="s">
        <v>2551</v>
      </c>
      <c r="D2396" t="s">
        <v>2552</v>
      </c>
      <c r="E2396" t="s">
        <v>78</v>
      </c>
      <c r="F2396" t="s">
        <v>252</v>
      </c>
      <c r="G2396">
        <v>7.0269000000000004</v>
      </c>
      <c r="H2396">
        <v>-74.697500000000005</v>
      </c>
      <c r="I2396" t="s">
        <v>2553</v>
      </c>
      <c r="J2396">
        <v>11</v>
      </c>
      <c r="M2396">
        <v>194</v>
      </c>
      <c r="N2396">
        <v>44</v>
      </c>
      <c r="O2396">
        <v>36</v>
      </c>
      <c r="P2396">
        <v>40</v>
      </c>
      <c r="Q2396">
        <v>33</v>
      </c>
      <c r="R2396">
        <v>45</v>
      </c>
    </row>
    <row r="2397" spans="1:18" x14ac:dyDescent="0.25">
      <c r="A2397" t="s">
        <v>2564</v>
      </c>
      <c r="B2397" t="s">
        <v>55</v>
      </c>
      <c r="C2397" t="s">
        <v>2551</v>
      </c>
      <c r="D2397" t="s">
        <v>2552</v>
      </c>
      <c r="E2397" t="s">
        <v>78</v>
      </c>
      <c r="F2397" t="s">
        <v>252</v>
      </c>
      <c r="G2397">
        <v>7.0269000000000004</v>
      </c>
      <c r="H2397">
        <v>-74.697500000000005</v>
      </c>
      <c r="I2397" t="s">
        <v>2553</v>
      </c>
      <c r="J2397">
        <v>11</v>
      </c>
      <c r="M2397">
        <v>189</v>
      </c>
      <c r="N2397">
        <v>41</v>
      </c>
      <c r="O2397">
        <v>28</v>
      </c>
      <c r="P2397">
        <v>36</v>
      </c>
      <c r="Q2397">
        <v>40</v>
      </c>
      <c r="R2397">
        <v>56</v>
      </c>
    </row>
    <row r="2398" spans="1:18" x14ac:dyDescent="0.25">
      <c r="A2398" t="s">
        <v>2565</v>
      </c>
      <c r="B2398" t="s">
        <v>55</v>
      </c>
      <c r="C2398" t="s">
        <v>2551</v>
      </c>
      <c r="D2398" t="s">
        <v>2552</v>
      </c>
      <c r="E2398" t="s">
        <v>78</v>
      </c>
      <c r="F2398" t="s">
        <v>252</v>
      </c>
      <c r="G2398">
        <v>7.0269000000000004</v>
      </c>
      <c r="H2398">
        <v>-74.697500000000005</v>
      </c>
      <c r="I2398" t="s">
        <v>2553</v>
      </c>
      <c r="J2398">
        <v>11</v>
      </c>
      <c r="M2398">
        <v>186</v>
      </c>
      <c r="N2398">
        <v>49</v>
      </c>
      <c r="O2398">
        <v>30</v>
      </c>
      <c r="P2398">
        <v>28</v>
      </c>
      <c r="Q2398">
        <v>31</v>
      </c>
      <c r="R2398">
        <v>71</v>
      </c>
    </row>
    <row r="2399" spans="1:18" x14ac:dyDescent="0.25">
      <c r="A2399" t="s">
        <v>2566</v>
      </c>
      <c r="B2399" t="s">
        <v>55</v>
      </c>
      <c r="C2399" t="s">
        <v>2551</v>
      </c>
      <c r="D2399" t="s">
        <v>2552</v>
      </c>
      <c r="E2399" t="s">
        <v>78</v>
      </c>
      <c r="F2399" t="s">
        <v>252</v>
      </c>
      <c r="G2399">
        <v>7.0269000000000004</v>
      </c>
      <c r="H2399">
        <v>-74.697500000000005</v>
      </c>
      <c r="I2399" t="s">
        <v>2553</v>
      </c>
      <c r="J2399">
        <v>11</v>
      </c>
      <c r="M2399">
        <v>185</v>
      </c>
      <c r="N2399">
        <v>61</v>
      </c>
      <c r="O2399">
        <v>24</v>
      </c>
      <c r="P2399">
        <v>36</v>
      </c>
      <c r="Q2399">
        <v>24</v>
      </c>
      <c r="R2399">
        <v>45</v>
      </c>
    </row>
    <row r="2400" spans="1:18" x14ac:dyDescent="0.25">
      <c r="A2400" t="s">
        <v>2567</v>
      </c>
      <c r="B2400" t="s">
        <v>55</v>
      </c>
      <c r="C2400" t="s">
        <v>2551</v>
      </c>
      <c r="D2400" t="s">
        <v>2552</v>
      </c>
      <c r="E2400" t="s">
        <v>78</v>
      </c>
      <c r="F2400" t="s">
        <v>252</v>
      </c>
      <c r="G2400">
        <v>7.0269000000000004</v>
      </c>
      <c r="H2400">
        <v>-74.697500000000005</v>
      </c>
      <c r="I2400" t="s">
        <v>2553</v>
      </c>
      <c r="J2400">
        <v>11</v>
      </c>
      <c r="M2400">
        <v>183</v>
      </c>
      <c r="N2400">
        <v>46</v>
      </c>
      <c r="O2400">
        <v>36</v>
      </c>
      <c r="P2400">
        <v>26</v>
      </c>
      <c r="Q2400">
        <v>29</v>
      </c>
      <c r="R2400">
        <v>62</v>
      </c>
    </row>
    <row r="2401" spans="1:18" x14ac:dyDescent="0.25">
      <c r="A2401" t="s">
        <v>2568</v>
      </c>
      <c r="B2401" t="s">
        <v>55</v>
      </c>
      <c r="C2401" t="s">
        <v>2551</v>
      </c>
      <c r="D2401" t="s">
        <v>2552</v>
      </c>
      <c r="E2401" t="s">
        <v>78</v>
      </c>
      <c r="F2401" t="s">
        <v>252</v>
      </c>
      <c r="G2401">
        <v>7.0269000000000004</v>
      </c>
      <c r="H2401">
        <v>-74.697500000000005</v>
      </c>
      <c r="I2401" t="s">
        <v>2553</v>
      </c>
      <c r="J2401">
        <v>11</v>
      </c>
      <c r="M2401">
        <v>180</v>
      </c>
      <c r="N2401">
        <v>29</v>
      </c>
      <c r="O2401">
        <v>28</v>
      </c>
      <c r="P2401">
        <v>52</v>
      </c>
      <c r="Q2401">
        <v>28</v>
      </c>
      <c r="R2401">
        <v>58</v>
      </c>
    </row>
    <row r="2402" spans="1:18" x14ac:dyDescent="0.25">
      <c r="A2402" t="s">
        <v>2569</v>
      </c>
      <c r="B2402" t="s">
        <v>55</v>
      </c>
      <c r="C2402" t="s">
        <v>2551</v>
      </c>
      <c r="D2402" t="s">
        <v>2552</v>
      </c>
      <c r="E2402" t="s">
        <v>78</v>
      </c>
      <c r="F2402" t="s">
        <v>252</v>
      </c>
      <c r="G2402">
        <v>7.0269000000000004</v>
      </c>
      <c r="H2402">
        <v>-74.697500000000005</v>
      </c>
      <c r="I2402" t="s">
        <v>2553</v>
      </c>
      <c r="J2402">
        <v>11</v>
      </c>
      <c r="M2402">
        <v>178</v>
      </c>
      <c r="N2402">
        <v>37</v>
      </c>
      <c r="O2402">
        <v>28</v>
      </c>
      <c r="P2402">
        <v>34</v>
      </c>
      <c r="Q2402">
        <v>40</v>
      </c>
      <c r="R2402">
        <v>49</v>
      </c>
    </row>
    <row r="2403" spans="1:18" x14ac:dyDescent="0.25">
      <c r="A2403" t="s">
        <v>2570</v>
      </c>
      <c r="B2403" t="s">
        <v>55</v>
      </c>
      <c r="C2403" t="s">
        <v>2551</v>
      </c>
      <c r="D2403" t="s">
        <v>2552</v>
      </c>
      <c r="E2403" t="s">
        <v>78</v>
      </c>
      <c r="F2403" t="s">
        <v>252</v>
      </c>
      <c r="G2403">
        <v>7.0269000000000004</v>
      </c>
      <c r="H2403">
        <v>-74.697500000000005</v>
      </c>
      <c r="I2403" t="s">
        <v>2553</v>
      </c>
      <c r="J2403">
        <v>11</v>
      </c>
      <c r="M2403">
        <v>178</v>
      </c>
      <c r="N2403">
        <v>46</v>
      </c>
      <c r="O2403">
        <v>20</v>
      </c>
      <c r="P2403">
        <v>38</v>
      </c>
      <c r="Q2403">
        <v>31</v>
      </c>
      <c r="R2403">
        <v>56</v>
      </c>
    </row>
    <row r="2404" spans="1:18" x14ac:dyDescent="0.25">
      <c r="A2404" t="s">
        <v>2571</v>
      </c>
      <c r="B2404" t="s">
        <v>55</v>
      </c>
      <c r="C2404" t="s">
        <v>2551</v>
      </c>
      <c r="D2404" t="s">
        <v>2552</v>
      </c>
      <c r="E2404" t="s">
        <v>78</v>
      </c>
      <c r="F2404" t="s">
        <v>252</v>
      </c>
      <c r="G2404">
        <v>7.0269000000000004</v>
      </c>
      <c r="H2404">
        <v>-74.697500000000005</v>
      </c>
      <c r="I2404" t="s">
        <v>2553</v>
      </c>
      <c r="J2404">
        <v>11</v>
      </c>
      <c r="M2404">
        <v>169</v>
      </c>
      <c r="N2404">
        <v>49</v>
      </c>
      <c r="O2404">
        <v>22</v>
      </c>
      <c r="P2404">
        <v>48</v>
      </c>
      <c r="Q2404">
        <v>19</v>
      </c>
      <c r="R2404">
        <v>27</v>
      </c>
    </row>
    <row r="2405" spans="1:18" x14ac:dyDescent="0.25">
      <c r="A2405" t="s">
        <v>2572</v>
      </c>
      <c r="B2405" t="s">
        <v>55</v>
      </c>
      <c r="C2405" t="s">
        <v>2551</v>
      </c>
      <c r="D2405" t="s">
        <v>2552</v>
      </c>
      <c r="E2405" t="s">
        <v>78</v>
      </c>
      <c r="F2405" t="s">
        <v>252</v>
      </c>
      <c r="G2405">
        <v>7.0269000000000004</v>
      </c>
      <c r="H2405">
        <v>-74.697500000000005</v>
      </c>
      <c r="I2405" t="s">
        <v>2553</v>
      </c>
      <c r="J2405">
        <v>11</v>
      </c>
      <c r="M2405">
        <v>167</v>
      </c>
      <c r="N2405">
        <v>22</v>
      </c>
      <c r="O2405">
        <v>28</v>
      </c>
      <c r="P2405">
        <v>50</v>
      </c>
      <c r="Q2405">
        <v>31</v>
      </c>
      <c r="R2405">
        <v>40</v>
      </c>
    </row>
    <row r="2406" spans="1:18" x14ac:dyDescent="0.25">
      <c r="A2406" t="s">
        <v>2573</v>
      </c>
      <c r="B2406" t="s">
        <v>55</v>
      </c>
      <c r="C2406" t="s">
        <v>2551</v>
      </c>
      <c r="D2406" t="s">
        <v>2552</v>
      </c>
      <c r="E2406" t="s">
        <v>78</v>
      </c>
      <c r="F2406" t="s">
        <v>252</v>
      </c>
      <c r="G2406">
        <v>7.0269000000000004</v>
      </c>
      <c r="H2406">
        <v>-74.697500000000005</v>
      </c>
      <c r="I2406" t="s">
        <v>2553</v>
      </c>
      <c r="J2406">
        <v>11</v>
      </c>
      <c r="M2406">
        <v>166</v>
      </c>
      <c r="N2406">
        <v>51</v>
      </c>
      <c r="O2406">
        <v>30</v>
      </c>
      <c r="P2406">
        <v>26</v>
      </c>
      <c r="Q2406">
        <v>22</v>
      </c>
      <c r="R2406">
        <v>44</v>
      </c>
    </row>
    <row r="2407" spans="1:18" x14ac:dyDescent="0.25">
      <c r="A2407" t="s">
        <v>2574</v>
      </c>
      <c r="B2407" t="s">
        <v>55</v>
      </c>
      <c r="C2407" t="s">
        <v>2551</v>
      </c>
      <c r="D2407" t="s">
        <v>2552</v>
      </c>
      <c r="E2407" t="s">
        <v>78</v>
      </c>
      <c r="F2407" t="s">
        <v>252</v>
      </c>
      <c r="G2407">
        <v>7.0269000000000004</v>
      </c>
      <c r="H2407">
        <v>-74.697500000000005</v>
      </c>
      <c r="I2407" t="s">
        <v>2553</v>
      </c>
      <c r="J2407">
        <v>11</v>
      </c>
      <c r="M2407">
        <v>164</v>
      </c>
      <c r="N2407">
        <v>32</v>
      </c>
      <c r="O2407">
        <v>28</v>
      </c>
      <c r="P2407">
        <v>42</v>
      </c>
      <c r="Q2407">
        <v>31</v>
      </c>
      <c r="R2407">
        <v>29</v>
      </c>
    </row>
    <row r="2408" spans="1:18" x14ac:dyDescent="0.25">
      <c r="A2408" t="s">
        <v>2575</v>
      </c>
      <c r="B2408" t="s">
        <v>55</v>
      </c>
      <c r="C2408" t="s">
        <v>2551</v>
      </c>
      <c r="D2408" t="s">
        <v>2552</v>
      </c>
      <c r="E2408" t="s">
        <v>78</v>
      </c>
      <c r="F2408" t="s">
        <v>252</v>
      </c>
      <c r="G2408">
        <v>7.0269000000000004</v>
      </c>
      <c r="H2408">
        <v>-74.697500000000005</v>
      </c>
      <c r="I2408" t="s">
        <v>2553</v>
      </c>
      <c r="J2408">
        <v>11</v>
      </c>
      <c r="M2408">
        <v>162</v>
      </c>
      <c r="N2408">
        <v>51</v>
      </c>
      <c r="O2408">
        <v>18</v>
      </c>
      <c r="P2408">
        <v>34</v>
      </c>
      <c r="Q2408">
        <v>26</v>
      </c>
      <c r="R2408">
        <v>33</v>
      </c>
    </row>
    <row r="2409" spans="1:18" x14ac:dyDescent="0.25">
      <c r="A2409" t="s">
        <v>2576</v>
      </c>
      <c r="B2409" t="s">
        <v>55</v>
      </c>
      <c r="C2409" t="s">
        <v>2551</v>
      </c>
      <c r="D2409" t="s">
        <v>2552</v>
      </c>
      <c r="E2409" t="s">
        <v>78</v>
      </c>
      <c r="F2409" t="s">
        <v>252</v>
      </c>
      <c r="G2409">
        <v>7.0269000000000004</v>
      </c>
      <c r="H2409">
        <v>-74.697500000000005</v>
      </c>
      <c r="I2409" t="s">
        <v>2553</v>
      </c>
      <c r="J2409">
        <v>11</v>
      </c>
      <c r="M2409">
        <v>148</v>
      </c>
      <c r="N2409">
        <v>39</v>
      </c>
      <c r="O2409">
        <v>32</v>
      </c>
      <c r="P2409">
        <v>26</v>
      </c>
      <c r="Q2409">
        <v>16</v>
      </c>
      <c r="R2409">
        <v>47</v>
      </c>
    </row>
    <row r="2410" spans="1:18" x14ac:dyDescent="0.25">
      <c r="A2410" t="s">
        <v>2577</v>
      </c>
      <c r="B2410" t="s">
        <v>55</v>
      </c>
      <c r="C2410" t="s">
        <v>2551</v>
      </c>
      <c r="D2410" t="s">
        <v>2552</v>
      </c>
      <c r="E2410" t="s">
        <v>78</v>
      </c>
      <c r="F2410" t="s">
        <v>252</v>
      </c>
      <c r="G2410">
        <v>7.0269000000000004</v>
      </c>
      <c r="H2410">
        <v>-74.697500000000005</v>
      </c>
      <c r="I2410" t="s">
        <v>2553</v>
      </c>
      <c r="J2410">
        <v>11</v>
      </c>
      <c r="M2410">
        <v>146</v>
      </c>
      <c r="N2410">
        <v>27</v>
      </c>
      <c r="O2410">
        <v>30</v>
      </c>
      <c r="P2410">
        <v>22</v>
      </c>
      <c r="Q2410">
        <v>31</v>
      </c>
      <c r="R2410">
        <v>49</v>
      </c>
    </row>
    <row r="2411" spans="1:18" x14ac:dyDescent="0.25">
      <c r="A2411" t="s">
        <v>2578</v>
      </c>
      <c r="B2411" t="s">
        <v>55</v>
      </c>
      <c r="C2411" t="s">
        <v>2551</v>
      </c>
      <c r="D2411" t="s">
        <v>2552</v>
      </c>
      <c r="E2411" t="s">
        <v>78</v>
      </c>
      <c r="F2411" t="s">
        <v>252</v>
      </c>
      <c r="G2411">
        <v>7.0269000000000004</v>
      </c>
      <c r="H2411">
        <v>-74.697500000000005</v>
      </c>
      <c r="I2411" t="s">
        <v>2553</v>
      </c>
      <c r="J2411">
        <v>11</v>
      </c>
      <c r="M2411">
        <v>144</v>
      </c>
      <c r="N2411">
        <v>32</v>
      </c>
      <c r="O2411">
        <v>24</v>
      </c>
      <c r="P2411">
        <v>26</v>
      </c>
      <c r="Q2411">
        <v>33</v>
      </c>
      <c r="R2411">
        <v>31</v>
      </c>
    </row>
    <row r="2412" spans="1:18" x14ac:dyDescent="0.25">
      <c r="A2412" t="s">
        <v>2579</v>
      </c>
      <c r="B2412" t="s">
        <v>55</v>
      </c>
      <c r="C2412" t="s">
        <v>2551</v>
      </c>
      <c r="D2412" t="s">
        <v>2552</v>
      </c>
      <c r="E2412" t="s">
        <v>78</v>
      </c>
      <c r="F2412" t="s">
        <v>252</v>
      </c>
      <c r="G2412">
        <v>7.0269000000000004</v>
      </c>
      <c r="H2412">
        <v>-74.697500000000005</v>
      </c>
      <c r="I2412" t="s">
        <v>2553</v>
      </c>
      <c r="J2412">
        <v>11</v>
      </c>
      <c r="M2412">
        <v>64</v>
      </c>
      <c r="N2412">
        <v>0</v>
      </c>
      <c r="O2412">
        <v>12</v>
      </c>
      <c r="P2412">
        <v>22</v>
      </c>
      <c r="Q2412">
        <v>12</v>
      </c>
      <c r="R2412">
        <v>29</v>
      </c>
    </row>
    <row r="2413" spans="1:18" x14ac:dyDescent="0.25">
      <c r="A2413" t="s">
        <v>2580</v>
      </c>
      <c r="B2413" t="s">
        <v>55</v>
      </c>
      <c r="C2413" t="s">
        <v>2581</v>
      </c>
      <c r="D2413" t="s">
        <v>2582</v>
      </c>
      <c r="E2413" t="s">
        <v>78</v>
      </c>
      <c r="F2413" t="s">
        <v>252</v>
      </c>
      <c r="G2413">
        <v>6.9633000000000003</v>
      </c>
      <c r="H2413">
        <v>-75.416899999999998</v>
      </c>
      <c r="I2413" t="s">
        <v>2583</v>
      </c>
      <c r="J2413">
        <v>11</v>
      </c>
      <c r="M2413">
        <v>235</v>
      </c>
      <c r="N2413">
        <v>66</v>
      </c>
      <c r="O2413">
        <v>26</v>
      </c>
      <c r="P2413">
        <v>60</v>
      </c>
      <c r="Q2413">
        <v>34</v>
      </c>
      <c r="R2413">
        <v>51</v>
      </c>
    </row>
    <row r="2414" spans="1:18" x14ac:dyDescent="0.25">
      <c r="A2414" t="s">
        <v>2584</v>
      </c>
      <c r="B2414" t="s">
        <v>55</v>
      </c>
      <c r="C2414" t="s">
        <v>2581</v>
      </c>
      <c r="D2414" t="s">
        <v>2582</v>
      </c>
      <c r="E2414" t="s">
        <v>78</v>
      </c>
      <c r="F2414" t="s">
        <v>252</v>
      </c>
      <c r="G2414">
        <v>6.9633000000000003</v>
      </c>
      <c r="H2414">
        <v>-75.416899999999998</v>
      </c>
      <c r="I2414" t="s">
        <v>2583</v>
      </c>
      <c r="J2414">
        <v>11</v>
      </c>
      <c r="M2414">
        <v>225</v>
      </c>
      <c r="N2414">
        <v>66</v>
      </c>
      <c r="O2414">
        <v>16</v>
      </c>
      <c r="P2414">
        <v>62</v>
      </c>
      <c r="Q2414">
        <v>33</v>
      </c>
      <c r="R2414">
        <v>55</v>
      </c>
    </row>
    <row r="2415" spans="1:18" x14ac:dyDescent="0.25">
      <c r="A2415" t="s">
        <v>2585</v>
      </c>
      <c r="B2415" t="s">
        <v>55</v>
      </c>
      <c r="C2415" t="s">
        <v>2581</v>
      </c>
      <c r="D2415" t="s">
        <v>2582</v>
      </c>
      <c r="E2415" t="s">
        <v>78</v>
      </c>
      <c r="F2415" t="s">
        <v>252</v>
      </c>
      <c r="G2415">
        <v>6.9633000000000003</v>
      </c>
      <c r="H2415">
        <v>-75.416899999999998</v>
      </c>
      <c r="I2415" t="s">
        <v>2583</v>
      </c>
      <c r="J2415">
        <v>11</v>
      </c>
      <c r="M2415">
        <v>223</v>
      </c>
      <c r="N2415">
        <v>46</v>
      </c>
      <c r="O2415">
        <v>50</v>
      </c>
      <c r="P2415">
        <v>44</v>
      </c>
      <c r="Q2415">
        <v>43</v>
      </c>
      <c r="R2415">
        <v>29</v>
      </c>
    </row>
    <row r="2416" spans="1:18" x14ac:dyDescent="0.25">
      <c r="A2416" t="s">
        <v>2586</v>
      </c>
      <c r="B2416" t="s">
        <v>55</v>
      </c>
      <c r="C2416" t="s">
        <v>2581</v>
      </c>
      <c r="D2416" t="s">
        <v>2582</v>
      </c>
      <c r="E2416" t="s">
        <v>78</v>
      </c>
      <c r="F2416" t="s">
        <v>252</v>
      </c>
      <c r="G2416">
        <v>6.9633000000000003</v>
      </c>
      <c r="H2416">
        <v>-75.416899999999998</v>
      </c>
      <c r="I2416" t="s">
        <v>2583</v>
      </c>
      <c r="J2416">
        <v>11</v>
      </c>
      <c r="M2416">
        <v>217</v>
      </c>
      <c r="N2416">
        <v>46</v>
      </c>
      <c r="O2416">
        <v>22</v>
      </c>
      <c r="P2416">
        <v>66</v>
      </c>
      <c r="Q2416">
        <v>36</v>
      </c>
      <c r="R2416">
        <v>53</v>
      </c>
    </row>
    <row r="2417" spans="1:18" x14ac:dyDescent="0.25">
      <c r="A2417" t="s">
        <v>2587</v>
      </c>
      <c r="B2417" t="s">
        <v>55</v>
      </c>
      <c r="C2417" t="s">
        <v>2581</v>
      </c>
      <c r="D2417" t="s">
        <v>2582</v>
      </c>
      <c r="E2417" t="s">
        <v>78</v>
      </c>
      <c r="F2417" t="s">
        <v>252</v>
      </c>
      <c r="G2417">
        <v>6.9633000000000003</v>
      </c>
      <c r="H2417">
        <v>-75.416899999999998</v>
      </c>
      <c r="I2417" t="s">
        <v>2583</v>
      </c>
      <c r="J2417">
        <v>11</v>
      </c>
      <c r="M2417">
        <v>212</v>
      </c>
      <c r="N2417">
        <v>54</v>
      </c>
      <c r="O2417">
        <v>32</v>
      </c>
      <c r="P2417">
        <v>50</v>
      </c>
      <c r="Q2417">
        <v>34</v>
      </c>
      <c r="R2417">
        <v>42</v>
      </c>
    </row>
    <row r="2418" spans="1:18" x14ac:dyDescent="0.25">
      <c r="A2418" t="s">
        <v>2588</v>
      </c>
      <c r="B2418" t="s">
        <v>55</v>
      </c>
      <c r="C2418" t="s">
        <v>2581</v>
      </c>
      <c r="D2418" t="s">
        <v>2582</v>
      </c>
      <c r="E2418" t="s">
        <v>78</v>
      </c>
      <c r="F2418" t="s">
        <v>252</v>
      </c>
      <c r="G2418">
        <v>6.9633000000000003</v>
      </c>
      <c r="H2418">
        <v>-75.416899999999998</v>
      </c>
      <c r="I2418" t="s">
        <v>2583</v>
      </c>
      <c r="J2418">
        <v>11</v>
      </c>
      <c r="M2418">
        <v>211</v>
      </c>
      <c r="N2418">
        <v>37</v>
      </c>
      <c r="O2418">
        <v>32</v>
      </c>
      <c r="P2418">
        <v>66</v>
      </c>
      <c r="Q2418">
        <v>31</v>
      </c>
      <c r="R2418">
        <v>53</v>
      </c>
    </row>
    <row r="2419" spans="1:18" x14ac:dyDescent="0.25">
      <c r="A2419" t="s">
        <v>2589</v>
      </c>
      <c r="B2419" t="s">
        <v>55</v>
      </c>
      <c r="C2419" t="s">
        <v>2581</v>
      </c>
      <c r="D2419" t="s">
        <v>2582</v>
      </c>
      <c r="E2419" t="s">
        <v>78</v>
      </c>
      <c r="F2419" t="s">
        <v>252</v>
      </c>
      <c r="G2419">
        <v>6.9633000000000003</v>
      </c>
      <c r="H2419">
        <v>-75.416899999999998</v>
      </c>
      <c r="I2419" t="s">
        <v>2583</v>
      </c>
      <c r="J2419">
        <v>11</v>
      </c>
      <c r="M2419">
        <v>211</v>
      </c>
      <c r="N2419">
        <v>66</v>
      </c>
      <c r="O2419">
        <v>18</v>
      </c>
      <c r="P2419">
        <v>52</v>
      </c>
      <c r="Q2419">
        <v>31</v>
      </c>
      <c r="R2419">
        <v>47</v>
      </c>
    </row>
    <row r="2420" spans="1:18" x14ac:dyDescent="0.25">
      <c r="A2420" t="s">
        <v>2590</v>
      </c>
      <c r="B2420" t="s">
        <v>55</v>
      </c>
      <c r="C2420" t="s">
        <v>2581</v>
      </c>
      <c r="D2420" t="s">
        <v>2582</v>
      </c>
      <c r="E2420" t="s">
        <v>78</v>
      </c>
      <c r="F2420" t="s">
        <v>252</v>
      </c>
      <c r="G2420">
        <v>6.9633000000000003</v>
      </c>
      <c r="H2420">
        <v>-75.416899999999998</v>
      </c>
      <c r="I2420" t="s">
        <v>2583</v>
      </c>
      <c r="J2420">
        <v>11</v>
      </c>
      <c r="M2420">
        <v>209</v>
      </c>
      <c r="N2420">
        <v>39</v>
      </c>
      <c r="O2420">
        <v>32</v>
      </c>
      <c r="P2420">
        <v>54</v>
      </c>
      <c r="Q2420">
        <v>38</v>
      </c>
      <c r="R2420">
        <v>55</v>
      </c>
    </row>
    <row r="2421" spans="1:18" x14ac:dyDescent="0.25">
      <c r="A2421" t="s">
        <v>2591</v>
      </c>
      <c r="B2421" t="s">
        <v>55</v>
      </c>
      <c r="C2421" t="s">
        <v>2581</v>
      </c>
      <c r="D2421" t="s">
        <v>2582</v>
      </c>
      <c r="E2421" t="s">
        <v>78</v>
      </c>
      <c r="F2421" t="s">
        <v>252</v>
      </c>
      <c r="G2421">
        <v>6.9633000000000003</v>
      </c>
      <c r="H2421">
        <v>-75.416899999999998</v>
      </c>
      <c r="I2421" t="s">
        <v>2583</v>
      </c>
      <c r="J2421">
        <v>11</v>
      </c>
      <c r="M2421">
        <v>208</v>
      </c>
      <c r="N2421">
        <v>54</v>
      </c>
      <c r="O2421">
        <v>24</v>
      </c>
      <c r="P2421">
        <v>46</v>
      </c>
      <c r="Q2421">
        <v>40</v>
      </c>
      <c r="R2421">
        <v>51</v>
      </c>
    </row>
    <row r="2422" spans="1:18" x14ac:dyDescent="0.25">
      <c r="A2422" t="s">
        <v>2592</v>
      </c>
      <c r="B2422" t="s">
        <v>55</v>
      </c>
      <c r="C2422" t="s">
        <v>2581</v>
      </c>
      <c r="D2422" t="s">
        <v>2582</v>
      </c>
      <c r="E2422" t="s">
        <v>78</v>
      </c>
      <c r="F2422" t="s">
        <v>252</v>
      </c>
      <c r="G2422">
        <v>6.9633000000000003</v>
      </c>
      <c r="H2422">
        <v>-75.416899999999998</v>
      </c>
      <c r="I2422" t="s">
        <v>2583</v>
      </c>
      <c r="J2422">
        <v>11</v>
      </c>
      <c r="M2422">
        <v>207</v>
      </c>
      <c r="N2422">
        <v>44</v>
      </c>
      <c r="O2422">
        <v>34</v>
      </c>
      <c r="P2422">
        <v>54</v>
      </c>
      <c r="Q2422">
        <v>33</v>
      </c>
      <c r="R2422">
        <v>45</v>
      </c>
    </row>
    <row r="2423" spans="1:18" x14ac:dyDescent="0.25">
      <c r="A2423" t="s">
        <v>2593</v>
      </c>
      <c r="B2423" t="s">
        <v>55</v>
      </c>
      <c r="C2423" t="s">
        <v>2581</v>
      </c>
      <c r="D2423" t="s">
        <v>2582</v>
      </c>
      <c r="E2423" t="s">
        <v>78</v>
      </c>
      <c r="F2423" t="s">
        <v>252</v>
      </c>
      <c r="G2423">
        <v>6.9633000000000003</v>
      </c>
      <c r="H2423">
        <v>-75.416899999999998</v>
      </c>
      <c r="I2423" t="s">
        <v>2583</v>
      </c>
      <c r="J2423">
        <v>11</v>
      </c>
      <c r="M2423">
        <v>205</v>
      </c>
      <c r="N2423">
        <v>51</v>
      </c>
      <c r="O2423">
        <v>22</v>
      </c>
      <c r="P2423">
        <v>52</v>
      </c>
      <c r="Q2423">
        <v>38</v>
      </c>
      <c r="R2423">
        <v>44</v>
      </c>
    </row>
    <row r="2424" spans="1:18" x14ac:dyDescent="0.25">
      <c r="A2424" t="s">
        <v>2594</v>
      </c>
      <c r="B2424" t="s">
        <v>55</v>
      </c>
      <c r="C2424" t="s">
        <v>2581</v>
      </c>
      <c r="D2424" t="s">
        <v>2582</v>
      </c>
      <c r="E2424" t="s">
        <v>78</v>
      </c>
      <c r="F2424" t="s">
        <v>252</v>
      </c>
      <c r="G2424">
        <v>6.9633000000000003</v>
      </c>
      <c r="H2424">
        <v>-75.416899999999998</v>
      </c>
      <c r="I2424" t="s">
        <v>2583</v>
      </c>
      <c r="J2424">
        <v>11</v>
      </c>
      <c r="M2424">
        <v>204</v>
      </c>
      <c r="N2424">
        <v>39</v>
      </c>
      <c r="O2424">
        <v>34</v>
      </c>
      <c r="P2424">
        <v>46</v>
      </c>
      <c r="Q2424">
        <v>34</v>
      </c>
      <c r="R2424">
        <v>71</v>
      </c>
    </row>
    <row r="2425" spans="1:18" x14ac:dyDescent="0.25">
      <c r="A2425" t="s">
        <v>2595</v>
      </c>
      <c r="B2425" t="s">
        <v>55</v>
      </c>
      <c r="C2425" t="s">
        <v>2581</v>
      </c>
      <c r="D2425" t="s">
        <v>2582</v>
      </c>
      <c r="E2425" t="s">
        <v>78</v>
      </c>
      <c r="F2425" t="s">
        <v>252</v>
      </c>
      <c r="G2425">
        <v>6.9633000000000003</v>
      </c>
      <c r="H2425">
        <v>-75.416899999999998</v>
      </c>
      <c r="I2425" t="s">
        <v>2583</v>
      </c>
      <c r="J2425">
        <v>11</v>
      </c>
      <c r="M2425">
        <v>202</v>
      </c>
      <c r="N2425">
        <v>46</v>
      </c>
      <c r="O2425">
        <v>34</v>
      </c>
      <c r="P2425">
        <v>46</v>
      </c>
      <c r="Q2425">
        <v>34</v>
      </c>
      <c r="R2425">
        <v>42</v>
      </c>
    </row>
    <row r="2426" spans="1:18" x14ac:dyDescent="0.25">
      <c r="A2426" t="s">
        <v>2596</v>
      </c>
      <c r="B2426" t="s">
        <v>55</v>
      </c>
      <c r="C2426" t="s">
        <v>2581</v>
      </c>
      <c r="D2426" t="s">
        <v>2582</v>
      </c>
      <c r="E2426" t="s">
        <v>78</v>
      </c>
      <c r="F2426" t="s">
        <v>252</v>
      </c>
      <c r="G2426">
        <v>6.9633000000000003</v>
      </c>
      <c r="H2426">
        <v>-75.416899999999998</v>
      </c>
      <c r="I2426" t="s">
        <v>2583</v>
      </c>
      <c r="J2426">
        <v>11</v>
      </c>
      <c r="M2426">
        <v>192</v>
      </c>
      <c r="N2426">
        <v>51</v>
      </c>
      <c r="O2426">
        <v>20</v>
      </c>
      <c r="P2426">
        <v>52</v>
      </c>
      <c r="Q2426">
        <v>28</v>
      </c>
      <c r="R2426">
        <v>47</v>
      </c>
    </row>
    <row r="2427" spans="1:18" x14ac:dyDescent="0.25">
      <c r="A2427" t="s">
        <v>2597</v>
      </c>
      <c r="B2427" t="s">
        <v>55</v>
      </c>
      <c r="C2427" t="s">
        <v>2581</v>
      </c>
      <c r="D2427" t="s">
        <v>2582</v>
      </c>
      <c r="E2427" t="s">
        <v>78</v>
      </c>
      <c r="F2427" t="s">
        <v>252</v>
      </c>
      <c r="G2427">
        <v>6.9633000000000003</v>
      </c>
      <c r="H2427">
        <v>-75.416899999999998</v>
      </c>
      <c r="I2427" t="s">
        <v>2583</v>
      </c>
      <c r="J2427">
        <v>11</v>
      </c>
      <c r="M2427">
        <v>191</v>
      </c>
      <c r="N2427">
        <v>37</v>
      </c>
      <c r="O2427">
        <v>24</v>
      </c>
      <c r="P2427">
        <v>48</v>
      </c>
      <c r="Q2427">
        <v>41</v>
      </c>
      <c r="R2427">
        <v>47</v>
      </c>
    </row>
    <row r="2428" spans="1:18" x14ac:dyDescent="0.25">
      <c r="A2428" t="s">
        <v>2598</v>
      </c>
      <c r="B2428" t="s">
        <v>55</v>
      </c>
      <c r="C2428" t="s">
        <v>2581</v>
      </c>
      <c r="D2428" t="s">
        <v>2582</v>
      </c>
      <c r="E2428" t="s">
        <v>78</v>
      </c>
      <c r="F2428" t="s">
        <v>252</v>
      </c>
      <c r="G2428">
        <v>6.9633000000000003</v>
      </c>
      <c r="H2428">
        <v>-75.416899999999998</v>
      </c>
      <c r="I2428" t="s">
        <v>2583</v>
      </c>
      <c r="J2428">
        <v>11</v>
      </c>
      <c r="M2428">
        <v>190</v>
      </c>
      <c r="N2428">
        <v>49</v>
      </c>
      <c r="O2428">
        <v>24</v>
      </c>
      <c r="P2428">
        <v>46</v>
      </c>
      <c r="Q2428">
        <v>34</v>
      </c>
      <c r="R2428">
        <v>35</v>
      </c>
    </row>
    <row r="2429" spans="1:18" x14ac:dyDescent="0.25">
      <c r="A2429" t="s">
        <v>2599</v>
      </c>
      <c r="B2429" t="s">
        <v>55</v>
      </c>
      <c r="C2429" t="s">
        <v>2581</v>
      </c>
      <c r="D2429" t="s">
        <v>2582</v>
      </c>
      <c r="E2429" t="s">
        <v>78</v>
      </c>
      <c r="F2429" t="s">
        <v>252</v>
      </c>
      <c r="G2429">
        <v>6.9633000000000003</v>
      </c>
      <c r="H2429">
        <v>-75.416899999999998</v>
      </c>
      <c r="I2429" t="s">
        <v>2583</v>
      </c>
      <c r="J2429">
        <v>11</v>
      </c>
      <c r="M2429">
        <v>181</v>
      </c>
      <c r="N2429">
        <v>41</v>
      </c>
      <c r="O2429">
        <v>16</v>
      </c>
      <c r="P2429">
        <v>58</v>
      </c>
      <c r="Q2429">
        <v>26</v>
      </c>
      <c r="R2429">
        <v>47</v>
      </c>
    </row>
    <row r="2430" spans="1:18" x14ac:dyDescent="0.25">
      <c r="A2430" t="s">
        <v>2600</v>
      </c>
      <c r="B2430" t="s">
        <v>55</v>
      </c>
      <c r="C2430" t="s">
        <v>2581</v>
      </c>
      <c r="D2430" t="s">
        <v>2582</v>
      </c>
      <c r="E2430" t="s">
        <v>78</v>
      </c>
      <c r="F2430" t="s">
        <v>252</v>
      </c>
      <c r="G2430">
        <v>6.9633000000000003</v>
      </c>
      <c r="H2430">
        <v>-75.416899999999998</v>
      </c>
      <c r="I2430" t="s">
        <v>2583</v>
      </c>
      <c r="J2430">
        <v>11</v>
      </c>
      <c r="M2430">
        <v>179</v>
      </c>
      <c r="N2430">
        <v>46</v>
      </c>
      <c r="O2430">
        <v>34</v>
      </c>
      <c r="P2430">
        <v>38</v>
      </c>
      <c r="Q2430">
        <v>24</v>
      </c>
      <c r="R2430">
        <v>38</v>
      </c>
    </row>
    <row r="2431" spans="1:18" x14ac:dyDescent="0.25">
      <c r="A2431" t="s">
        <v>2601</v>
      </c>
      <c r="B2431" t="s">
        <v>55</v>
      </c>
      <c r="C2431" t="s">
        <v>2581</v>
      </c>
      <c r="D2431" t="s">
        <v>2582</v>
      </c>
      <c r="E2431" t="s">
        <v>78</v>
      </c>
      <c r="F2431" t="s">
        <v>252</v>
      </c>
      <c r="G2431">
        <v>6.9633000000000003</v>
      </c>
      <c r="H2431">
        <v>-75.416899999999998</v>
      </c>
      <c r="I2431" t="s">
        <v>2583</v>
      </c>
      <c r="J2431">
        <v>11</v>
      </c>
      <c r="M2431">
        <v>177</v>
      </c>
      <c r="N2431">
        <v>29</v>
      </c>
      <c r="O2431">
        <v>32</v>
      </c>
      <c r="P2431">
        <v>40</v>
      </c>
      <c r="Q2431">
        <v>33</v>
      </c>
      <c r="R2431">
        <v>58</v>
      </c>
    </row>
    <row r="2432" spans="1:18" x14ac:dyDescent="0.25">
      <c r="A2432" t="s">
        <v>2602</v>
      </c>
      <c r="B2432" t="s">
        <v>55</v>
      </c>
      <c r="C2432" t="s">
        <v>2581</v>
      </c>
      <c r="D2432" t="s">
        <v>2582</v>
      </c>
      <c r="E2432" t="s">
        <v>78</v>
      </c>
      <c r="F2432" t="s">
        <v>252</v>
      </c>
      <c r="G2432">
        <v>6.9633000000000003</v>
      </c>
      <c r="H2432">
        <v>-75.416899999999998</v>
      </c>
      <c r="I2432" t="s">
        <v>2583</v>
      </c>
      <c r="J2432">
        <v>11</v>
      </c>
      <c r="M2432">
        <v>175</v>
      </c>
      <c r="N2432">
        <v>54</v>
      </c>
      <c r="O2432">
        <v>18</v>
      </c>
      <c r="P2432">
        <v>38</v>
      </c>
      <c r="Q2432">
        <v>31</v>
      </c>
      <c r="R2432">
        <v>33</v>
      </c>
    </row>
    <row r="2433" spans="1:18" x14ac:dyDescent="0.25">
      <c r="A2433" t="s">
        <v>2603</v>
      </c>
      <c r="B2433" t="s">
        <v>55</v>
      </c>
      <c r="C2433" t="s">
        <v>2581</v>
      </c>
      <c r="D2433" t="s">
        <v>2582</v>
      </c>
      <c r="E2433" t="s">
        <v>78</v>
      </c>
      <c r="F2433" t="s">
        <v>252</v>
      </c>
      <c r="G2433">
        <v>6.9633000000000003</v>
      </c>
      <c r="H2433">
        <v>-75.416899999999998</v>
      </c>
      <c r="I2433" t="s">
        <v>2583</v>
      </c>
      <c r="J2433">
        <v>11</v>
      </c>
      <c r="M2433">
        <v>174</v>
      </c>
      <c r="N2433">
        <v>51</v>
      </c>
      <c r="O2433">
        <v>22</v>
      </c>
      <c r="P2433">
        <v>42</v>
      </c>
      <c r="Q2433">
        <v>21</v>
      </c>
      <c r="R2433">
        <v>44</v>
      </c>
    </row>
    <row r="2434" spans="1:18" x14ac:dyDescent="0.25">
      <c r="A2434" t="s">
        <v>2604</v>
      </c>
      <c r="B2434" t="s">
        <v>55</v>
      </c>
      <c r="C2434" t="s">
        <v>2581</v>
      </c>
      <c r="D2434" t="s">
        <v>2582</v>
      </c>
      <c r="E2434" t="s">
        <v>78</v>
      </c>
      <c r="F2434" t="s">
        <v>252</v>
      </c>
      <c r="G2434">
        <v>6.9633000000000003</v>
      </c>
      <c r="H2434">
        <v>-75.416899999999998</v>
      </c>
      <c r="I2434" t="s">
        <v>2583</v>
      </c>
      <c r="J2434">
        <v>11</v>
      </c>
      <c r="M2434">
        <v>166</v>
      </c>
      <c r="N2434">
        <v>37</v>
      </c>
      <c r="O2434">
        <v>28</v>
      </c>
      <c r="P2434">
        <v>40</v>
      </c>
      <c r="Q2434">
        <v>28</v>
      </c>
      <c r="R2434">
        <v>36</v>
      </c>
    </row>
    <row r="2435" spans="1:18" x14ac:dyDescent="0.25">
      <c r="A2435" t="s">
        <v>2605</v>
      </c>
      <c r="B2435" t="s">
        <v>55</v>
      </c>
      <c r="C2435" t="s">
        <v>2581</v>
      </c>
      <c r="D2435" t="s">
        <v>2582</v>
      </c>
      <c r="E2435" t="s">
        <v>78</v>
      </c>
      <c r="F2435" t="s">
        <v>252</v>
      </c>
      <c r="G2435">
        <v>6.9633000000000003</v>
      </c>
      <c r="H2435">
        <v>-75.416899999999998</v>
      </c>
      <c r="I2435" t="s">
        <v>2583</v>
      </c>
      <c r="J2435">
        <v>11</v>
      </c>
      <c r="M2435">
        <v>164</v>
      </c>
      <c r="N2435">
        <v>32</v>
      </c>
      <c r="O2435">
        <v>34</v>
      </c>
      <c r="P2435">
        <v>40</v>
      </c>
      <c r="Q2435">
        <v>29</v>
      </c>
      <c r="R2435">
        <v>22</v>
      </c>
    </row>
    <row r="2436" spans="1:18" x14ac:dyDescent="0.25">
      <c r="A2436" t="s">
        <v>2606</v>
      </c>
      <c r="B2436" t="s">
        <v>55</v>
      </c>
      <c r="C2436" t="s">
        <v>2581</v>
      </c>
      <c r="D2436" t="s">
        <v>2582</v>
      </c>
      <c r="E2436" t="s">
        <v>78</v>
      </c>
      <c r="F2436" t="s">
        <v>252</v>
      </c>
      <c r="G2436">
        <v>6.9633000000000003</v>
      </c>
      <c r="H2436">
        <v>-75.416899999999998</v>
      </c>
      <c r="I2436" t="s">
        <v>2583</v>
      </c>
      <c r="J2436">
        <v>11</v>
      </c>
      <c r="M2436">
        <v>162</v>
      </c>
      <c r="N2436">
        <v>46</v>
      </c>
      <c r="O2436">
        <v>22</v>
      </c>
      <c r="P2436">
        <v>26</v>
      </c>
      <c r="Q2436">
        <v>29</v>
      </c>
      <c r="R2436">
        <v>51</v>
      </c>
    </row>
    <row r="2437" spans="1:18" x14ac:dyDescent="0.25">
      <c r="A2437" t="s">
        <v>2607</v>
      </c>
      <c r="B2437" t="s">
        <v>55</v>
      </c>
      <c r="C2437" t="s">
        <v>2581</v>
      </c>
      <c r="D2437" t="s">
        <v>2582</v>
      </c>
      <c r="E2437" t="s">
        <v>78</v>
      </c>
      <c r="F2437" t="s">
        <v>252</v>
      </c>
      <c r="G2437">
        <v>6.9633000000000003</v>
      </c>
      <c r="H2437">
        <v>-75.416899999999998</v>
      </c>
      <c r="I2437" t="s">
        <v>2583</v>
      </c>
      <c r="J2437">
        <v>11</v>
      </c>
      <c r="M2437">
        <v>160</v>
      </c>
      <c r="N2437">
        <v>41</v>
      </c>
      <c r="O2437">
        <v>22</v>
      </c>
      <c r="P2437">
        <v>38</v>
      </c>
      <c r="Q2437">
        <v>24</v>
      </c>
      <c r="R2437">
        <v>40</v>
      </c>
    </row>
    <row r="2438" spans="1:18" x14ac:dyDescent="0.25">
      <c r="A2438" t="s">
        <v>2608</v>
      </c>
      <c r="B2438" t="s">
        <v>55</v>
      </c>
      <c r="C2438" t="s">
        <v>2581</v>
      </c>
      <c r="D2438" t="s">
        <v>2582</v>
      </c>
      <c r="E2438" t="s">
        <v>78</v>
      </c>
      <c r="F2438" t="s">
        <v>252</v>
      </c>
      <c r="G2438">
        <v>6.9633000000000003</v>
      </c>
      <c r="H2438">
        <v>-75.416899999999998</v>
      </c>
      <c r="I2438" t="s">
        <v>2583</v>
      </c>
      <c r="J2438">
        <v>11</v>
      </c>
      <c r="M2438">
        <v>160</v>
      </c>
      <c r="N2438">
        <v>41</v>
      </c>
      <c r="O2438">
        <v>26</v>
      </c>
      <c r="P2438">
        <v>30</v>
      </c>
      <c r="Q2438">
        <v>29</v>
      </c>
      <c r="R2438">
        <v>36</v>
      </c>
    </row>
    <row r="2439" spans="1:18" x14ac:dyDescent="0.25">
      <c r="A2439" t="s">
        <v>2609</v>
      </c>
      <c r="B2439" t="s">
        <v>55</v>
      </c>
      <c r="C2439" t="s">
        <v>2581</v>
      </c>
      <c r="D2439" t="s">
        <v>2582</v>
      </c>
      <c r="E2439" t="s">
        <v>78</v>
      </c>
      <c r="F2439" t="s">
        <v>252</v>
      </c>
      <c r="G2439">
        <v>6.9633000000000003</v>
      </c>
      <c r="H2439">
        <v>-75.416899999999998</v>
      </c>
      <c r="I2439" t="s">
        <v>2583</v>
      </c>
      <c r="J2439">
        <v>11</v>
      </c>
      <c r="M2439">
        <v>157</v>
      </c>
      <c r="N2439">
        <v>39</v>
      </c>
      <c r="O2439">
        <v>22</v>
      </c>
      <c r="P2439">
        <v>32</v>
      </c>
      <c r="Q2439">
        <v>33</v>
      </c>
      <c r="R2439">
        <v>31</v>
      </c>
    </row>
    <row r="2440" spans="1:18" x14ac:dyDescent="0.25">
      <c r="A2440" t="s">
        <v>2610</v>
      </c>
      <c r="B2440" t="s">
        <v>55</v>
      </c>
      <c r="C2440" t="s">
        <v>2581</v>
      </c>
      <c r="D2440" t="s">
        <v>2582</v>
      </c>
      <c r="E2440" t="s">
        <v>78</v>
      </c>
      <c r="F2440" t="s">
        <v>252</v>
      </c>
      <c r="G2440">
        <v>6.9633000000000003</v>
      </c>
      <c r="H2440">
        <v>-75.416899999999998</v>
      </c>
      <c r="I2440" t="s">
        <v>2583</v>
      </c>
      <c r="J2440">
        <v>11</v>
      </c>
      <c r="M2440">
        <v>156</v>
      </c>
      <c r="N2440">
        <v>29</v>
      </c>
      <c r="O2440">
        <v>24</v>
      </c>
      <c r="P2440">
        <v>38</v>
      </c>
      <c r="Q2440">
        <v>34</v>
      </c>
      <c r="R2440">
        <v>29</v>
      </c>
    </row>
    <row r="2441" spans="1:18" x14ac:dyDescent="0.25">
      <c r="A2441" t="s">
        <v>2611</v>
      </c>
      <c r="B2441" t="s">
        <v>55</v>
      </c>
      <c r="C2441" t="s">
        <v>2581</v>
      </c>
      <c r="D2441" t="s">
        <v>2582</v>
      </c>
      <c r="E2441" t="s">
        <v>78</v>
      </c>
      <c r="F2441" t="s">
        <v>252</v>
      </c>
      <c r="G2441">
        <v>6.9633000000000003</v>
      </c>
      <c r="H2441">
        <v>-75.416899999999998</v>
      </c>
      <c r="I2441" t="s">
        <v>2583</v>
      </c>
      <c r="J2441">
        <v>11</v>
      </c>
      <c r="M2441">
        <v>138</v>
      </c>
      <c r="N2441">
        <v>46</v>
      </c>
      <c r="O2441">
        <v>12</v>
      </c>
      <c r="P2441">
        <v>30</v>
      </c>
      <c r="Q2441">
        <v>22</v>
      </c>
      <c r="R2441">
        <v>25</v>
      </c>
    </row>
    <row r="2442" spans="1:18" x14ac:dyDescent="0.25">
      <c r="A2442" t="s">
        <v>2612</v>
      </c>
      <c r="B2442" t="s">
        <v>55</v>
      </c>
      <c r="C2442" t="s">
        <v>2581</v>
      </c>
      <c r="D2442" t="s">
        <v>2582</v>
      </c>
      <c r="E2442" t="s">
        <v>78</v>
      </c>
      <c r="F2442" t="s">
        <v>252</v>
      </c>
      <c r="G2442">
        <v>6.9633000000000003</v>
      </c>
      <c r="H2442">
        <v>-75.416899999999998</v>
      </c>
      <c r="I2442" t="s">
        <v>2583</v>
      </c>
      <c r="J2442">
        <v>11</v>
      </c>
      <c r="M2442">
        <v>107</v>
      </c>
      <c r="N2442">
        <v>0</v>
      </c>
      <c r="O2442">
        <v>20</v>
      </c>
      <c r="P2442">
        <v>28</v>
      </c>
      <c r="Q2442">
        <v>28</v>
      </c>
      <c r="R2442">
        <v>53</v>
      </c>
    </row>
    <row r="2443" spans="1:18" x14ac:dyDescent="0.25">
      <c r="A2443" t="s">
        <v>2613</v>
      </c>
      <c r="B2443" t="s">
        <v>55</v>
      </c>
      <c r="C2443" t="s">
        <v>2614</v>
      </c>
      <c r="D2443" t="s">
        <v>2615</v>
      </c>
      <c r="E2443" t="s">
        <v>78</v>
      </c>
      <c r="F2443" t="s">
        <v>252</v>
      </c>
      <c r="G2443">
        <v>6.6768999999999998</v>
      </c>
      <c r="H2443">
        <v>-74.843599999999995</v>
      </c>
      <c r="I2443" t="s">
        <v>2616</v>
      </c>
      <c r="J2443">
        <v>11</v>
      </c>
      <c r="M2443">
        <v>262</v>
      </c>
      <c r="N2443">
        <v>54</v>
      </c>
      <c r="O2443">
        <v>32</v>
      </c>
      <c r="P2443">
        <v>70</v>
      </c>
      <c r="Q2443">
        <v>41</v>
      </c>
      <c r="R2443">
        <v>91</v>
      </c>
    </row>
    <row r="2444" spans="1:18" x14ac:dyDescent="0.25">
      <c r="A2444" t="s">
        <v>2617</v>
      </c>
      <c r="B2444" t="s">
        <v>55</v>
      </c>
      <c r="C2444" t="s">
        <v>2614</v>
      </c>
      <c r="D2444" t="s">
        <v>2615</v>
      </c>
      <c r="E2444" t="s">
        <v>78</v>
      </c>
      <c r="F2444" t="s">
        <v>252</v>
      </c>
      <c r="G2444">
        <v>6.6768999999999998</v>
      </c>
      <c r="H2444">
        <v>-74.843599999999995</v>
      </c>
      <c r="I2444" t="s">
        <v>2616</v>
      </c>
      <c r="J2444">
        <v>11</v>
      </c>
      <c r="M2444">
        <v>254</v>
      </c>
      <c r="N2444">
        <v>63</v>
      </c>
      <c r="O2444">
        <v>42</v>
      </c>
      <c r="P2444">
        <v>60</v>
      </c>
      <c r="Q2444">
        <v>34</v>
      </c>
      <c r="R2444">
        <v>62</v>
      </c>
    </row>
    <row r="2445" spans="1:18" x14ac:dyDescent="0.25">
      <c r="A2445" t="s">
        <v>2618</v>
      </c>
      <c r="B2445" t="s">
        <v>55</v>
      </c>
      <c r="C2445" t="s">
        <v>2614</v>
      </c>
      <c r="D2445" t="s">
        <v>2615</v>
      </c>
      <c r="E2445" t="s">
        <v>78</v>
      </c>
      <c r="F2445" t="s">
        <v>252</v>
      </c>
      <c r="G2445">
        <v>6.6768999999999998</v>
      </c>
      <c r="H2445">
        <v>-74.843599999999995</v>
      </c>
      <c r="I2445" t="s">
        <v>2616</v>
      </c>
      <c r="J2445">
        <v>11</v>
      </c>
      <c r="M2445">
        <v>249</v>
      </c>
      <c r="N2445">
        <v>61</v>
      </c>
      <c r="O2445">
        <v>30</v>
      </c>
      <c r="P2445">
        <v>62</v>
      </c>
      <c r="Q2445">
        <v>45</v>
      </c>
      <c r="R2445">
        <v>55</v>
      </c>
    </row>
    <row r="2446" spans="1:18" x14ac:dyDescent="0.25">
      <c r="A2446" t="s">
        <v>2619</v>
      </c>
      <c r="B2446" t="s">
        <v>55</v>
      </c>
      <c r="C2446" t="s">
        <v>2614</v>
      </c>
      <c r="D2446" t="s">
        <v>2615</v>
      </c>
      <c r="E2446" t="s">
        <v>78</v>
      </c>
      <c r="F2446" t="s">
        <v>252</v>
      </c>
      <c r="G2446">
        <v>6.6768999999999998</v>
      </c>
      <c r="H2446">
        <v>-74.843599999999995</v>
      </c>
      <c r="I2446" t="s">
        <v>2616</v>
      </c>
      <c r="J2446">
        <v>11</v>
      </c>
      <c r="M2446">
        <v>245</v>
      </c>
      <c r="N2446">
        <v>56</v>
      </c>
      <c r="O2446">
        <v>58</v>
      </c>
      <c r="P2446">
        <v>36</v>
      </c>
      <c r="Q2446">
        <v>43</v>
      </c>
      <c r="R2446">
        <v>58</v>
      </c>
    </row>
    <row r="2447" spans="1:18" x14ac:dyDescent="0.25">
      <c r="A2447" t="s">
        <v>2620</v>
      </c>
      <c r="B2447" t="s">
        <v>55</v>
      </c>
      <c r="C2447" t="s">
        <v>2614</v>
      </c>
      <c r="D2447" t="s">
        <v>2615</v>
      </c>
      <c r="E2447" t="s">
        <v>78</v>
      </c>
      <c r="F2447" t="s">
        <v>252</v>
      </c>
      <c r="G2447">
        <v>6.6768999999999998</v>
      </c>
      <c r="H2447">
        <v>-74.843599999999995</v>
      </c>
      <c r="I2447" t="s">
        <v>2616</v>
      </c>
      <c r="J2447">
        <v>11</v>
      </c>
      <c r="M2447">
        <v>236</v>
      </c>
      <c r="N2447">
        <v>49</v>
      </c>
      <c r="O2447">
        <v>36</v>
      </c>
      <c r="P2447">
        <v>56</v>
      </c>
      <c r="Q2447">
        <v>36</v>
      </c>
      <c r="R2447">
        <v>82</v>
      </c>
    </row>
    <row r="2448" spans="1:18" x14ac:dyDescent="0.25">
      <c r="A2448" t="s">
        <v>2621</v>
      </c>
      <c r="B2448" t="s">
        <v>55</v>
      </c>
      <c r="C2448" t="s">
        <v>2614</v>
      </c>
      <c r="D2448" t="s">
        <v>2615</v>
      </c>
      <c r="E2448" t="s">
        <v>78</v>
      </c>
      <c r="F2448" t="s">
        <v>252</v>
      </c>
      <c r="G2448">
        <v>6.6768999999999998</v>
      </c>
      <c r="H2448">
        <v>-74.843599999999995</v>
      </c>
      <c r="I2448" t="s">
        <v>2616</v>
      </c>
      <c r="J2448">
        <v>11</v>
      </c>
      <c r="M2448">
        <v>229</v>
      </c>
      <c r="N2448">
        <v>49</v>
      </c>
      <c r="O2448">
        <v>44</v>
      </c>
      <c r="P2448">
        <v>60</v>
      </c>
      <c r="Q2448">
        <v>29</v>
      </c>
      <c r="R2448">
        <v>49</v>
      </c>
    </row>
    <row r="2449" spans="1:18" x14ac:dyDescent="0.25">
      <c r="A2449" t="s">
        <v>2622</v>
      </c>
      <c r="B2449" t="s">
        <v>55</v>
      </c>
      <c r="C2449" t="s">
        <v>2614</v>
      </c>
      <c r="D2449" t="s">
        <v>2615</v>
      </c>
      <c r="E2449" t="s">
        <v>78</v>
      </c>
      <c r="F2449" t="s">
        <v>252</v>
      </c>
      <c r="G2449">
        <v>6.6768999999999998</v>
      </c>
      <c r="H2449">
        <v>-74.843599999999995</v>
      </c>
      <c r="I2449" t="s">
        <v>2616</v>
      </c>
      <c r="J2449">
        <v>11</v>
      </c>
      <c r="M2449">
        <v>229</v>
      </c>
      <c r="N2449">
        <v>46</v>
      </c>
      <c r="O2449">
        <v>40</v>
      </c>
      <c r="P2449">
        <v>62</v>
      </c>
      <c r="Q2449">
        <v>33</v>
      </c>
      <c r="R2449">
        <v>51</v>
      </c>
    </row>
    <row r="2450" spans="1:18" x14ac:dyDescent="0.25">
      <c r="A2450" t="s">
        <v>2623</v>
      </c>
      <c r="B2450" t="s">
        <v>55</v>
      </c>
      <c r="C2450" t="s">
        <v>2614</v>
      </c>
      <c r="D2450" t="s">
        <v>2615</v>
      </c>
      <c r="E2450" t="s">
        <v>78</v>
      </c>
      <c r="F2450" t="s">
        <v>252</v>
      </c>
      <c r="G2450">
        <v>6.6768999999999998</v>
      </c>
      <c r="H2450">
        <v>-74.843599999999995</v>
      </c>
      <c r="I2450" t="s">
        <v>2616</v>
      </c>
      <c r="J2450">
        <v>11</v>
      </c>
      <c r="M2450">
        <v>217</v>
      </c>
      <c r="N2450">
        <v>56</v>
      </c>
      <c r="O2450">
        <v>24</v>
      </c>
      <c r="P2450">
        <v>50</v>
      </c>
      <c r="Q2450">
        <v>38</v>
      </c>
      <c r="R2450">
        <v>60</v>
      </c>
    </row>
    <row r="2451" spans="1:18" x14ac:dyDescent="0.25">
      <c r="A2451" t="s">
        <v>2624</v>
      </c>
      <c r="B2451" t="s">
        <v>55</v>
      </c>
      <c r="C2451" t="s">
        <v>2614</v>
      </c>
      <c r="D2451" t="s">
        <v>2615</v>
      </c>
      <c r="E2451" t="s">
        <v>78</v>
      </c>
      <c r="F2451" t="s">
        <v>252</v>
      </c>
      <c r="G2451">
        <v>6.6768999999999998</v>
      </c>
      <c r="H2451">
        <v>-74.843599999999995</v>
      </c>
      <c r="I2451" t="s">
        <v>2616</v>
      </c>
      <c r="J2451">
        <v>11</v>
      </c>
      <c r="M2451">
        <v>211</v>
      </c>
      <c r="N2451">
        <v>59</v>
      </c>
      <c r="O2451">
        <v>20</v>
      </c>
      <c r="P2451">
        <v>52</v>
      </c>
      <c r="Q2451">
        <v>38</v>
      </c>
      <c r="R2451">
        <v>44</v>
      </c>
    </row>
    <row r="2452" spans="1:18" x14ac:dyDescent="0.25">
      <c r="A2452" t="s">
        <v>2625</v>
      </c>
      <c r="B2452" t="s">
        <v>55</v>
      </c>
      <c r="C2452" t="s">
        <v>2614</v>
      </c>
      <c r="D2452" t="s">
        <v>2615</v>
      </c>
      <c r="E2452" t="s">
        <v>78</v>
      </c>
      <c r="F2452" t="s">
        <v>252</v>
      </c>
      <c r="G2452">
        <v>6.6768999999999998</v>
      </c>
      <c r="H2452">
        <v>-74.843599999999995</v>
      </c>
      <c r="I2452" t="s">
        <v>2616</v>
      </c>
      <c r="J2452">
        <v>11</v>
      </c>
      <c r="M2452">
        <v>198</v>
      </c>
      <c r="N2452">
        <v>49</v>
      </c>
      <c r="O2452">
        <v>24</v>
      </c>
      <c r="P2452">
        <v>42</v>
      </c>
      <c r="Q2452">
        <v>38</v>
      </c>
      <c r="R2452">
        <v>56</v>
      </c>
    </row>
    <row r="2453" spans="1:18" x14ac:dyDescent="0.25">
      <c r="A2453" t="s">
        <v>2626</v>
      </c>
      <c r="B2453" t="s">
        <v>55</v>
      </c>
      <c r="C2453" t="s">
        <v>2614</v>
      </c>
      <c r="D2453" t="s">
        <v>2615</v>
      </c>
      <c r="E2453" t="s">
        <v>78</v>
      </c>
      <c r="F2453" t="s">
        <v>252</v>
      </c>
      <c r="G2453">
        <v>6.6768999999999998</v>
      </c>
      <c r="H2453">
        <v>-74.843599999999995</v>
      </c>
      <c r="I2453" t="s">
        <v>2616</v>
      </c>
      <c r="J2453">
        <v>11</v>
      </c>
      <c r="M2453">
        <v>197</v>
      </c>
      <c r="N2453">
        <v>29</v>
      </c>
      <c r="O2453">
        <v>26</v>
      </c>
      <c r="P2453">
        <v>70</v>
      </c>
      <c r="Q2453">
        <v>29</v>
      </c>
      <c r="R2453">
        <v>49</v>
      </c>
    </row>
    <row r="2454" spans="1:18" x14ac:dyDescent="0.25">
      <c r="A2454" t="s">
        <v>2627</v>
      </c>
      <c r="B2454" t="s">
        <v>55</v>
      </c>
      <c r="C2454" t="s">
        <v>2614</v>
      </c>
      <c r="D2454" t="s">
        <v>2615</v>
      </c>
      <c r="E2454" t="s">
        <v>78</v>
      </c>
      <c r="F2454" t="s">
        <v>252</v>
      </c>
      <c r="G2454">
        <v>6.6768999999999998</v>
      </c>
      <c r="H2454">
        <v>-74.843599999999995</v>
      </c>
      <c r="I2454" t="s">
        <v>2616</v>
      </c>
      <c r="J2454">
        <v>11</v>
      </c>
      <c r="M2454">
        <v>193</v>
      </c>
      <c r="N2454">
        <v>56</v>
      </c>
      <c r="O2454">
        <v>26</v>
      </c>
      <c r="P2454">
        <v>42</v>
      </c>
      <c r="Q2454">
        <v>28</v>
      </c>
      <c r="R2454">
        <v>45</v>
      </c>
    </row>
    <row r="2455" spans="1:18" x14ac:dyDescent="0.25">
      <c r="A2455" t="s">
        <v>2628</v>
      </c>
      <c r="B2455" t="s">
        <v>55</v>
      </c>
      <c r="C2455" t="s">
        <v>2614</v>
      </c>
      <c r="D2455" t="s">
        <v>2615</v>
      </c>
      <c r="E2455" t="s">
        <v>78</v>
      </c>
      <c r="F2455" t="s">
        <v>252</v>
      </c>
      <c r="G2455">
        <v>6.6768999999999998</v>
      </c>
      <c r="H2455">
        <v>-74.843599999999995</v>
      </c>
      <c r="I2455" t="s">
        <v>2616</v>
      </c>
      <c r="J2455">
        <v>11</v>
      </c>
      <c r="M2455">
        <v>187</v>
      </c>
      <c r="N2455">
        <v>41</v>
      </c>
      <c r="O2455">
        <v>32</v>
      </c>
      <c r="P2455">
        <v>38</v>
      </c>
      <c r="Q2455">
        <v>33</v>
      </c>
      <c r="R2455">
        <v>53</v>
      </c>
    </row>
    <row r="2456" spans="1:18" x14ac:dyDescent="0.25">
      <c r="A2456" t="s">
        <v>2629</v>
      </c>
      <c r="B2456" t="s">
        <v>55</v>
      </c>
      <c r="C2456" t="s">
        <v>2614</v>
      </c>
      <c r="D2456" t="s">
        <v>2615</v>
      </c>
      <c r="E2456" t="s">
        <v>78</v>
      </c>
      <c r="F2456" t="s">
        <v>252</v>
      </c>
      <c r="G2456">
        <v>6.6768999999999998</v>
      </c>
      <c r="H2456">
        <v>-74.843599999999995</v>
      </c>
      <c r="I2456" t="s">
        <v>2616</v>
      </c>
      <c r="J2456">
        <v>11</v>
      </c>
      <c r="M2456">
        <v>185</v>
      </c>
      <c r="N2456">
        <v>41</v>
      </c>
      <c r="O2456">
        <v>24</v>
      </c>
      <c r="P2456">
        <v>46</v>
      </c>
      <c r="Q2456">
        <v>36</v>
      </c>
      <c r="R2456">
        <v>38</v>
      </c>
    </row>
    <row r="2457" spans="1:18" x14ac:dyDescent="0.25">
      <c r="A2457" t="s">
        <v>2630</v>
      </c>
      <c r="B2457" t="s">
        <v>55</v>
      </c>
      <c r="C2457" t="s">
        <v>2614</v>
      </c>
      <c r="D2457" t="s">
        <v>2615</v>
      </c>
      <c r="E2457" t="s">
        <v>78</v>
      </c>
      <c r="F2457" t="s">
        <v>252</v>
      </c>
      <c r="G2457">
        <v>6.6768999999999998</v>
      </c>
      <c r="H2457">
        <v>-74.843599999999995</v>
      </c>
      <c r="I2457" t="s">
        <v>2616</v>
      </c>
      <c r="J2457">
        <v>11</v>
      </c>
      <c r="M2457">
        <v>184</v>
      </c>
      <c r="N2457">
        <v>41</v>
      </c>
      <c r="O2457">
        <v>18</v>
      </c>
      <c r="P2457">
        <v>54</v>
      </c>
      <c r="Q2457">
        <v>31</v>
      </c>
      <c r="R2457">
        <v>44</v>
      </c>
    </row>
    <row r="2458" spans="1:18" x14ac:dyDescent="0.25">
      <c r="A2458" t="s">
        <v>2631</v>
      </c>
      <c r="B2458" t="s">
        <v>55</v>
      </c>
      <c r="C2458" t="s">
        <v>2614</v>
      </c>
      <c r="D2458" t="s">
        <v>2615</v>
      </c>
      <c r="E2458" t="s">
        <v>78</v>
      </c>
      <c r="F2458" t="s">
        <v>252</v>
      </c>
      <c r="G2458">
        <v>6.6768999999999998</v>
      </c>
      <c r="H2458">
        <v>-74.843599999999995</v>
      </c>
      <c r="I2458" t="s">
        <v>2616</v>
      </c>
      <c r="J2458">
        <v>11</v>
      </c>
      <c r="M2458">
        <v>178</v>
      </c>
      <c r="N2458">
        <v>41</v>
      </c>
      <c r="O2458">
        <v>22</v>
      </c>
      <c r="P2458">
        <v>44</v>
      </c>
      <c r="Q2458">
        <v>24</v>
      </c>
      <c r="R2458">
        <v>69</v>
      </c>
    </row>
    <row r="2459" spans="1:18" x14ac:dyDescent="0.25">
      <c r="A2459" t="s">
        <v>2632</v>
      </c>
      <c r="B2459" t="s">
        <v>55</v>
      </c>
      <c r="C2459" t="s">
        <v>2614</v>
      </c>
      <c r="D2459" t="s">
        <v>2615</v>
      </c>
      <c r="E2459" t="s">
        <v>78</v>
      </c>
      <c r="F2459" t="s">
        <v>252</v>
      </c>
      <c r="G2459">
        <v>6.6768999999999998</v>
      </c>
      <c r="H2459">
        <v>-74.843599999999995</v>
      </c>
      <c r="I2459" t="s">
        <v>2616</v>
      </c>
      <c r="J2459">
        <v>11</v>
      </c>
      <c r="M2459">
        <v>162</v>
      </c>
      <c r="N2459">
        <v>29</v>
      </c>
      <c r="O2459">
        <v>22</v>
      </c>
      <c r="P2459">
        <v>48</v>
      </c>
      <c r="Q2459">
        <v>29</v>
      </c>
      <c r="R2459">
        <v>36</v>
      </c>
    </row>
    <row r="2460" spans="1:18" x14ac:dyDescent="0.25">
      <c r="A2460" t="s">
        <v>2633</v>
      </c>
      <c r="B2460" t="s">
        <v>55</v>
      </c>
      <c r="C2460" t="s">
        <v>2614</v>
      </c>
      <c r="D2460" t="s">
        <v>2615</v>
      </c>
      <c r="E2460" t="s">
        <v>78</v>
      </c>
      <c r="F2460" t="s">
        <v>252</v>
      </c>
      <c r="G2460">
        <v>6.6768999999999998</v>
      </c>
      <c r="H2460">
        <v>-74.843599999999995</v>
      </c>
      <c r="I2460" t="s">
        <v>2616</v>
      </c>
      <c r="J2460">
        <v>11</v>
      </c>
      <c r="M2460">
        <v>156</v>
      </c>
      <c r="N2460">
        <v>24</v>
      </c>
      <c r="O2460">
        <v>26</v>
      </c>
      <c r="P2460">
        <v>38</v>
      </c>
      <c r="Q2460">
        <v>31</v>
      </c>
      <c r="R2460">
        <v>47</v>
      </c>
    </row>
    <row r="2461" spans="1:18" x14ac:dyDescent="0.25">
      <c r="A2461" t="s">
        <v>2634</v>
      </c>
      <c r="B2461" t="s">
        <v>55</v>
      </c>
      <c r="C2461" t="s">
        <v>2614</v>
      </c>
      <c r="D2461" t="s">
        <v>2615</v>
      </c>
      <c r="E2461" t="s">
        <v>78</v>
      </c>
      <c r="F2461" t="s">
        <v>252</v>
      </c>
      <c r="G2461">
        <v>6.6768999999999998</v>
      </c>
      <c r="H2461">
        <v>-74.843599999999995</v>
      </c>
      <c r="I2461" t="s">
        <v>2616</v>
      </c>
      <c r="J2461">
        <v>11</v>
      </c>
      <c r="M2461">
        <v>152</v>
      </c>
      <c r="N2461">
        <v>37</v>
      </c>
      <c r="O2461">
        <v>28</v>
      </c>
      <c r="P2461">
        <v>34</v>
      </c>
      <c r="Q2461">
        <v>22</v>
      </c>
      <c r="R2461">
        <v>31</v>
      </c>
    </row>
    <row r="2462" spans="1:18" x14ac:dyDescent="0.25">
      <c r="A2462" t="s">
        <v>2635</v>
      </c>
      <c r="B2462" t="s">
        <v>55</v>
      </c>
      <c r="C2462" t="s">
        <v>2614</v>
      </c>
      <c r="D2462" t="s">
        <v>2615</v>
      </c>
      <c r="E2462" t="s">
        <v>78</v>
      </c>
      <c r="F2462" t="s">
        <v>252</v>
      </c>
      <c r="G2462">
        <v>6.6768999999999998</v>
      </c>
      <c r="H2462">
        <v>-74.843599999999995</v>
      </c>
      <c r="I2462" t="s">
        <v>2616</v>
      </c>
      <c r="J2462">
        <v>11</v>
      </c>
      <c r="M2462">
        <v>53</v>
      </c>
      <c r="N2462">
        <v>0</v>
      </c>
      <c r="O2462">
        <v>14</v>
      </c>
      <c r="P2462">
        <v>10</v>
      </c>
      <c r="Q2462">
        <v>12</v>
      </c>
      <c r="R2462">
        <v>29</v>
      </c>
    </row>
    <row r="2463" spans="1:18" x14ac:dyDescent="0.25">
      <c r="A2463" t="s">
        <v>2636</v>
      </c>
      <c r="B2463" t="s">
        <v>55</v>
      </c>
      <c r="C2463" t="s">
        <v>2637</v>
      </c>
      <c r="D2463" t="s">
        <v>2638</v>
      </c>
      <c r="E2463" t="s">
        <v>78</v>
      </c>
      <c r="F2463" t="s">
        <v>252</v>
      </c>
      <c r="G2463">
        <v>7.0049999999999999</v>
      </c>
      <c r="H2463">
        <v>-74.008300000000006</v>
      </c>
      <c r="I2463" t="s">
        <v>2639</v>
      </c>
      <c r="J2463">
        <v>11</v>
      </c>
      <c r="M2463">
        <v>271</v>
      </c>
      <c r="N2463">
        <v>44</v>
      </c>
      <c r="O2463">
        <v>48</v>
      </c>
      <c r="P2463">
        <v>60</v>
      </c>
      <c r="Q2463">
        <v>62</v>
      </c>
      <c r="R2463">
        <v>64</v>
      </c>
    </row>
    <row r="2464" spans="1:18" x14ac:dyDescent="0.25">
      <c r="A2464" t="s">
        <v>2640</v>
      </c>
      <c r="B2464" t="s">
        <v>55</v>
      </c>
      <c r="C2464" t="s">
        <v>2637</v>
      </c>
      <c r="D2464" t="s">
        <v>2638</v>
      </c>
      <c r="E2464" t="s">
        <v>78</v>
      </c>
      <c r="F2464" t="s">
        <v>252</v>
      </c>
      <c r="G2464">
        <v>7.0049999999999999</v>
      </c>
      <c r="H2464">
        <v>-74.008300000000006</v>
      </c>
      <c r="I2464" t="s">
        <v>2639</v>
      </c>
      <c r="J2464">
        <v>11</v>
      </c>
      <c r="M2464">
        <v>270</v>
      </c>
      <c r="N2464">
        <v>44</v>
      </c>
      <c r="O2464">
        <v>50</v>
      </c>
      <c r="P2464">
        <v>58</v>
      </c>
      <c r="Q2464">
        <v>57</v>
      </c>
      <c r="R2464">
        <v>76</v>
      </c>
    </row>
    <row r="2465" spans="1:18" x14ac:dyDescent="0.25">
      <c r="A2465" t="s">
        <v>2641</v>
      </c>
      <c r="B2465" t="s">
        <v>55</v>
      </c>
      <c r="C2465" t="s">
        <v>2637</v>
      </c>
      <c r="D2465" t="s">
        <v>2638</v>
      </c>
      <c r="E2465" t="s">
        <v>78</v>
      </c>
      <c r="F2465" t="s">
        <v>252</v>
      </c>
      <c r="G2465">
        <v>7.0049999999999999</v>
      </c>
      <c r="H2465">
        <v>-74.008300000000006</v>
      </c>
      <c r="I2465" t="s">
        <v>2639</v>
      </c>
      <c r="J2465">
        <v>11</v>
      </c>
      <c r="M2465">
        <v>262</v>
      </c>
      <c r="N2465">
        <v>39</v>
      </c>
      <c r="O2465">
        <v>44</v>
      </c>
      <c r="P2465">
        <v>70</v>
      </c>
      <c r="Q2465">
        <v>48</v>
      </c>
      <c r="R2465">
        <v>76</v>
      </c>
    </row>
    <row r="2466" spans="1:18" x14ac:dyDescent="0.25">
      <c r="A2466" t="s">
        <v>2642</v>
      </c>
      <c r="B2466" t="s">
        <v>55</v>
      </c>
      <c r="C2466" t="s">
        <v>2637</v>
      </c>
      <c r="D2466" t="s">
        <v>2638</v>
      </c>
      <c r="E2466" t="s">
        <v>78</v>
      </c>
      <c r="F2466" t="s">
        <v>252</v>
      </c>
      <c r="G2466">
        <v>7.0049999999999999</v>
      </c>
      <c r="H2466">
        <v>-74.008300000000006</v>
      </c>
      <c r="I2466" t="s">
        <v>2639</v>
      </c>
      <c r="J2466">
        <v>11</v>
      </c>
      <c r="M2466">
        <v>260</v>
      </c>
      <c r="N2466">
        <v>66</v>
      </c>
      <c r="O2466">
        <v>36</v>
      </c>
      <c r="P2466">
        <v>60</v>
      </c>
      <c r="Q2466">
        <v>45</v>
      </c>
      <c r="R2466">
        <v>56</v>
      </c>
    </row>
    <row r="2467" spans="1:18" x14ac:dyDescent="0.25">
      <c r="A2467" t="s">
        <v>2643</v>
      </c>
      <c r="B2467" t="s">
        <v>55</v>
      </c>
      <c r="C2467" t="s">
        <v>2637</v>
      </c>
      <c r="D2467" t="s">
        <v>2638</v>
      </c>
      <c r="E2467" t="s">
        <v>78</v>
      </c>
      <c r="F2467" t="s">
        <v>252</v>
      </c>
      <c r="G2467">
        <v>7.0049999999999999</v>
      </c>
      <c r="H2467">
        <v>-74.008300000000006</v>
      </c>
      <c r="I2467" t="s">
        <v>2639</v>
      </c>
      <c r="J2467">
        <v>11</v>
      </c>
      <c r="M2467">
        <v>260</v>
      </c>
      <c r="N2467">
        <v>63</v>
      </c>
      <c r="O2467">
        <v>42</v>
      </c>
      <c r="P2467">
        <v>62</v>
      </c>
      <c r="Q2467">
        <v>41</v>
      </c>
      <c r="R2467">
        <v>49</v>
      </c>
    </row>
    <row r="2468" spans="1:18" x14ac:dyDescent="0.25">
      <c r="A2468" t="s">
        <v>2644</v>
      </c>
      <c r="B2468" t="s">
        <v>55</v>
      </c>
      <c r="C2468" t="s">
        <v>2637</v>
      </c>
      <c r="D2468" t="s">
        <v>2638</v>
      </c>
      <c r="E2468" t="s">
        <v>78</v>
      </c>
      <c r="F2468" t="s">
        <v>252</v>
      </c>
      <c r="G2468">
        <v>7.0049999999999999</v>
      </c>
      <c r="H2468">
        <v>-74.008300000000006</v>
      </c>
      <c r="I2468" t="s">
        <v>2639</v>
      </c>
      <c r="J2468">
        <v>11</v>
      </c>
      <c r="M2468">
        <v>257</v>
      </c>
      <c r="N2468">
        <v>37</v>
      </c>
      <c r="O2468">
        <v>46</v>
      </c>
      <c r="P2468">
        <v>64</v>
      </c>
      <c r="Q2468">
        <v>50</v>
      </c>
      <c r="R2468">
        <v>78</v>
      </c>
    </row>
    <row r="2469" spans="1:18" x14ac:dyDescent="0.25">
      <c r="A2469" t="s">
        <v>2645</v>
      </c>
      <c r="B2469" t="s">
        <v>55</v>
      </c>
      <c r="C2469" t="s">
        <v>2637</v>
      </c>
      <c r="D2469" t="s">
        <v>2638</v>
      </c>
      <c r="E2469" t="s">
        <v>78</v>
      </c>
      <c r="F2469" t="s">
        <v>252</v>
      </c>
      <c r="G2469">
        <v>7.0049999999999999</v>
      </c>
      <c r="H2469">
        <v>-74.008300000000006</v>
      </c>
      <c r="I2469" t="s">
        <v>2639</v>
      </c>
      <c r="J2469">
        <v>11</v>
      </c>
      <c r="M2469">
        <v>256</v>
      </c>
      <c r="N2469">
        <v>44</v>
      </c>
      <c r="O2469">
        <v>58</v>
      </c>
      <c r="P2469">
        <v>58</v>
      </c>
      <c r="Q2469">
        <v>38</v>
      </c>
      <c r="R2469">
        <v>73</v>
      </c>
    </row>
    <row r="2470" spans="1:18" x14ac:dyDescent="0.25">
      <c r="A2470" t="s">
        <v>2646</v>
      </c>
      <c r="B2470" t="s">
        <v>55</v>
      </c>
      <c r="C2470" t="s">
        <v>2637</v>
      </c>
      <c r="D2470" t="s">
        <v>2638</v>
      </c>
      <c r="E2470" t="s">
        <v>78</v>
      </c>
      <c r="F2470" t="s">
        <v>252</v>
      </c>
      <c r="G2470">
        <v>7.0049999999999999</v>
      </c>
      <c r="H2470">
        <v>-74.008300000000006</v>
      </c>
      <c r="I2470" t="s">
        <v>2639</v>
      </c>
      <c r="J2470">
        <v>11</v>
      </c>
      <c r="M2470">
        <v>255</v>
      </c>
      <c r="N2470">
        <v>46</v>
      </c>
      <c r="O2470">
        <v>40</v>
      </c>
      <c r="P2470">
        <v>62</v>
      </c>
      <c r="Q2470">
        <v>47</v>
      </c>
      <c r="R2470">
        <v>78</v>
      </c>
    </row>
    <row r="2471" spans="1:18" x14ac:dyDescent="0.25">
      <c r="A2471" t="s">
        <v>2647</v>
      </c>
      <c r="B2471" t="s">
        <v>55</v>
      </c>
      <c r="C2471" t="s">
        <v>2637</v>
      </c>
      <c r="D2471" t="s">
        <v>2638</v>
      </c>
      <c r="E2471" t="s">
        <v>78</v>
      </c>
      <c r="F2471" t="s">
        <v>252</v>
      </c>
      <c r="G2471">
        <v>7.0049999999999999</v>
      </c>
      <c r="H2471">
        <v>-74.008300000000006</v>
      </c>
      <c r="I2471" t="s">
        <v>2639</v>
      </c>
      <c r="J2471">
        <v>11</v>
      </c>
      <c r="M2471">
        <v>245</v>
      </c>
      <c r="N2471">
        <v>46</v>
      </c>
      <c r="O2471">
        <v>40</v>
      </c>
      <c r="P2471">
        <v>60</v>
      </c>
      <c r="Q2471">
        <v>50</v>
      </c>
      <c r="R2471">
        <v>49</v>
      </c>
    </row>
    <row r="2472" spans="1:18" x14ac:dyDescent="0.25">
      <c r="A2472" t="s">
        <v>2648</v>
      </c>
      <c r="B2472" t="s">
        <v>55</v>
      </c>
      <c r="C2472" t="s">
        <v>2637</v>
      </c>
      <c r="D2472" t="s">
        <v>2638</v>
      </c>
      <c r="E2472" t="s">
        <v>78</v>
      </c>
      <c r="F2472" t="s">
        <v>252</v>
      </c>
      <c r="G2472">
        <v>7.0049999999999999</v>
      </c>
      <c r="H2472">
        <v>-74.008300000000006</v>
      </c>
      <c r="I2472" t="s">
        <v>2639</v>
      </c>
      <c r="J2472">
        <v>11</v>
      </c>
      <c r="M2472">
        <v>238</v>
      </c>
      <c r="N2472">
        <v>39</v>
      </c>
      <c r="O2472">
        <v>46</v>
      </c>
      <c r="P2472">
        <v>46</v>
      </c>
      <c r="Q2472">
        <v>50</v>
      </c>
      <c r="R2472">
        <v>76</v>
      </c>
    </row>
    <row r="2473" spans="1:18" x14ac:dyDescent="0.25">
      <c r="A2473" t="s">
        <v>2649</v>
      </c>
      <c r="B2473" t="s">
        <v>55</v>
      </c>
      <c r="C2473" t="s">
        <v>2637</v>
      </c>
      <c r="D2473" t="s">
        <v>2638</v>
      </c>
      <c r="E2473" t="s">
        <v>78</v>
      </c>
      <c r="F2473" t="s">
        <v>252</v>
      </c>
      <c r="G2473">
        <v>7.0049999999999999</v>
      </c>
      <c r="H2473">
        <v>-74.008300000000006</v>
      </c>
      <c r="I2473" t="s">
        <v>2639</v>
      </c>
      <c r="J2473">
        <v>11</v>
      </c>
      <c r="M2473">
        <v>234</v>
      </c>
      <c r="N2473">
        <v>54</v>
      </c>
      <c r="O2473">
        <v>46</v>
      </c>
      <c r="P2473">
        <v>36</v>
      </c>
      <c r="Q2473">
        <v>40</v>
      </c>
      <c r="R2473">
        <v>84</v>
      </c>
    </row>
    <row r="2474" spans="1:18" x14ac:dyDescent="0.25">
      <c r="A2474" t="s">
        <v>2650</v>
      </c>
      <c r="B2474" t="s">
        <v>55</v>
      </c>
      <c r="C2474" t="s">
        <v>2637</v>
      </c>
      <c r="D2474" t="s">
        <v>2638</v>
      </c>
      <c r="E2474" t="s">
        <v>78</v>
      </c>
      <c r="F2474" t="s">
        <v>252</v>
      </c>
      <c r="G2474">
        <v>7.0049999999999999</v>
      </c>
      <c r="H2474">
        <v>-74.008300000000006</v>
      </c>
      <c r="I2474" t="s">
        <v>2639</v>
      </c>
      <c r="J2474">
        <v>11</v>
      </c>
      <c r="M2474">
        <v>229</v>
      </c>
      <c r="N2474">
        <v>39</v>
      </c>
      <c r="O2474">
        <v>42</v>
      </c>
      <c r="P2474">
        <v>52</v>
      </c>
      <c r="Q2474">
        <v>40</v>
      </c>
      <c r="R2474">
        <v>76</v>
      </c>
    </row>
    <row r="2475" spans="1:18" x14ac:dyDescent="0.25">
      <c r="A2475" t="s">
        <v>2651</v>
      </c>
      <c r="B2475" t="s">
        <v>55</v>
      </c>
      <c r="C2475" t="s">
        <v>2637</v>
      </c>
      <c r="D2475" t="s">
        <v>2638</v>
      </c>
      <c r="E2475" t="s">
        <v>78</v>
      </c>
      <c r="F2475" t="s">
        <v>252</v>
      </c>
      <c r="G2475">
        <v>7.0049999999999999</v>
      </c>
      <c r="H2475">
        <v>-74.008300000000006</v>
      </c>
      <c r="I2475" t="s">
        <v>2639</v>
      </c>
      <c r="J2475">
        <v>11</v>
      </c>
      <c r="M2475">
        <v>228</v>
      </c>
      <c r="N2475">
        <v>51</v>
      </c>
      <c r="O2475">
        <v>36</v>
      </c>
      <c r="P2475">
        <v>54</v>
      </c>
      <c r="Q2475">
        <v>40</v>
      </c>
      <c r="R2475">
        <v>51</v>
      </c>
    </row>
    <row r="2476" spans="1:18" x14ac:dyDescent="0.25">
      <c r="A2476" t="s">
        <v>2652</v>
      </c>
      <c r="B2476" t="s">
        <v>55</v>
      </c>
      <c r="C2476" t="s">
        <v>2637</v>
      </c>
      <c r="D2476" t="s">
        <v>2638</v>
      </c>
      <c r="E2476" t="s">
        <v>78</v>
      </c>
      <c r="F2476" t="s">
        <v>252</v>
      </c>
      <c r="G2476">
        <v>7.0049999999999999</v>
      </c>
      <c r="H2476">
        <v>-74.008300000000006</v>
      </c>
      <c r="I2476" t="s">
        <v>2639</v>
      </c>
      <c r="J2476">
        <v>11</v>
      </c>
      <c r="M2476">
        <v>224</v>
      </c>
      <c r="N2476">
        <v>63</v>
      </c>
      <c r="O2476">
        <v>30</v>
      </c>
      <c r="P2476">
        <v>52</v>
      </c>
      <c r="Q2476">
        <v>33</v>
      </c>
      <c r="R2476">
        <v>49</v>
      </c>
    </row>
    <row r="2477" spans="1:18" x14ac:dyDescent="0.25">
      <c r="A2477" t="s">
        <v>2653</v>
      </c>
      <c r="B2477" t="s">
        <v>55</v>
      </c>
      <c r="C2477" t="s">
        <v>2637</v>
      </c>
      <c r="D2477" t="s">
        <v>2638</v>
      </c>
      <c r="E2477" t="s">
        <v>78</v>
      </c>
      <c r="F2477" t="s">
        <v>252</v>
      </c>
      <c r="G2477">
        <v>7.0049999999999999</v>
      </c>
      <c r="H2477">
        <v>-74.008300000000006</v>
      </c>
      <c r="I2477" t="s">
        <v>2639</v>
      </c>
      <c r="J2477">
        <v>11</v>
      </c>
      <c r="M2477">
        <v>218</v>
      </c>
      <c r="N2477">
        <v>59</v>
      </c>
      <c r="O2477">
        <v>26</v>
      </c>
      <c r="P2477">
        <v>62</v>
      </c>
      <c r="Q2477">
        <v>29</v>
      </c>
      <c r="R2477">
        <v>38</v>
      </c>
    </row>
    <row r="2478" spans="1:18" x14ac:dyDescent="0.25">
      <c r="A2478" t="s">
        <v>2654</v>
      </c>
      <c r="B2478" t="s">
        <v>55</v>
      </c>
      <c r="C2478" t="s">
        <v>2637</v>
      </c>
      <c r="D2478" t="s">
        <v>2638</v>
      </c>
      <c r="E2478" t="s">
        <v>78</v>
      </c>
      <c r="F2478" t="s">
        <v>252</v>
      </c>
      <c r="G2478">
        <v>7.0049999999999999</v>
      </c>
      <c r="H2478">
        <v>-74.008300000000006</v>
      </c>
      <c r="I2478" t="s">
        <v>2639</v>
      </c>
      <c r="J2478">
        <v>11</v>
      </c>
      <c r="M2478">
        <v>213</v>
      </c>
      <c r="N2478">
        <v>61</v>
      </c>
      <c r="O2478">
        <v>24</v>
      </c>
      <c r="P2478">
        <v>48</v>
      </c>
      <c r="Q2478">
        <v>34</v>
      </c>
      <c r="R2478">
        <v>51</v>
      </c>
    </row>
    <row r="2479" spans="1:18" x14ac:dyDescent="0.25">
      <c r="A2479" t="s">
        <v>2655</v>
      </c>
      <c r="B2479" t="s">
        <v>55</v>
      </c>
      <c r="C2479" t="s">
        <v>2637</v>
      </c>
      <c r="D2479" t="s">
        <v>2638</v>
      </c>
      <c r="E2479" t="s">
        <v>78</v>
      </c>
      <c r="F2479" t="s">
        <v>252</v>
      </c>
      <c r="G2479">
        <v>7.0049999999999999</v>
      </c>
      <c r="H2479">
        <v>-74.008300000000006</v>
      </c>
      <c r="I2479" t="s">
        <v>2639</v>
      </c>
      <c r="J2479">
        <v>11</v>
      </c>
      <c r="M2479">
        <v>213</v>
      </c>
      <c r="N2479">
        <v>51</v>
      </c>
      <c r="O2479">
        <v>20</v>
      </c>
      <c r="P2479">
        <v>56</v>
      </c>
      <c r="Q2479">
        <v>33</v>
      </c>
      <c r="R2479">
        <v>73</v>
      </c>
    </row>
    <row r="2480" spans="1:18" x14ac:dyDescent="0.25">
      <c r="A2480" t="s">
        <v>2656</v>
      </c>
      <c r="B2480" t="s">
        <v>55</v>
      </c>
      <c r="C2480" t="s">
        <v>2637</v>
      </c>
      <c r="D2480" t="s">
        <v>2638</v>
      </c>
      <c r="E2480" t="s">
        <v>78</v>
      </c>
      <c r="F2480" t="s">
        <v>252</v>
      </c>
      <c r="G2480">
        <v>7.0049999999999999</v>
      </c>
      <c r="H2480">
        <v>-74.008300000000006</v>
      </c>
      <c r="I2480" t="s">
        <v>2639</v>
      </c>
      <c r="J2480">
        <v>11</v>
      </c>
      <c r="M2480">
        <v>212</v>
      </c>
      <c r="N2480">
        <v>59</v>
      </c>
      <c r="O2480">
        <v>26</v>
      </c>
      <c r="P2480">
        <v>52</v>
      </c>
      <c r="Q2480">
        <v>28</v>
      </c>
      <c r="R2480">
        <v>60</v>
      </c>
    </row>
    <row r="2481" spans="1:18" x14ac:dyDescent="0.25">
      <c r="A2481" t="s">
        <v>2657</v>
      </c>
      <c r="B2481" t="s">
        <v>55</v>
      </c>
      <c r="C2481" t="s">
        <v>2637</v>
      </c>
      <c r="D2481" t="s">
        <v>2638</v>
      </c>
      <c r="E2481" t="s">
        <v>78</v>
      </c>
      <c r="F2481" t="s">
        <v>252</v>
      </c>
      <c r="G2481">
        <v>7.0049999999999999</v>
      </c>
      <c r="H2481">
        <v>-74.008300000000006</v>
      </c>
      <c r="I2481" t="s">
        <v>2639</v>
      </c>
      <c r="J2481">
        <v>11</v>
      </c>
      <c r="M2481">
        <v>211</v>
      </c>
      <c r="N2481">
        <v>54</v>
      </c>
      <c r="O2481">
        <v>32</v>
      </c>
      <c r="P2481">
        <v>52</v>
      </c>
      <c r="Q2481">
        <v>31</v>
      </c>
      <c r="R2481">
        <v>44</v>
      </c>
    </row>
    <row r="2482" spans="1:18" x14ac:dyDescent="0.25">
      <c r="A2482" t="s">
        <v>2658</v>
      </c>
      <c r="B2482" t="s">
        <v>55</v>
      </c>
      <c r="C2482" t="s">
        <v>2637</v>
      </c>
      <c r="D2482" t="s">
        <v>2638</v>
      </c>
      <c r="E2482" t="s">
        <v>78</v>
      </c>
      <c r="F2482" t="s">
        <v>252</v>
      </c>
      <c r="G2482">
        <v>7.0049999999999999</v>
      </c>
      <c r="H2482">
        <v>-74.008300000000006</v>
      </c>
      <c r="I2482" t="s">
        <v>2639</v>
      </c>
      <c r="J2482">
        <v>11</v>
      </c>
      <c r="M2482">
        <v>210</v>
      </c>
      <c r="N2482">
        <v>49</v>
      </c>
      <c r="O2482">
        <v>18</v>
      </c>
      <c r="P2482">
        <v>62</v>
      </c>
      <c r="Q2482">
        <v>38</v>
      </c>
      <c r="R2482">
        <v>45</v>
      </c>
    </row>
    <row r="2483" spans="1:18" x14ac:dyDescent="0.25">
      <c r="A2483" t="s">
        <v>2659</v>
      </c>
      <c r="B2483" t="s">
        <v>55</v>
      </c>
      <c r="C2483" t="s">
        <v>2637</v>
      </c>
      <c r="D2483" t="s">
        <v>2638</v>
      </c>
      <c r="E2483" t="s">
        <v>78</v>
      </c>
      <c r="F2483" t="s">
        <v>252</v>
      </c>
      <c r="G2483">
        <v>7.0049999999999999</v>
      </c>
      <c r="H2483">
        <v>-74.008300000000006</v>
      </c>
      <c r="I2483" t="s">
        <v>2639</v>
      </c>
      <c r="J2483">
        <v>11</v>
      </c>
      <c r="M2483">
        <v>208</v>
      </c>
      <c r="N2483">
        <v>46</v>
      </c>
      <c r="O2483">
        <v>36</v>
      </c>
      <c r="P2483">
        <v>50</v>
      </c>
      <c r="Q2483">
        <v>29</v>
      </c>
      <c r="R2483">
        <v>56</v>
      </c>
    </row>
    <row r="2484" spans="1:18" x14ac:dyDescent="0.25">
      <c r="A2484" t="s">
        <v>2660</v>
      </c>
      <c r="B2484" t="s">
        <v>55</v>
      </c>
      <c r="C2484" t="s">
        <v>2637</v>
      </c>
      <c r="D2484" t="s">
        <v>2638</v>
      </c>
      <c r="E2484" t="s">
        <v>78</v>
      </c>
      <c r="F2484" t="s">
        <v>252</v>
      </c>
      <c r="G2484">
        <v>7.0049999999999999</v>
      </c>
      <c r="H2484">
        <v>-74.008300000000006</v>
      </c>
      <c r="I2484" t="s">
        <v>2639</v>
      </c>
      <c r="J2484">
        <v>11</v>
      </c>
      <c r="M2484">
        <v>202</v>
      </c>
      <c r="N2484">
        <v>54</v>
      </c>
      <c r="O2484">
        <v>30</v>
      </c>
      <c r="P2484">
        <v>42</v>
      </c>
      <c r="Q2484">
        <v>33</v>
      </c>
      <c r="R2484">
        <v>49</v>
      </c>
    </row>
    <row r="2485" spans="1:18" x14ac:dyDescent="0.25">
      <c r="A2485" t="s">
        <v>2661</v>
      </c>
      <c r="B2485" t="s">
        <v>55</v>
      </c>
      <c r="C2485" t="s">
        <v>2637</v>
      </c>
      <c r="D2485" t="s">
        <v>2638</v>
      </c>
      <c r="E2485" t="s">
        <v>78</v>
      </c>
      <c r="F2485" t="s">
        <v>252</v>
      </c>
      <c r="G2485">
        <v>7.0049999999999999</v>
      </c>
      <c r="H2485">
        <v>-74.008300000000006</v>
      </c>
      <c r="I2485" t="s">
        <v>2639</v>
      </c>
      <c r="J2485">
        <v>11</v>
      </c>
      <c r="M2485">
        <v>201</v>
      </c>
      <c r="N2485">
        <v>49</v>
      </c>
      <c r="O2485">
        <v>22</v>
      </c>
      <c r="P2485">
        <v>60</v>
      </c>
      <c r="Q2485">
        <v>31</v>
      </c>
      <c r="R2485">
        <v>36</v>
      </c>
    </row>
    <row r="2486" spans="1:18" x14ac:dyDescent="0.25">
      <c r="A2486" t="s">
        <v>2662</v>
      </c>
      <c r="B2486" t="s">
        <v>55</v>
      </c>
      <c r="C2486" t="s">
        <v>2637</v>
      </c>
      <c r="D2486" t="s">
        <v>2638</v>
      </c>
      <c r="E2486" t="s">
        <v>78</v>
      </c>
      <c r="F2486" t="s">
        <v>252</v>
      </c>
      <c r="G2486">
        <v>7.0049999999999999</v>
      </c>
      <c r="H2486">
        <v>-74.008300000000006</v>
      </c>
      <c r="I2486" t="s">
        <v>2639</v>
      </c>
      <c r="J2486">
        <v>11</v>
      </c>
      <c r="M2486">
        <v>195</v>
      </c>
      <c r="N2486">
        <v>32</v>
      </c>
      <c r="O2486">
        <v>28</v>
      </c>
      <c r="P2486">
        <v>50</v>
      </c>
      <c r="Q2486">
        <v>43</v>
      </c>
      <c r="R2486">
        <v>49</v>
      </c>
    </row>
    <row r="2487" spans="1:18" x14ac:dyDescent="0.25">
      <c r="A2487" t="s">
        <v>2663</v>
      </c>
      <c r="B2487" t="s">
        <v>55</v>
      </c>
      <c r="C2487" t="s">
        <v>2637</v>
      </c>
      <c r="D2487" t="s">
        <v>2638</v>
      </c>
      <c r="E2487" t="s">
        <v>78</v>
      </c>
      <c r="F2487" t="s">
        <v>252</v>
      </c>
      <c r="G2487">
        <v>7.0049999999999999</v>
      </c>
      <c r="H2487">
        <v>-74.008300000000006</v>
      </c>
      <c r="I2487" t="s">
        <v>2639</v>
      </c>
      <c r="J2487">
        <v>11</v>
      </c>
      <c r="M2487">
        <v>191</v>
      </c>
      <c r="N2487">
        <v>44</v>
      </c>
      <c r="O2487">
        <v>30</v>
      </c>
      <c r="P2487">
        <v>50</v>
      </c>
      <c r="Q2487">
        <v>31</v>
      </c>
      <c r="R2487">
        <v>33</v>
      </c>
    </row>
    <row r="2488" spans="1:18" x14ac:dyDescent="0.25">
      <c r="A2488" t="s">
        <v>2664</v>
      </c>
      <c r="B2488" t="s">
        <v>55</v>
      </c>
      <c r="C2488" t="s">
        <v>2637</v>
      </c>
      <c r="D2488" t="s">
        <v>2638</v>
      </c>
      <c r="E2488" t="s">
        <v>78</v>
      </c>
      <c r="F2488" t="s">
        <v>252</v>
      </c>
      <c r="G2488">
        <v>7.0049999999999999</v>
      </c>
      <c r="H2488">
        <v>-74.008300000000006</v>
      </c>
      <c r="I2488" t="s">
        <v>2639</v>
      </c>
      <c r="J2488">
        <v>11</v>
      </c>
      <c r="M2488">
        <v>191</v>
      </c>
      <c r="N2488">
        <v>49</v>
      </c>
      <c r="O2488">
        <v>28</v>
      </c>
      <c r="P2488">
        <v>46</v>
      </c>
      <c r="Q2488">
        <v>26</v>
      </c>
      <c r="R2488">
        <v>51</v>
      </c>
    </row>
    <row r="2489" spans="1:18" x14ac:dyDescent="0.25">
      <c r="A2489" t="s">
        <v>2665</v>
      </c>
      <c r="B2489" t="s">
        <v>55</v>
      </c>
      <c r="C2489" t="s">
        <v>2637</v>
      </c>
      <c r="D2489" t="s">
        <v>2638</v>
      </c>
      <c r="E2489" t="s">
        <v>78</v>
      </c>
      <c r="F2489" t="s">
        <v>252</v>
      </c>
      <c r="G2489">
        <v>7.0049999999999999</v>
      </c>
      <c r="H2489">
        <v>-74.008300000000006</v>
      </c>
      <c r="I2489" t="s">
        <v>2639</v>
      </c>
      <c r="J2489">
        <v>11</v>
      </c>
      <c r="M2489">
        <v>190</v>
      </c>
      <c r="N2489">
        <v>24</v>
      </c>
      <c r="O2489">
        <v>40</v>
      </c>
      <c r="P2489">
        <v>36</v>
      </c>
      <c r="Q2489">
        <v>36</v>
      </c>
      <c r="R2489">
        <v>84</v>
      </c>
    </row>
    <row r="2490" spans="1:18" x14ac:dyDescent="0.25">
      <c r="A2490" t="s">
        <v>2666</v>
      </c>
      <c r="B2490" t="s">
        <v>55</v>
      </c>
      <c r="C2490" t="s">
        <v>2637</v>
      </c>
      <c r="D2490" t="s">
        <v>2638</v>
      </c>
      <c r="E2490" t="s">
        <v>78</v>
      </c>
      <c r="F2490" t="s">
        <v>252</v>
      </c>
      <c r="G2490">
        <v>7.0049999999999999</v>
      </c>
      <c r="H2490">
        <v>-74.008300000000006</v>
      </c>
      <c r="I2490" t="s">
        <v>2639</v>
      </c>
      <c r="J2490">
        <v>11</v>
      </c>
      <c r="M2490">
        <v>188</v>
      </c>
      <c r="N2490">
        <v>37</v>
      </c>
      <c r="O2490">
        <v>30</v>
      </c>
      <c r="P2490">
        <v>54</v>
      </c>
      <c r="Q2490">
        <v>29</v>
      </c>
      <c r="R2490">
        <v>38</v>
      </c>
    </row>
    <row r="2491" spans="1:18" x14ac:dyDescent="0.25">
      <c r="A2491" t="s">
        <v>2667</v>
      </c>
      <c r="B2491" t="s">
        <v>55</v>
      </c>
      <c r="C2491" t="s">
        <v>2637</v>
      </c>
      <c r="D2491" t="s">
        <v>2638</v>
      </c>
      <c r="E2491" t="s">
        <v>78</v>
      </c>
      <c r="F2491" t="s">
        <v>252</v>
      </c>
      <c r="G2491">
        <v>7.0049999999999999</v>
      </c>
      <c r="H2491">
        <v>-74.008300000000006</v>
      </c>
      <c r="I2491" t="s">
        <v>2639</v>
      </c>
      <c r="J2491">
        <v>11</v>
      </c>
      <c r="M2491">
        <v>188</v>
      </c>
      <c r="N2491">
        <v>39</v>
      </c>
      <c r="O2491">
        <v>38</v>
      </c>
      <c r="P2491">
        <v>40</v>
      </c>
      <c r="Q2491">
        <v>31</v>
      </c>
      <c r="R2491">
        <v>44</v>
      </c>
    </row>
    <row r="2492" spans="1:18" x14ac:dyDescent="0.25">
      <c r="A2492" t="s">
        <v>2668</v>
      </c>
      <c r="B2492" t="s">
        <v>55</v>
      </c>
      <c r="C2492" t="s">
        <v>2637</v>
      </c>
      <c r="D2492" t="s">
        <v>2638</v>
      </c>
      <c r="E2492" t="s">
        <v>78</v>
      </c>
      <c r="F2492" t="s">
        <v>252</v>
      </c>
      <c r="G2492">
        <v>7.0049999999999999</v>
      </c>
      <c r="H2492">
        <v>-74.008300000000006</v>
      </c>
      <c r="I2492" t="s">
        <v>2639</v>
      </c>
      <c r="J2492">
        <v>11</v>
      </c>
      <c r="M2492">
        <v>186</v>
      </c>
      <c r="N2492">
        <v>32</v>
      </c>
      <c r="O2492">
        <v>18</v>
      </c>
      <c r="P2492">
        <v>60</v>
      </c>
      <c r="Q2492">
        <v>34</v>
      </c>
      <c r="R2492">
        <v>51</v>
      </c>
    </row>
    <row r="2493" spans="1:18" x14ac:dyDescent="0.25">
      <c r="A2493" t="s">
        <v>2669</v>
      </c>
      <c r="B2493" t="s">
        <v>55</v>
      </c>
      <c r="C2493" t="s">
        <v>2637</v>
      </c>
      <c r="D2493" t="s">
        <v>2638</v>
      </c>
      <c r="E2493" t="s">
        <v>78</v>
      </c>
      <c r="F2493" t="s">
        <v>252</v>
      </c>
      <c r="G2493">
        <v>7.0049999999999999</v>
      </c>
      <c r="H2493">
        <v>-74.008300000000006</v>
      </c>
      <c r="I2493" t="s">
        <v>2639</v>
      </c>
      <c r="J2493">
        <v>11</v>
      </c>
      <c r="M2493">
        <v>186</v>
      </c>
      <c r="N2493">
        <v>51</v>
      </c>
      <c r="O2493">
        <v>28</v>
      </c>
      <c r="P2493">
        <v>34</v>
      </c>
      <c r="Q2493">
        <v>36</v>
      </c>
      <c r="R2493">
        <v>35</v>
      </c>
    </row>
    <row r="2494" spans="1:18" x14ac:dyDescent="0.25">
      <c r="A2494" t="s">
        <v>2670</v>
      </c>
      <c r="B2494" t="s">
        <v>55</v>
      </c>
      <c r="C2494" t="s">
        <v>2637</v>
      </c>
      <c r="D2494" t="s">
        <v>2638</v>
      </c>
      <c r="E2494" t="s">
        <v>78</v>
      </c>
      <c r="F2494" t="s">
        <v>252</v>
      </c>
      <c r="G2494">
        <v>7.0049999999999999</v>
      </c>
      <c r="H2494">
        <v>-74.008300000000006</v>
      </c>
      <c r="I2494" t="s">
        <v>2639</v>
      </c>
      <c r="J2494">
        <v>11</v>
      </c>
      <c r="M2494">
        <v>186</v>
      </c>
      <c r="N2494">
        <v>44</v>
      </c>
      <c r="O2494">
        <v>34</v>
      </c>
      <c r="P2494">
        <v>46</v>
      </c>
      <c r="Q2494">
        <v>24</v>
      </c>
      <c r="R2494">
        <v>38</v>
      </c>
    </row>
    <row r="2495" spans="1:18" x14ac:dyDescent="0.25">
      <c r="A2495" t="s">
        <v>2671</v>
      </c>
      <c r="B2495" t="s">
        <v>55</v>
      </c>
      <c r="C2495" t="s">
        <v>2637</v>
      </c>
      <c r="D2495" t="s">
        <v>2638</v>
      </c>
      <c r="E2495" t="s">
        <v>78</v>
      </c>
      <c r="F2495" t="s">
        <v>252</v>
      </c>
      <c r="G2495">
        <v>7.0049999999999999</v>
      </c>
      <c r="H2495">
        <v>-74.008300000000006</v>
      </c>
      <c r="I2495" t="s">
        <v>2639</v>
      </c>
      <c r="J2495">
        <v>11</v>
      </c>
      <c r="M2495">
        <v>182</v>
      </c>
      <c r="N2495">
        <v>39</v>
      </c>
      <c r="O2495">
        <v>32</v>
      </c>
      <c r="P2495">
        <v>44</v>
      </c>
      <c r="Q2495">
        <v>33</v>
      </c>
      <c r="R2495">
        <v>31</v>
      </c>
    </row>
    <row r="2496" spans="1:18" x14ac:dyDescent="0.25">
      <c r="A2496" t="s">
        <v>2672</v>
      </c>
      <c r="B2496" t="s">
        <v>55</v>
      </c>
      <c r="C2496" t="s">
        <v>2637</v>
      </c>
      <c r="D2496" t="s">
        <v>2638</v>
      </c>
      <c r="E2496" t="s">
        <v>78</v>
      </c>
      <c r="F2496" t="s">
        <v>252</v>
      </c>
      <c r="G2496">
        <v>7.0049999999999999</v>
      </c>
      <c r="H2496">
        <v>-74.008300000000006</v>
      </c>
      <c r="I2496" t="s">
        <v>2639</v>
      </c>
      <c r="J2496">
        <v>11</v>
      </c>
      <c r="M2496">
        <v>181</v>
      </c>
      <c r="N2496">
        <v>37</v>
      </c>
      <c r="O2496">
        <v>34</v>
      </c>
      <c r="P2496">
        <v>32</v>
      </c>
      <c r="Q2496">
        <v>36</v>
      </c>
      <c r="R2496">
        <v>55</v>
      </c>
    </row>
    <row r="2497" spans="1:18" x14ac:dyDescent="0.25">
      <c r="A2497" t="s">
        <v>2673</v>
      </c>
      <c r="B2497" t="s">
        <v>55</v>
      </c>
      <c r="C2497" t="s">
        <v>2637</v>
      </c>
      <c r="D2497" t="s">
        <v>2638</v>
      </c>
      <c r="E2497" t="s">
        <v>78</v>
      </c>
      <c r="F2497" t="s">
        <v>252</v>
      </c>
      <c r="G2497">
        <v>7.0049999999999999</v>
      </c>
      <c r="H2497">
        <v>-74.008300000000006</v>
      </c>
      <c r="I2497" t="s">
        <v>2639</v>
      </c>
      <c r="J2497">
        <v>11</v>
      </c>
      <c r="M2497">
        <v>178</v>
      </c>
      <c r="N2497">
        <v>37</v>
      </c>
      <c r="O2497">
        <v>26</v>
      </c>
      <c r="P2497">
        <v>48</v>
      </c>
      <c r="Q2497">
        <v>24</v>
      </c>
      <c r="R2497">
        <v>58</v>
      </c>
    </row>
    <row r="2498" spans="1:18" x14ac:dyDescent="0.25">
      <c r="A2498" t="s">
        <v>2674</v>
      </c>
      <c r="B2498" t="s">
        <v>55</v>
      </c>
      <c r="C2498" t="s">
        <v>2637</v>
      </c>
      <c r="D2498" t="s">
        <v>2638</v>
      </c>
      <c r="E2498" t="s">
        <v>78</v>
      </c>
      <c r="F2498" t="s">
        <v>252</v>
      </c>
      <c r="G2498">
        <v>7.0049999999999999</v>
      </c>
      <c r="H2498">
        <v>-74.008300000000006</v>
      </c>
      <c r="I2498" t="s">
        <v>2639</v>
      </c>
      <c r="J2498">
        <v>11</v>
      </c>
      <c r="M2498">
        <v>177</v>
      </c>
      <c r="N2498">
        <v>37</v>
      </c>
      <c r="O2498">
        <v>28</v>
      </c>
      <c r="P2498">
        <v>46</v>
      </c>
      <c r="Q2498">
        <v>28</v>
      </c>
      <c r="R2498">
        <v>45</v>
      </c>
    </row>
    <row r="2499" spans="1:18" x14ac:dyDescent="0.25">
      <c r="A2499" t="s">
        <v>2675</v>
      </c>
      <c r="B2499" t="s">
        <v>55</v>
      </c>
      <c r="C2499" t="s">
        <v>2637</v>
      </c>
      <c r="D2499" t="s">
        <v>2638</v>
      </c>
      <c r="E2499" t="s">
        <v>78</v>
      </c>
      <c r="F2499" t="s">
        <v>252</v>
      </c>
      <c r="G2499">
        <v>7.0049999999999999</v>
      </c>
      <c r="H2499">
        <v>-74.008300000000006</v>
      </c>
      <c r="I2499" t="s">
        <v>2639</v>
      </c>
      <c r="J2499">
        <v>11</v>
      </c>
      <c r="M2499">
        <v>175</v>
      </c>
      <c r="N2499">
        <v>49</v>
      </c>
      <c r="O2499">
        <v>30</v>
      </c>
      <c r="P2499">
        <v>40</v>
      </c>
      <c r="Q2499">
        <v>26</v>
      </c>
      <c r="R2499">
        <v>20</v>
      </c>
    </row>
    <row r="2500" spans="1:18" x14ac:dyDescent="0.25">
      <c r="A2500" t="s">
        <v>2676</v>
      </c>
      <c r="B2500" t="s">
        <v>55</v>
      </c>
      <c r="C2500" t="s">
        <v>2637</v>
      </c>
      <c r="D2500" t="s">
        <v>2638</v>
      </c>
      <c r="E2500" t="s">
        <v>78</v>
      </c>
      <c r="F2500" t="s">
        <v>252</v>
      </c>
      <c r="G2500">
        <v>7.0049999999999999</v>
      </c>
      <c r="H2500">
        <v>-74.008300000000006</v>
      </c>
      <c r="I2500" t="s">
        <v>2639</v>
      </c>
      <c r="J2500">
        <v>11</v>
      </c>
      <c r="M2500">
        <v>173</v>
      </c>
      <c r="N2500">
        <v>37</v>
      </c>
      <c r="O2500">
        <v>30</v>
      </c>
      <c r="P2500">
        <v>48</v>
      </c>
      <c r="Q2500">
        <v>26</v>
      </c>
      <c r="R2500">
        <v>29</v>
      </c>
    </row>
    <row r="2501" spans="1:18" x14ac:dyDescent="0.25">
      <c r="A2501" t="s">
        <v>2677</v>
      </c>
      <c r="B2501" t="s">
        <v>55</v>
      </c>
      <c r="C2501" t="s">
        <v>2637</v>
      </c>
      <c r="D2501" t="s">
        <v>2638</v>
      </c>
      <c r="E2501" t="s">
        <v>78</v>
      </c>
      <c r="F2501" t="s">
        <v>252</v>
      </c>
      <c r="G2501">
        <v>7.0049999999999999</v>
      </c>
      <c r="H2501">
        <v>-74.008300000000006</v>
      </c>
      <c r="I2501" t="s">
        <v>2639</v>
      </c>
      <c r="J2501">
        <v>11</v>
      </c>
      <c r="M2501">
        <v>173</v>
      </c>
      <c r="N2501">
        <v>44</v>
      </c>
      <c r="O2501">
        <v>34</v>
      </c>
      <c r="P2501">
        <v>36</v>
      </c>
      <c r="Q2501">
        <v>26</v>
      </c>
      <c r="R2501">
        <v>31</v>
      </c>
    </row>
    <row r="2502" spans="1:18" x14ac:dyDescent="0.25">
      <c r="A2502" t="s">
        <v>2678</v>
      </c>
      <c r="B2502" t="s">
        <v>55</v>
      </c>
      <c r="C2502" t="s">
        <v>2637</v>
      </c>
      <c r="D2502" t="s">
        <v>2638</v>
      </c>
      <c r="E2502" t="s">
        <v>78</v>
      </c>
      <c r="F2502" t="s">
        <v>252</v>
      </c>
      <c r="G2502">
        <v>7.0049999999999999</v>
      </c>
      <c r="H2502">
        <v>-74.008300000000006</v>
      </c>
      <c r="I2502" t="s">
        <v>2639</v>
      </c>
      <c r="J2502">
        <v>11</v>
      </c>
      <c r="M2502">
        <v>173</v>
      </c>
      <c r="N2502">
        <v>46</v>
      </c>
      <c r="O2502">
        <v>26</v>
      </c>
      <c r="P2502">
        <v>42</v>
      </c>
      <c r="Q2502">
        <v>24</v>
      </c>
      <c r="R2502">
        <v>35</v>
      </c>
    </row>
    <row r="2503" spans="1:18" x14ac:dyDescent="0.25">
      <c r="A2503" t="s">
        <v>2679</v>
      </c>
      <c r="B2503" t="s">
        <v>55</v>
      </c>
      <c r="C2503" t="s">
        <v>2637</v>
      </c>
      <c r="D2503" t="s">
        <v>2638</v>
      </c>
      <c r="E2503" t="s">
        <v>78</v>
      </c>
      <c r="F2503" t="s">
        <v>252</v>
      </c>
      <c r="G2503">
        <v>7.0049999999999999</v>
      </c>
      <c r="H2503">
        <v>-74.008300000000006</v>
      </c>
      <c r="I2503" t="s">
        <v>2639</v>
      </c>
      <c r="J2503">
        <v>11</v>
      </c>
      <c r="M2503">
        <v>173</v>
      </c>
      <c r="N2503">
        <v>39</v>
      </c>
      <c r="O2503">
        <v>32</v>
      </c>
      <c r="P2503">
        <v>42</v>
      </c>
      <c r="Q2503">
        <v>26</v>
      </c>
      <c r="R2503">
        <v>33</v>
      </c>
    </row>
    <row r="2504" spans="1:18" x14ac:dyDescent="0.25">
      <c r="A2504" t="s">
        <v>2680</v>
      </c>
      <c r="B2504" t="s">
        <v>55</v>
      </c>
      <c r="C2504" t="s">
        <v>2637</v>
      </c>
      <c r="D2504" t="s">
        <v>2638</v>
      </c>
      <c r="E2504" t="s">
        <v>78</v>
      </c>
      <c r="F2504" t="s">
        <v>252</v>
      </c>
      <c r="G2504">
        <v>7.0049999999999999</v>
      </c>
      <c r="H2504">
        <v>-74.008300000000006</v>
      </c>
      <c r="I2504" t="s">
        <v>2639</v>
      </c>
      <c r="J2504">
        <v>11</v>
      </c>
      <c r="M2504">
        <v>172</v>
      </c>
      <c r="N2504">
        <v>39</v>
      </c>
      <c r="O2504">
        <v>30</v>
      </c>
      <c r="P2504">
        <v>38</v>
      </c>
      <c r="Q2504">
        <v>29</v>
      </c>
      <c r="R2504">
        <v>38</v>
      </c>
    </row>
    <row r="2505" spans="1:18" x14ac:dyDescent="0.25">
      <c r="A2505" t="s">
        <v>2681</v>
      </c>
      <c r="B2505" t="s">
        <v>55</v>
      </c>
      <c r="C2505" t="s">
        <v>2637</v>
      </c>
      <c r="D2505" t="s">
        <v>2638</v>
      </c>
      <c r="E2505" t="s">
        <v>78</v>
      </c>
      <c r="F2505" t="s">
        <v>252</v>
      </c>
      <c r="G2505">
        <v>7.0049999999999999</v>
      </c>
      <c r="H2505">
        <v>-74.008300000000006</v>
      </c>
      <c r="I2505" t="s">
        <v>2639</v>
      </c>
      <c r="J2505">
        <v>11</v>
      </c>
      <c r="M2505">
        <v>169</v>
      </c>
      <c r="N2505">
        <v>32</v>
      </c>
      <c r="O2505">
        <v>34</v>
      </c>
      <c r="P2505">
        <v>44</v>
      </c>
      <c r="Q2505">
        <v>28</v>
      </c>
      <c r="R2505">
        <v>27</v>
      </c>
    </row>
    <row r="2506" spans="1:18" x14ac:dyDescent="0.25">
      <c r="A2506" t="s">
        <v>2682</v>
      </c>
      <c r="B2506" t="s">
        <v>55</v>
      </c>
      <c r="C2506" t="s">
        <v>2637</v>
      </c>
      <c r="D2506" t="s">
        <v>2638</v>
      </c>
      <c r="E2506" t="s">
        <v>78</v>
      </c>
      <c r="F2506" t="s">
        <v>252</v>
      </c>
      <c r="G2506">
        <v>7.0049999999999999</v>
      </c>
      <c r="H2506">
        <v>-74.008300000000006</v>
      </c>
      <c r="I2506" t="s">
        <v>2639</v>
      </c>
      <c r="J2506">
        <v>11</v>
      </c>
      <c r="M2506">
        <v>165</v>
      </c>
      <c r="N2506">
        <v>44</v>
      </c>
      <c r="O2506">
        <v>22</v>
      </c>
      <c r="P2506">
        <v>44</v>
      </c>
      <c r="Q2506">
        <v>26</v>
      </c>
      <c r="R2506">
        <v>22</v>
      </c>
    </row>
    <row r="2507" spans="1:18" x14ac:dyDescent="0.25">
      <c r="A2507" t="s">
        <v>2683</v>
      </c>
      <c r="B2507" t="s">
        <v>55</v>
      </c>
      <c r="C2507" t="s">
        <v>2637</v>
      </c>
      <c r="D2507" t="s">
        <v>2638</v>
      </c>
      <c r="E2507" t="s">
        <v>78</v>
      </c>
      <c r="F2507" t="s">
        <v>252</v>
      </c>
      <c r="G2507">
        <v>7.0049999999999999</v>
      </c>
      <c r="H2507">
        <v>-74.008300000000006</v>
      </c>
      <c r="I2507" t="s">
        <v>2639</v>
      </c>
      <c r="J2507">
        <v>11</v>
      </c>
      <c r="M2507">
        <v>165</v>
      </c>
      <c r="N2507">
        <v>46</v>
      </c>
      <c r="O2507">
        <v>30</v>
      </c>
      <c r="P2507">
        <v>24</v>
      </c>
      <c r="Q2507">
        <v>33</v>
      </c>
      <c r="R2507">
        <v>29</v>
      </c>
    </row>
    <row r="2508" spans="1:18" x14ac:dyDescent="0.25">
      <c r="A2508" t="s">
        <v>2684</v>
      </c>
      <c r="B2508" t="s">
        <v>55</v>
      </c>
      <c r="C2508" t="s">
        <v>2637</v>
      </c>
      <c r="D2508" t="s">
        <v>2638</v>
      </c>
      <c r="E2508" t="s">
        <v>78</v>
      </c>
      <c r="F2508" t="s">
        <v>252</v>
      </c>
      <c r="G2508">
        <v>7.0049999999999999</v>
      </c>
      <c r="H2508">
        <v>-74.008300000000006</v>
      </c>
      <c r="I2508" t="s">
        <v>2639</v>
      </c>
      <c r="J2508">
        <v>11</v>
      </c>
      <c r="M2508">
        <v>164</v>
      </c>
      <c r="N2508">
        <v>37</v>
      </c>
      <c r="O2508">
        <v>32</v>
      </c>
      <c r="P2508">
        <v>38</v>
      </c>
      <c r="Q2508">
        <v>24</v>
      </c>
      <c r="R2508">
        <v>35</v>
      </c>
    </row>
    <row r="2509" spans="1:18" x14ac:dyDescent="0.25">
      <c r="A2509" t="s">
        <v>2685</v>
      </c>
      <c r="B2509" t="s">
        <v>55</v>
      </c>
      <c r="C2509" t="s">
        <v>2637</v>
      </c>
      <c r="D2509" t="s">
        <v>2638</v>
      </c>
      <c r="E2509" t="s">
        <v>78</v>
      </c>
      <c r="F2509" t="s">
        <v>252</v>
      </c>
      <c r="G2509">
        <v>7.0049999999999999</v>
      </c>
      <c r="H2509">
        <v>-74.008300000000006</v>
      </c>
      <c r="I2509" t="s">
        <v>2639</v>
      </c>
      <c r="J2509">
        <v>11</v>
      </c>
      <c r="M2509">
        <v>164</v>
      </c>
      <c r="N2509">
        <v>41</v>
      </c>
      <c r="O2509">
        <v>24</v>
      </c>
      <c r="P2509">
        <v>38</v>
      </c>
      <c r="Q2509">
        <v>26</v>
      </c>
      <c r="R2509">
        <v>38</v>
      </c>
    </row>
    <row r="2510" spans="1:18" x14ac:dyDescent="0.25">
      <c r="A2510" t="s">
        <v>2686</v>
      </c>
      <c r="B2510" t="s">
        <v>55</v>
      </c>
      <c r="C2510" t="s">
        <v>2637</v>
      </c>
      <c r="D2510" t="s">
        <v>2638</v>
      </c>
      <c r="E2510" t="s">
        <v>78</v>
      </c>
      <c r="F2510" t="s">
        <v>252</v>
      </c>
      <c r="G2510">
        <v>7.0049999999999999</v>
      </c>
      <c r="H2510">
        <v>-74.008300000000006</v>
      </c>
      <c r="I2510" t="s">
        <v>2639</v>
      </c>
      <c r="J2510">
        <v>11</v>
      </c>
      <c r="M2510">
        <v>161</v>
      </c>
      <c r="N2510">
        <v>37</v>
      </c>
      <c r="O2510">
        <v>18</v>
      </c>
      <c r="P2510">
        <v>50</v>
      </c>
      <c r="Q2510">
        <v>24</v>
      </c>
      <c r="R2510">
        <v>33</v>
      </c>
    </row>
    <row r="2511" spans="1:18" x14ac:dyDescent="0.25">
      <c r="A2511" t="s">
        <v>2687</v>
      </c>
      <c r="B2511" t="s">
        <v>55</v>
      </c>
      <c r="C2511" t="s">
        <v>2637</v>
      </c>
      <c r="D2511" t="s">
        <v>2638</v>
      </c>
      <c r="E2511" t="s">
        <v>78</v>
      </c>
      <c r="F2511" t="s">
        <v>252</v>
      </c>
      <c r="G2511">
        <v>7.0049999999999999</v>
      </c>
      <c r="H2511">
        <v>-74.008300000000006</v>
      </c>
      <c r="I2511" t="s">
        <v>2639</v>
      </c>
      <c r="J2511">
        <v>11</v>
      </c>
      <c r="M2511">
        <v>160</v>
      </c>
      <c r="N2511">
        <v>39</v>
      </c>
      <c r="O2511">
        <v>22</v>
      </c>
      <c r="P2511">
        <v>36</v>
      </c>
      <c r="Q2511">
        <v>21</v>
      </c>
      <c r="R2511">
        <v>64</v>
      </c>
    </row>
    <row r="2512" spans="1:18" x14ac:dyDescent="0.25">
      <c r="A2512" t="s">
        <v>2688</v>
      </c>
      <c r="B2512" t="s">
        <v>55</v>
      </c>
      <c r="C2512" t="s">
        <v>2637</v>
      </c>
      <c r="D2512" t="s">
        <v>2638</v>
      </c>
      <c r="E2512" t="s">
        <v>78</v>
      </c>
      <c r="F2512" t="s">
        <v>252</v>
      </c>
      <c r="G2512">
        <v>7.0049999999999999</v>
      </c>
      <c r="H2512">
        <v>-74.008300000000006</v>
      </c>
      <c r="I2512" t="s">
        <v>2639</v>
      </c>
      <c r="J2512">
        <v>11</v>
      </c>
      <c r="M2512">
        <v>158</v>
      </c>
      <c r="N2512">
        <v>44</v>
      </c>
      <c r="O2512">
        <v>26</v>
      </c>
      <c r="P2512">
        <v>42</v>
      </c>
      <c r="Q2512">
        <v>17</v>
      </c>
      <c r="R2512">
        <v>24</v>
      </c>
    </row>
    <row r="2513" spans="1:18" x14ac:dyDescent="0.25">
      <c r="A2513" t="s">
        <v>2689</v>
      </c>
      <c r="B2513" t="s">
        <v>55</v>
      </c>
      <c r="C2513" t="s">
        <v>2637</v>
      </c>
      <c r="D2513" t="s">
        <v>2638</v>
      </c>
      <c r="E2513" t="s">
        <v>78</v>
      </c>
      <c r="F2513" t="s">
        <v>252</v>
      </c>
      <c r="G2513">
        <v>7.0049999999999999</v>
      </c>
      <c r="H2513">
        <v>-74.008300000000006</v>
      </c>
      <c r="I2513" t="s">
        <v>2639</v>
      </c>
      <c r="J2513">
        <v>11</v>
      </c>
      <c r="M2513">
        <v>158</v>
      </c>
      <c r="N2513">
        <v>37</v>
      </c>
      <c r="O2513">
        <v>26</v>
      </c>
      <c r="P2513">
        <v>34</v>
      </c>
      <c r="Q2513">
        <v>29</v>
      </c>
      <c r="R2513">
        <v>33</v>
      </c>
    </row>
    <row r="2514" spans="1:18" x14ac:dyDescent="0.25">
      <c r="A2514" t="s">
        <v>2690</v>
      </c>
      <c r="B2514" t="s">
        <v>55</v>
      </c>
      <c r="C2514" t="s">
        <v>2637</v>
      </c>
      <c r="D2514" t="s">
        <v>2638</v>
      </c>
      <c r="E2514" t="s">
        <v>78</v>
      </c>
      <c r="F2514" t="s">
        <v>252</v>
      </c>
      <c r="G2514">
        <v>7.0049999999999999</v>
      </c>
      <c r="H2514">
        <v>-74.008300000000006</v>
      </c>
      <c r="I2514" t="s">
        <v>2639</v>
      </c>
      <c r="J2514">
        <v>11</v>
      </c>
      <c r="M2514">
        <v>152</v>
      </c>
      <c r="N2514">
        <v>34</v>
      </c>
      <c r="O2514">
        <v>30</v>
      </c>
      <c r="P2514">
        <v>30</v>
      </c>
      <c r="Q2514">
        <v>28</v>
      </c>
      <c r="R2514">
        <v>31</v>
      </c>
    </row>
    <row r="2515" spans="1:18" x14ac:dyDescent="0.25">
      <c r="A2515" t="s">
        <v>2691</v>
      </c>
      <c r="B2515" t="s">
        <v>55</v>
      </c>
      <c r="C2515" t="s">
        <v>2637</v>
      </c>
      <c r="D2515" t="s">
        <v>2638</v>
      </c>
      <c r="E2515" t="s">
        <v>78</v>
      </c>
      <c r="F2515" t="s">
        <v>252</v>
      </c>
      <c r="G2515">
        <v>7.0049999999999999</v>
      </c>
      <c r="H2515">
        <v>-74.008300000000006</v>
      </c>
      <c r="I2515" t="s">
        <v>2639</v>
      </c>
      <c r="J2515">
        <v>11</v>
      </c>
      <c r="M2515">
        <v>152</v>
      </c>
      <c r="N2515">
        <v>32</v>
      </c>
      <c r="O2515">
        <v>20</v>
      </c>
      <c r="P2515">
        <v>44</v>
      </c>
      <c r="Q2515">
        <v>24</v>
      </c>
      <c r="R2515">
        <v>36</v>
      </c>
    </row>
    <row r="2516" spans="1:18" x14ac:dyDescent="0.25">
      <c r="A2516" t="s">
        <v>2692</v>
      </c>
      <c r="B2516" t="s">
        <v>55</v>
      </c>
      <c r="C2516" t="s">
        <v>2637</v>
      </c>
      <c r="D2516" t="s">
        <v>2638</v>
      </c>
      <c r="E2516" t="s">
        <v>78</v>
      </c>
      <c r="F2516" t="s">
        <v>252</v>
      </c>
      <c r="G2516">
        <v>7.0049999999999999</v>
      </c>
      <c r="H2516">
        <v>-74.008300000000006</v>
      </c>
      <c r="I2516" t="s">
        <v>2639</v>
      </c>
      <c r="J2516">
        <v>11</v>
      </c>
      <c r="M2516">
        <v>148</v>
      </c>
      <c r="N2516">
        <v>34</v>
      </c>
      <c r="O2516">
        <v>38</v>
      </c>
      <c r="P2516">
        <v>12</v>
      </c>
      <c r="Q2516">
        <v>28</v>
      </c>
      <c r="R2516">
        <v>49</v>
      </c>
    </row>
    <row r="2517" spans="1:18" x14ac:dyDescent="0.25">
      <c r="A2517" t="s">
        <v>2693</v>
      </c>
      <c r="B2517" t="s">
        <v>55</v>
      </c>
      <c r="C2517" t="s">
        <v>2637</v>
      </c>
      <c r="D2517" t="s">
        <v>2638</v>
      </c>
      <c r="E2517" t="s">
        <v>78</v>
      </c>
      <c r="F2517" t="s">
        <v>252</v>
      </c>
      <c r="G2517">
        <v>7.0049999999999999</v>
      </c>
      <c r="H2517">
        <v>-74.008300000000006</v>
      </c>
      <c r="I2517" t="s">
        <v>2639</v>
      </c>
      <c r="J2517">
        <v>11</v>
      </c>
      <c r="M2517">
        <v>148</v>
      </c>
      <c r="N2517">
        <v>32</v>
      </c>
      <c r="O2517">
        <v>20</v>
      </c>
      <c r="P2517">
        <v>28</v>
      </c>
      <c r="Q2517">
        <v>38</v>
      </c>
      <c r="R2517">
        <v>31</v>
      </c>
    </row>
    <row r="2518" spans="1:18" x14ac:dyDescent="0.25">
      <c r="A2518" t="s">
        <v>2694</v>
      </c>
      <c r="B2518" t="s">
        <v>55</v>
      </c>
      <c r="C2518" t="s">
        <v>2637</v>
      </c>
      <c r="D2518" t="s">
        <v>2638</v>
      </c>
      <c r="E2518" t="s">
        <v>78</v>
      </c>
      <c r="F2518" t="s">
        <v>252</v>
      </c>
      <c r="G2518">
        <v>7.0049999999999999</v>
      </c>
      <c r="H2518">
        <v>-74.008300000000006</v>
      </c>
      <c r="I2518" t="s">
        <v>2639</v>
      </c>
      <c r="J2518">
        <v>11</v>
      </c>
      <c r="M2518">
        <v>145</v>
      </c>
      <c r="N2518">
        <v>41</v>
      </c>
      <c r="O2518">
        <v>20</v>
      </c>
      <c r="P2518">
        <v>40</v>
      </c>
      <c r="Q2518">
        <v>14</v>
      </c>
      <c r="R2518">
        <v>31</v>
      </c>
    </row>
    <row r="2519" spans="1:18" x14ac:dyDescent="0.25">
      <c r="A2519" t="s">
        <v>2695</v>
      </c>
      <c r="B2519" t="s">
        <v>55</v>
      </c>
      <c r="C2519" t="s">
        <v>2637</v>
      </c>
      <c r="D2519" t="s">
        <v>2638</v>
      </c>
      <c r="E2519" t="s">
        <v>78</v>
      </c>
      <c r="F2519" t="s">
        <v>252</v>
      </c>
      <c r="G2519">
        <v>7.0049999999999999</v>
      </c>
      <c r="H2519">
        <v>-74.008300000000006</v>
      </c>
      <c r="I2519" t="s">
        <v>2639</v>
      </c>
      <c r="J2519">
        <v>11</v>
      </c>
      <c r="M2519">
        <v>145</v>
      </c>
      <c r="N2519">
        <v>34</v>
      </c>
      <c r="O2519">
        <v>24</v>
      </c>
      <c r="P2519">
        <v>28</v>
      </c>
      <c r="Q2519">
        <v>28</v>
      </c>
      <c r="R2519">
        <v>35</v>
      </c>
    </row>
    <row r="2520" spans="1:18" x14ac:dyDescent="0.25">
      <c r="A2520" t="s">
        <v>2696</v>
      </c>
      <c r="B2520" t="s">
        <v>55</v>
      </c>
      <c r="C2520" t="s">
        <v>2637</v>
      </c>
      <c r="D2520" t="s">
        <v>2638</v>
      </c>
      <c r="E2520" t="s">
        <v>78</v>
      </c>
      <c r="F2520" t="s">
        <v>252</v>
      </c>
      <c r="G2520">
        <v>7.0049999999999999</v>
      </c>
      <c r="H2520">
        <v>-74.008300000000006</v>
      </c>
      <c r="I2520" t="s">
        <v>2639</v>
      </c>
      <c r="J2520">
        <v>11</v>
      </c>
      <c r="M2520">
        <v>143</v>
      </c>
      <c r="N2520">
        <v>32</v>
      </c>
      <c r="O2520">
        <v>16</v>
      </c>
      <c r="P2520">
        <v>28</v>
      </c>
      <c r="Q2520">
        <v>34</v>
      </c>
      <c r="R2520">
        <v>42</v>
      </c>
    </row>
    <row r="2521" spans="1:18" x14ac:dyDescent="0.25">
      <c r="A2521" t="s">
        <v>2697</v>
      </c>
      <c r="B2521" t="s">
        <v>55</v>
      </c>
      <c r="C2521" t="s">
        <v>2637</v>
      </c>
      <c r="D2521" t="s">
        <v>2638</v>
      </c>
      <c r="E2521" t="s">
        <v>78</v>
      </c>
      <c r="F2521" t="s">
        <v>252</v>
      </c>
      <c r="G2521">
        <v>7.0049999999999999</v>
      </c>
      <c r="H2521">
        <v>-74.008300000000006</v>
      </c>
      <c r="I2521" t="s">
        <v>2639</v>
      </c>
      <c r="J2521">
        <v>11</v>
      </c>
      <c r="M2521">
        <v>140</v>
      </c>
      <c r="N2521">
        <v>27</v>
      </c>
      <c r="O2521">
        <v>28</v>
      </c>
      <c r="P2521">
        <v>40</v>
      </c>
      <c r="Q2521">
        <v>19</v>
      </c>
      <c r="R2521">
        <v>24</v>
      </c>
    </row>
    <row r="2522" spans="1:18" x14ac:dyDescent="0.25">
      <c r="A2522" t="s">
        <v>2698</v>
      </c>
      <c r="B2522" t="s">
        <v>55</v>
      </c>
      <c r="C2522" t="s">
        <v>2637</v>
      </c>
      <c r="D2522" t="s">
        <v>2638</v>
      </c>
      <c r="E2522" t="s">
        <v>78</v>
      </c>
      <c r="F2522" t="s">
        <v>252</v>
      </c>
      <c r="G2522">
        <v>7.0049999999999999</v>
      </c>
      <c r="H2522">
        <v>-74.008300000000006</v>
      </c>
      <c r="I2522" t="s">
        <v>2639</v>
      </c>
      <c r="J2522">
        <v>11</v>
      </c>
      <c r="M2522">
        <v>138</v>
      </c>
      <c r="N2522">
        <v>22</v>
      </c>
      <c r="O2522">
        <v>20</v>
      </c>
      <c r="P2522">
        <v>40</v>
      </c>
      <c r="Q2522">
        <v>28</v>
      </c>
      <c r="R2522">
        <v>29</v>
      </c>
    </row>
    <row r="2523" spans="1:18" x14ac:dyDescent="0.25">
      <c r="A2523" t="s">
        <v>2699</v>
      </c>
      <c r="B2523" t="s">
        <v>55</v>
      </c>
      <c r="C2523" t="s">
        <v>2637</v>
      </c>
      <c r="D2523" t="s">
        <v>2638</v>
      </c>
      <c r="E2523" t="s">
        <v>78</v>
      </c>
      <c r="F2523" t="s">
        <v>252</v>
      </c>
      <c r="G2523">
        <v>7.0049999999999999</v>
      </c>
      <c r="H2523">
        <v>-74.008300000000006</v>
      </c>
      <c r="I2523" t="s">
        <v>2639</v>
      </c>
      <c r="J2523">
        <v>11</v>
      </c>
      <c r="M2523">
        <v>135</v>
      </c>
      <c r="N2523">
        <v>24</v>
      </c>
      <c r="O2523">
        <v>16</v>
      </c>
      <c r="P2523">
        <v>44</v>
      </c>
      <c r="Q2523">
        <v>21</v>
      </c>
      <c r="R2523">
        <v>35</v>
      </c>
    </row>
    <row r="2524" spans="1:18" x14ac:dyDescent="0.25">
      <c r="A2524" t="s">
        <v>2700</v>
      </c>
      <c r="B2524" t="s">
        <v>55</v>
      </c>
      <c r="C2524" t="s">
        <v>2637</v>
      </c>
      <c r="D2524" t="s">
        <v>2638</v>
      </c>
      <c r="E2524" t="s">
        <v>78</v>
      </c>
      <c r="F2524" t="s">
        <v>252</v>
      </c>
      <c r="G2524">
        <v>7.0049999999999999</v>
      </c>
      <c r="H2524">
        <v>-74.008300000000006</v>
      </c>
      <c r="I2524" t="s">
        <v>2639</v>
      </c>
      <c r="J2524">
        <v>11</v>
      </c>
      <c r="M2524">
        <v>132</v>
      </c>
      <c r="N2524">
        <v>24</v>
      </c>
      <c r="O2524">
        <v>26</v>
      </c>
      <c r="P2524">
        <v>20</v>
      </c>
      <c r="Q2524">
        <v>31</v>
      </c>
      <c r="R2524">
        <v>40</v>
      </c>
    </row>
    <row r="2525" spans="1:18" x14ac:dyDescent="0.25">
      <c r="A2525" t="s">
        <v>2701</v>
      </c>
      <c r="B2525" t="s">
        <v>55</v>
      </c>
      <c r="C2525" t="s">
        <v>2637</v>
      </c>
      <c r="D2525" t="s">
        <v>2638</v>
      </c>
      <c r="E2525" t="s">
        <v>78</v>
      </c>
      <c r="F2525" t="s">
        <v>252</v>
      </c>
      <c r="G2525">
        <v>7.0049999999999999</v>
      </c>
      <c r="H2525">
        <v>-74.008300000000006</v>
      </c>
      <c r="I2525" t="s">
        <v>2639</v>
      </c>
      <c r="J2525">
        <v>11</v>
      </c>
      <c r="M2525">
        <v>128</v>
      </c>
      <c r="N2525">
        <v>32</v>
      </c>
      <c r="O2525">
        <v>22</v>
      </c>
      <c r="P2525">
        <v>26</v>
      </c>
      <c r="Q2525">
        <v>24</v>
      </c>
      <c r="R2525">
        <v>20</v>
      </c>
    </row>
    <row r="2526" spans="1:18" x14ac:dyDescent="0.25">
      <c r="A2526" t="s">
        <v>2702</v>
      </c>
      <c r="B2526" t="s">
        <v>55</v>
      </c>
      <c r="C2526" t="s">
        <v>2637</v>
      </c>
      <c r="D2526" t="s">
        <v>2638</v>
      </c>
      <c r="E2526" t="s">
        <v>78</v>
      </c>
      <c r="F2526" t="s">
        <v>252</v>
      </c>
      <c r="G2526">
        <v>7.0049999999999999</v>
      </c>
      <c r="H2526">
        <v>-74.008300000000006</v>
      </c>
      <c r="I2526" t="s">
        <v>2639</v>
      </c>
      <c r="J2526">
        <v>11</v>
      </c>
      <c r="M2526">
        <v>124</v>
      </c>
      <c r="N2526">
        <v>34</v>
      </c>
      <c r="O2526">
        <v>22</v>
      </c>
      <c r="P2526">
        <v>24</v>
      </c>
      <c r="Q2526">
        <v>19</v>
      </c>
      <c r="R2526">
        <v>25</v>
      </c>
    </row>
    <row r="2527" spans="1:18" x14ac:dyDescent="0.25">
      <c r="A2527" t="s">
        <v>2703</v>
      </c>
      <c r="B2527" t="s">
        <v>55</v>
      </c>
      <c r="C2527" t="s">
        <v>2637</v>
      </c>
      <c r="D2527" t="s">
        <v>2638</v>
      </c>
      <c r="E2527" t="s">
        <v>78</v>
      </c>
      <c r="F2527" t="s">
        <v>252</v>
      </c>
      <c r="G2527">
        <v>7.0049999999999999</v>
      </c>
      <c r="H2527">
        <v>-74.008300000000006</v>
      </c>
      <c r="I2527" t="s">
        <v>2639</v>
      </c>
      <c r="J2527">
        <v>11</v>
      </c>
      <c r="M2527">
        <v>123</v>
      </c>
      <c r="N2527">
        <v>46</v>
      </c>
      <c r="O2527">
        <v>14</v>
      </c>
      <c r="P2527">
        <v>26</v>
      </c>
      <c r="Q2527">
        <v>21</v>
      </c>
      <c r="R2527">
        <v>0</v>
      </c>
    </row>
    <row r="2528" spans="1:18" x14ac:dyDescent="0.25">
      <c r="A2528" t="s">
        <v>2704</v>
      </c>
      <c r="B2528" t="s">
        <v>55</v>
      </c>
      <c r="C2528" t="s">
        <v>2637</v>
      </c>
      <c r="D2528" t="s">
        <v>2638</v>
      </c>
      <c r="E2528" t="s">
        <v>78</v>
      </c>
      <c r="F2528" t="s">
        <v>252</v>
      </c>
      <c r="G2528">
        <v>7.0049999999999999</v>
      </c>
      <c r="H2528">
        <v>-74.008300000000006</v>
      </c>
      <c r="I2528" t="s">
        <v>2639</v>
      </c>
      <c r="J2528">
        <v>11</v>
      </c>
      <c r="M2528">
        <v>89</v>
      </c>
      <c r="N2528">
        <v>37</v>
      </c>
      <c r="O2528">
        <v>16</v>
      </c>
      <c r="P2528">
        <v>16</v>
      </c>
      <c r="Q2528">
        <v>9</v>
      </c>
      <c r="R2528">
        <v>0</v>
      </c>
    </row>
    <row r="2529" spans="1:18" x14ac:dyDescent="0.25">
      <c r="A2529" t="s">
        <v>2705</v>
      </c>
      <c r="B2529" t="s">
        <v>55</v>
      </c>
      <c r="C2529" t="s">
        <v>2637</v>
      </c>
      <c r="D2529" t="s">
        <v>2638</v>
      </c>
      <c r="E2529" t="s">
        <v>78</v>
      </c>
      <c r="F2529" t="s">
        <v>252</v>
      </c>
      <c r="G2529">
        <v>7.0049999999999999</v>
      </c>
      <c r="H2529">
        <v>-74.008300000000006</v>
      </c>
      <c r="I2529" t="s">
        <v>2639</v>
      </c>
      <c r="J2529">
        <v>11</v>
      </c>
      <c r="M2529">
        <v>83</v>
      </c>
      <c r="N2529">
        <v>0</v>
      </c>
      <c r="O2529">
        <v>16</v>
      </c>
      <c r="P2529">
        <v>26</v>
      </c>
      <c r="Q2529">
        <v>17</v>
      </c>
      <c r="R2529">
        <v>38</v>
      </c>
    </row>
    <row r="2530" spans="1:18" x14ac:dyDescent="0.25">
      <c r="A2530" t="s">
        <v>2706</v>
      </c>
      <c r="B2530" t="s">
        <v>55</v>
      </c>
      <c r="C2530" t="s">
        <v>2637</v>
      </c>
      <c r="D2530" t="s">
        <v>2638</v>
      </c>
      <c r="E2530" t="s">
        <v>78</v>
      </c>
      <c r="F2530" t="s">
        <v>252</v>
      </c>
      <c r="G2530">
        <v>7.0049999999999999</v>
      </c>
      <c r="H2530">
        <v>-74.008300000000006</v>
      </c>
      <c r="I2530" t="s">
        <v>2639</v>
      </c>
      <c r="J2530">
        <v>11</v>
      </c>
      <c r="M2530">
        <v>56</v>
      </c>
      <c r="N2530">
        <v>0</v>
      </c>
      <c r="O2530">
        <v>4</v>
      </c>
      <c r="P2530">
        <v>14</v>
      </c>
      <c r="Q2530">
        <v>19</v>
      </c>
      <c r="R2530">
        <v>35</v>
      </c>
    </row>
    <row r="2531" spans="1:18" x14ac:dyDescent="0.25">
      <c r="A2531" t="s">
        <v>2707</v>
      </c>
      <c r="B2531" t="s">
        <v>55</v>
      </c>
      <c r="C2531" t="s">
        <v>2637</v>
      </c>
      <c r="D2531" t="s">
        <v>2638</v>
      </c>
      <c r="E2531" t="s">
        <v>78</v>
      </c>
      <c r="F2531" t="s">
        <v>252</v>
      </c>
      <c r="G2531">
        <v>7.0049999999999999</v>
      </c>
      <c r="H2531">
        <v>-74.008300000000006</v>
      </c>
      <c r="I2531" t="s">
        <v>2639</v>
      </c>
      <c r="J2531">
        <v>11</v>
      </c>
      <c r="M2531">
        <v>46</v>
      </c>
      <c r="N2531">
        <v>0</v>
      </c>
      <c r="O2531">
        <v>6</v>
      </c>
      <c r="P2531">
        <v>10</v>
      </c>
      <c r="Q2531">
        <v>12</v>
      </c>
      <c r="R2531">
        <v>36</v>
      </c>
    </row>
    <row r="2532" spans="1:18" x14ac:dyDescent="0.25">
      <c r="A2532" t="s">
        <v>2708</v>
      </c>
      <c r="B2532" t="s">
        <v>55</v>
      </c>
      <c r="C2532" t="s">
        <v>2637</v>
      </c>
      <c r="D2532" t="s">
        <v>2638</v>
      </c>
      <c r="E2532" t="s">
        <v>78</v>
      </c>
      <c r="F2532" t="s">
        <v>252</v>
      </c>
      <c r="G2532">
        <v>7.0049999999999999</v>
      </c>
      <c r="H2532">
        <v>-74.008300000000006</v>
      </c>
      <c r="I2532" t="s">
        <v>2639</v>
      </c>
      <c r="J2532">
        <v>11</v>
      </c>
      <c r="M2532">
        <v>40</v>
      </c>
      <c r="N2532">
        <v>0</v>
      </c>
      <c r="O2532">
        <v>4</v>
      </c>
      <c r="P2532">
        <v>14</v>
      </c>
      <c r="Q2532">
        <v>9</v>
      </c>
      <c r="R2532">
        <v>24</v>
      </c>
    </row>
    <row r="2533" spans="1:18" x14ac:dyDescent="0.25">
      <c r="A2533" t="s">
        <v>2709</v>
      </c>
      <c r="B2533" t="s">
        <v>55</v>
      </c>
      <c r="C2533" t="s">
        <v>2710</v>
      </c>
      <c r="D2533" t="s">
        <v>2711</v>
      </c>
      <c r="E2533" t="s">
        <v>78</v>
      </c>
      <c r="F2533" t="s">
        <v>252</v>
      </c>
      <c r="G2533">
        <v>7.4913999999999996</v>
      </c>
      <c r="H2533">
        <v>-74.869200000000006</v>
      </c>
      <c r="I2533" t="s">
        <v>2712</v>
      </c>
      <c r="J2533">
        <v>11</v>
      </c>
      <c r="M2533">
        <v>267</v>
      </c>
      <c r="N2533">
        <v>66</v>
      </c>
      <c r="O2533">
        <v>42</v>
      </c>
      <c r="P2533">
        <v>68</v>
      </c>
      <c r="Q2533">
        <v>38</v>
      </c>
      <c r="R2533">
        <v>53</v>
      </c>
    </row>
    <row r="2534" spans="1:18" x14ac:dyDescent="0.25">
      <c r="A2534" t="s">
        <v>2713</v>
      </c>
      <c r="B2534" t="s">
        <v>55</v>
      </c>
      <c r="C2534" t="s">
        <v>2710</v>
      </c>
      <c r="D2534" t="s">
        <v>2711</v>
      </c>
      <c r="E2534" t="s">
        <v>78</v>
      </c>
      <c r="F2534" t="s">
        <v>252</v>
      </c>
      <c r="G2534">
        <v>7.4913999999999996</v>
      </c>
      <c r="H2534">
        <v>-74.869200000000006</v>
      </c>
      <c r="I2534" t="s">
        <v>2712</v>
      </c>
      <c r="J2534">
        <v>11</v>
      </c>
      <c r="M2534">
        <v>231</v>
      </c>
      <c r="N2534">
        <v>37</v>
      </c>
      <c r="O2534">
        <v>44</v>
      </c>
      <c r="P2534">
        <v>64</v>
      </c>
      <c r="Q2534">
        <v>38</v>
      </c>
      <c r="R2534">
        <v>53</v>
      </c>
    </row>
    <row r="2535" spans="1:18" x14ac:dyDescent="0.25">
      <c r="A2535" t="s">
        <v>2714</v>
      </c>
      <c r="B2535" t="s">
        <v>55</v>
      </c>
      <c r="C2535" t="s">
        <v>2710</v>
      </c>
      <c r="D2535" t="s">
        <v>2711</v>
      </c>
      <c r="E2535" t="s">
        <v>78</v>
      </c>
      <c r="F2535" t="s">
        <v>252</v>
      </c>
      <c r="G2535">
        <v>7.4913999999999996</v>
      </c>
      <c r="H2535">
        <v>-74.869200000000006</v>
      </c>
      <c r="I2535" t="s">
        <v>2712</v>
      </c>
      <c r="J2535">
        <v>11</v>
      </c>
      <c r="M2535">
        <v>230</v>
      </c>
      <c r="N2535">
        <v>54</v>
      </c>
      <c r="O2535">
        <v>36</v>
      </c>
      <c r="P2535">
        <v>56</v>
      </c>
      <c r="Q2535">
        <v>40</v>
      </c>
      <c r="R2535">
        <v>42</v>
      </c>
    </row>
    <row r="2536" spans="1:18" x14ac:dyDescent="0.25">
      <c r="A2536" t="s">
        <v>2715</v>
      </c>
      <c r="B2536" t="s">
        <v>55</v>
      </c>
      <c r="C2536" t="s">
        <v>2710</v>
      </c>
      <c r="D2536" t="s">
        <v>2711</v>
      </c>
      <c r="E2536" t="s">
        <v>78</v>
      </c>
      <c r="F2536" t="s">
        <v>252</v>
      </c>
      <c r="G2536">
        <v>7.4913999999999996</v>
      </c>
      <c r="H2536">
        <v>-74.869200000000006</v>
      </c>
      <c r="I2536" t="s">
        <v>2712</v>
      </c>
      <c r="J2536">
        <v>11</v>
      </c>
      <c r="M2536">
        <v>226</v>
      </c>
      <c r="N2536">
        <v>61</v>
      </c>
      <c r="O2536">
        <v>34</v>
      </c>
      <c r="P2536">
        <v>54</v>
      </c>
      <c r="Q2536">
        <v>36</v>
      </c>
      <c r="R2536">
        <v>31</v>
      </c>
    </row>
    <row r="2537" spans="1:18" x14ac:dyDescent="0.25">
      <c r="A2537" t="s">
        <v>2716</v>
      </c>
      <c r="B2537" t="s">
        <v>55</v>
      </c>
      <c r="C2537" t="s">
        <v>2710</v>
      </c>
      <c r="D2537" t="s">
        <v>2711</v>
      </c>
      <c r="E2537" t="s">
        <v>78</v>
      </c>
      <c r="F2537" t="s">
        <v>252</v>
      </c>
      <c r="G2537">
        <v>7.4913999999999996</v>
      </c>
      <c r="H2537">
        <v>-74.869200000000006</v>
      </c>
      <c r="I2537" t="s">
        <v>2712</v>
      </c>
      <c r="J2537">
        <v>11</v>
      </c>
      <c r="M2537">
        <v>202</v>
      </c>
      <c r="N2537">
        <v>51</v>
      </c>
      <c r="O2537">
        <v>24</v>
      </c>
      <c r="P2537">
        <v>54</v>
      </c>
      <c r="Q2537">
        <v>36</v>
      </c>
      <c r="R2537">
        <v>29</v>
      </c>
    </row>
    <row r="2538" spans="1:18" x14ac:dyDescent="0.25">
      <c r="A2538" t="s">
        <v>2717</v>
      </c>
      <c r="B2538" t="s">
        <v>55</v>
      </c>
      <c r="C2538" t="s">
        <v>2710</v>
      </c>
      <c r="D2538" t="s">
        <v>2711</v>
      </c>
      <c r="E2538" t="s">
        <v>78</v>
      </c>
      <c r="F2538" t="s">
        <v>252</v>
      </c>
      <c r="G2538">
        <v>7.4913999999999996</v>
      </c>
      <c r="H2538">
        <v>-74.869200000000006</v>
      </c>
      <c r="I2538" t="s">
        <v>2712</v>
      </c>
      <c r="J2538">
        <v>11</v>
      </c>
      <c r="M2538">
        <v>197</v>
      </c>
      <c r="N2538">
        <v>51</v>
      </c>
      <c r="O2538">
        <v>30</v>
      </c>
      <c r="P2538">
        <v>44</v>
      </c>
      <c r="Q2538">
        <v>31</v>
      </c>
      <c r="R2538">
        <v>44</v>
      </c>
    </row>
    <row r="2539" spans="1:18" x14ac:dyDescent="0.25">
      <c r="A2539" t="s">
        <v>2718</v>
      </c>
      <c r="B2539" t="s">
        <v>55</v>
      </c>
      <c r="C2539" t="s">
        <v>2710</v>
      </c>
      <c r="D2539" t="s">
        <v>2711</v>
      </c>
      <c r="E2539" t="s">
        <v>78</v>
      </c>
      <c r="F2539" t="s">
        <v>252</v>
      </c>
      <c r="G2539">
        <v>7.4913999999999996</v>
      </c>
      <c r="H2539">
        <v>-74.869200000000006</v>
      </c>
      <c r="I2539" t="s">
        <v>2712</v>
      </c>
      <c r="J2539">
        <v>11</v>
      </c>
      <c r="M2539">
        <v>195</v>
      </c>
      <c r="N2539">
        <v>54</v>
      </c>
      <c r="O2539">
        <v>22</v>
      </c>
      <c r="P2539">
        <v>50</v>
      </c>
      <c r="Q2539">
        <v>33</v>
      </c>
      <c r="R2539">
        <v>33</v>
      </c>
    </row>
    <row r="2540" spans="1:18" x14ac:dyDescent="0.25">
      <c r="A2540" t="s">
        <v>2719</v>
      </c>
      <c r="B2540" t="s">
        <v>55</v>
      </c>
      <c r="C2540" t="s">
        <v>2710</v>
      </c>
      <c r="D2540" t="s">
        <v>2711</v>
      </c>
      <c r="E2540" t="s">
        <v>78</v>
      </c>
      <c r="F2540" t="s">
        <v>252</v>
      </c>
      <c r="G2540">
        <v>7.4913999999999996</v>
      </c>
      <c r="H2540">
        <v>-74.869200000000006</v>
      </c>
      <c r="I2540" t="s">
        <v>2712</v>
      </c>
      <c r="J2540">
        <v>11</v>
      </c>
      <c r="M2540">
        <v>195</v>
      </c>
      <c r="N2540">
        <v>56</v>
      </c>
      <c r="O2540">
        <v>34</v>
      </c>
      <c r="P2540">
        <v>36</v>
      </c>
      <c r="Q2540">
        <v>21</v>
      </c>
      <c r="R2540">
        <v>67</v>
      </c>
    </row>
    <row r="2541" spans="1:18" x14ac:dyDescent="0.25">
      <c r="A2541" t="s">
        <v>2720</v>
      </c>
      <c r="B2541" t="s">
        <v>55</v>
      </c>
      <c r="C2541" t="s">
        <v>2710</v>
      </c>
      <c r="D2541" t="s">
        <v>2711</v>
      </c>
      <c r="E2541" t="s">
        <v>78</v>
      </c>
      <c r="F2541" t="s">
        <v>252</v>
      </c>
      <c r="G2541">
        <v>7.4913999999999996</v>
      </c>
      <c r="H2541">
        <v>-74.869200000000006</v>
      </c>
      <c r="I2541" t="s">
        <v>2712</v>
      </c>
      <c r="J2541">
        <v>11</v>
      </c>
      <c r="M2541">
        <v>192</v>
      </c>
      <c r="N2541">
        <v>46</v>
      </c>
      <c r="O2541">
        <v>24</v>
      </c>
      <c r="P2541">
        <v>56</v>
      </c>
      <c r="Q2541">
        <v>28</v>
      </c>
      <c r="R2541">
        <v>36</v>
      </c>
    </row>
    <row r="2542" spans="1:18" x14ac:dyDescent="0.25">
      <c r="A2542" t="s">
        <v>2721</v>
      </c>
      <c r="B2542" t="s">
        <v>55</v>
      </c>
      <c r="C2542" t="s">
        <v>2710</v>
      </c>
      <c r="D2542" t="s">
        <v>2711</v>
      </c>
      <c r="E2542" t="s">
        <v>78</v>
      </c>
      <c r="F2542" t="s">
        <v>252</v>
      </c>
      <c r="G2542">
        <v>7.4913999999999996</v>
      </c>
      <c r="H2542">
        <v>-74.869200000000006</v>
      </c>
      <c r="I2542" t="s">
        <v>2712</v>
      </c>
      <c r="J2542">
        <v>11</v>
      </c>
      <c r="M2542">
        <v>184</v>
      </c>
      <c r="N2542">
        <v>44</v>
      </c>
      <c r="O2542">
        <v>30</v>
      </c>
      <c r="P2542">
        <v>28</v>
      </c>
      <c r="Q2542">
        <v>38</v>
      </c>
      <c r="R2542">
        <v>58</v>
      </c>
    </row>
    <row r="2543" spans="1:18" x14ac:dyDescent="0.25">
      <c r="A2543" t="s">
        <v>2722</v>
      </c>
      <c r="B2543" t="s">
        <v>55</v>
      </c>
      <c r="C2543" t="s">
        <v>2710</v>
      </c>
      <c r="D2543" t="s">
        <v>2711</v>
      </c>
      <c r="E2543" t="s">
        <v>78</v>
      </c>
      <c r="F2543" t="s">
        <v>252</v>
      </c>
      <c r="G2543">
        <v>7.4913999999999996</v>
      </c>
      <c r="H2543">
        <v>-74.869200000000006</v>
      </c>
      <c r="I2543" t="s">
        <v>2712</v>
      </c>
      <c r="J2543">
        <v>11</v>
      </c>
      <c r="M2543">
        <v>180</v>
      </c>
      <c r="N2543">
        <v>46</v>
      </c>
      <c r="O2543">
        <v>18</v>
      </c>
      <c r="P2543">
        <v>48</v>
      </c>
      <c r="Q2543">
        <v>31</v>
      </c>
      <c r="R2543">
        <v>38</v>
      </c>
    </row>
    <row r="2544" spans="1:18" x14ac:dyDescent="0.25">
      <c r="A2544" t="s">
        <v>2723</v>
      </c>
      <c r="B2544" t="s">
        <v>55</v>
      </c>
      <c r="C2544" t="s">
        <v>2710</v>
      </c>
      <c r="D2544" t="s">
        <v>2711</v>
      </c>
      <c r="E2544" t="s">
        <v>78</v>
      </c>
      <c r="F2544" t="s">
        <v>252</v>
      </c>
      <c r="G2544">
        <v>7.4913999999999996</v>
      </c>
      <c r="H2544">
        <v>-74.869200000000006</v>
      </c>
      <c r="I2544" t="s">
        <v>2712</v>
      </c>
      <c r="J2544">
        <v>11</v>
      </c>
      <c r="M2544">
        <v>179</v>
      </c>
      <c r="N2544">
        <v>41</v>
      </c>
      <c r="O2544">
        <v>28</v>
      </c>
      <c r="P2544">
        <v>40</v>
      </c>
      <c r="Q2544">
        <v>33</v>
      </c>
      <c r="R2544">
        <v>38</v>
      </c>
    </row>
    <row r="2545" spans="1:18" x14ac:dyDescent="0.25">
      <c r="A2545" t="s">
        <v>2724</v>
      </c>
      <c r="B2545" t="s">
        <v>55</v>
      </c>
      <c r="C2545" t="s">
        <v>2710</v>
      </c>
      <c r="D2545" t="s">
        <v>2711</v>
      </c>
      <c r="E2545" t="s">
        <v>78</v>
      </c>
      <c r="F2545" t="s">
        <v>252</v>
      </c>
      <c r="G2545">
        <v>7.4913999999999996</v>
      </c>
      <c r="H2545">
        <v>-74.869200000000006</v>
      </c>
      <c r="I2545" t="s">
        <v>2712</v>
      </c>
      <c r="J2545">
        <v>11</v>
      </c>
      <c r="M2545">
        <v>178</v>
      </c>
      <c r="N2545">
        <v>32</v>
      </c>
      <c r="O2545">
        <v>32</v>
      </c>
      <c r="P2545">
        <v>40</v>
      </c>
      <c r="Q2545">
        <v>36</v>
      </c>
      <c r="R2545">
        <v>44</v>
      </c>
    </row>
    <row r="2546" spans="1:18" x14ac:dyDescent="0.25">
      <c r="A2546" t="s">
        <v>2725</v>
      </c>
      <c r="B2546" t="s">
        <v>55</v>
      </c>
      <c r="C2546" t="s">
        <v>2710</v>
      </c>
      <c r="D2546" t="s">
        <v>2711</v>
      </c>
      <c r="E2546" t="s">
        <v>78</v>
      </c>
      <c r="F2546" t="s">
        <v>252</v>
      </c>
      <c r="G2546">
        <v>7.4913999999999996</v>
      </c>
      <c r="H2546">
        <v>-74.869200000000006</v>
      </c>
      <c r="I2546" t="s">
        <v>2712</v>
      </c>
      <c r="J2546">
        <v>11</v>
      </c>
      <c r="M2546">
        <v>175</v>
      </c>
      <c r="N2546">
        <v>39</v>
      </c>
      <c r="O2546">
        <v>26</v>
      </c>
      <c r="P2546">
        <v>42</v>
      </c>
      <c r="Q2546">
        <v>29</v>
      </c>
      <c r="R2546">
        <v>45</v>
      </c>
    </row>
    <row r="2547" spans="1:18" x14ac:dyDescent="0.25">
      <c r="A2547" t="s">
        <v>2726</v>
      </c>
      <c r="B2547" t="s">
        <v>55</v>
      </c>
      <c r="C2547" t="s">
        <v>2710</v>
      </c>
      <c r="D2547" t="s">
        <v>2711</v>
      </c>
      <c r="E2547" t="s">
        <v>78</v>
      </c>
      <c r="F2547" t="s">
        <v>252</v>
      </c>
      <c r="G2547">
        <v>7.4913999999999996</v>
      </c>
      <c r="H2547">
        <v>-74.869200000000006</v>
      </c>
      <c r="I2547" t="s">
        <v>2712</v>
      </c>
      <c r="J2547">
        <v>11</v>
      </c>
      <c r="M2547">
        <v>167</v>
      </c>
      <c r="N2547">
        <v>37</v>
      </c>
      <c r="O2547">
        <v>28</v>
      </c>
      <c r="P2547">
        <v>36</v>
      </c>
      <c r="Q2547">
        <v>31</v>
      </c>
      <c r="R2547">
        <v>38</v>
      </c>
    </row>
    <row r="2548" spans="1:18" x14ac:dyDescent="0.25">
      <c r="A2548" t="s">
        <v>2727</v>
      </c>
      <c r="B2548" t="s">
        <v>55</v>
      </c>
      <c r="C2548" t="s">
        <v>2710</v>
      </c>
      <c r="D2548" t="s">
        <v>2711</v>
      </c>
      <c r="E2548" t="s">
        <v>78</v>
      </c>
      <c r="F2548" t="s">
        <v>252</v>
      </c>
      <c r="G2548">
        <v>7.4913999999999996</v>
      </c>
      <c r="H2548">
        <v>-74.869200000000006</v>
      </c>
      <c r="I2548" t="s">
        <v>2712</v>
      </c>
      <c r="J2548">
        <v>11</v>
      </c>
      <c r="M2548">
        <v>160</v>
      </c>
      <c r="N2548">
        <v>37</v>
      </c>
      <c r="O2548">
        <v>34</v>
      </c>
      <c r="P2548">
        <v>34</v>
      </c>
      <c r="Q2548">
        <v>22</v>
      </c>
      <c r="R2548">
        <v>35</v>
      </c>
    </row>
    <row r="2549" spans="1:18" x14ac:dyDescent="0.25">
      <c r="A2549" t="s">
        <v>2728</v>
      </c>
      <c r="B2549" t="s">
        <v>55</v>
      </c>
      <c r="C2549" t="s">
        <v>2710</v>
      </c>
      <c r="D2549" t="s">
        <v>2711</v>
      </c>
      <c r="E2549" t="s">
        <v>78</v>
      </c>
      <c r="F2549" t="s">
        <v>252</v>
      </c>
      <c r="G2549">
        <v>7.4913999999999996</v>
      </c>
      <c r="H2549">
        <v>-74.869200000000006</v>
      </c>
      <c r="I2549" t="s">
        <v>2712</v>
      </c>
      <c r="J2549">
        <v>11</v>
      </c>
      <c r="M2549">
        <v>155</v>
      </c>
      <c r="N2549">
        <v>22</v>
      </c>
      <c r="O2549">
        <v>28</v>
      </c>
      <c r="P2549">
        <v>40</v>
      </c>
      <c r="Q2549">
        <v>28</v>
      </c>
      <c r="R2549">
        <v>49</v>
      </c>
    </row>
    <row r="2550" spans="1:18" x14ac:dyDescent="0.25">
      <c r="A2550" t="s">
        <v>2729</v>
      </c>
      <c r="B2550" t="s">
        <v>55</v>
      </c>
      <c r="C2550" t="s">
        <v>2710</v>
      </c>
      <c r="D2550" t="s">
        <v>2711</v>
      </c>
      <c r="E2550" t="s">
        <v>78</v>
      </c>
      <c r="F2550" t="s">
        <v>252</v>
      </c>
      <c r="G2550">
        <v>7.4913999999999996</v>
      </c>
      <c r="H2550">
        <v>-74.869200000000006</v>
      </c>
      <c r="I2550" t="s">
        <v>2712</v>
      </c>
      <c r="J2550">
        <v>11</v>
      </c>
      <c r="M2550">
        <v>153</v>
      </c>
      <c r="N2550">
        <v>32</v>
      </c>
      <c r="O2550">
        <v>16</v>
      </c>
      <c r="P2550">
        <v>36</v>
      </c>
      <c r="Q2550">
        <v>34</v>
      </c>
      <c r="R2550">
        <v>44</v>
      </c>
    </row>
    <row r="2551" spans="1:18" x14ac:dyDescent="0.25">
      <c r="A2551" t="s">
        <v>2730</v>
      </c>
      <c r="B2551" t="s">
        <v>55</v>
      </c>
      <c r="C2551" t="s">
        <v>2710</v>
      </c>
      <c r="D2551" t="s">
        <v>2711</v>
      </c>
      <c r="E2551" t="s">
        <v>78</v>
      </c>
      <c r="F2551" t="s">
        <v>252</v>
      </c>
      <c r="G2551">
        <v>7.4913999999999996</v>
      </c>
      <c r="H2551">
        <v>-74.869200000000006</v>
      </c>
      <c r="I2551" t="s">
        <v>2712</v>
      </c>
      <c r="J2551">
        <v>11</v>
      </c>
      <c r="M2551">
        <v>153</v>
      </c>
      <c r="N2551">
        <v>22</v>
      </c>
      <c r="O2551">
        <v>28</v>
      </c>
      <c r="P2551">
        <v>42</v>
      </c>
      <c r="Q2551">
        <v>29</v>
      </c>
      <c r="R2551">
        <v>33</v>
      </c>
    </row>
    <row r="2552" spans="1:18" x14ac:dyDescent="0.25">
      <c r="A2552" t="s">
        <v>2731</v>
      </c>
      <c r="B2552" t="s">
        <v>55</v>
      </c>
      <c r="C2552" t="s">
        <v>2710</v>
      </c>
      <c r="D2552" t="s">
        <v>2711</v>
      </c>
      <c r="E2552" t="s">
        <v>78</v>
      </c>
      <c r="F2552" t="s">
        <v>252</v>
      </c>
      <c r="G2552">
        <v>7.4913999999999996</v>
      </c>
      <c r="H2552">
        <v>-74.869200000000006</v>
      </c>
      <c r="I2552" t="s">
        <v>2712</v>
      </c>
      <c r="J2552">
        <v>11</v>
      </c>
      <c r="M2552">
        <v>148</v>
      </c>
      <c r="N2552">
        <v>20</v>
      </c>
      <c r="O2552">
        <v>34</v>
      </c>
      <c r="P2552">
        <v>36</v>
      </c>
      <c r="Q2552">
        <v>28</v>
      </c>
      <c r="R2552">
        <v>33</v>
      </c>
    </row>
    <row r="2553" spans="1:18" x14ac:dyDescent="0.25">
      <c r="A2553" t="s">
        <v>2732</v>
      </c>
      <c r="B2553" t="s">
        <v>55</v>
      </c>
      <c r="C2553" t="s">
        <v>2710</v>
      </c>
      <c r="D2553" t="s">
        <v>2711</v>
      </c>
      <c r="E2553" t="s">
        <v>78</v>
      </c>
      <c r="F2553" t="s">
        <v>252</v>
      </c>
      <c r="G2553">
        <v>7.4913999999999996</v>
      </c>
      <c r="H2553">
        <v>-74.869200000000006</v>
      </c>
      <c r="I2553" t="s">
        <v>2712</v>
      </c>
      <c r="J2553">
        <v>11</v>
      </c>
      <c r="M2553">
        <v>148</v>
      </c>
      <c r="N2553">
        <v>49</v>
      </c>
      <c r="O2553">
        <v>16</v>
      </c>
      <c r="P2553">
        <v>32</v>
      </c>
      <c r="Q2553">
        <v>19</v>
      </c>
      <c r="R2553">
        <v>36</v>
      </c>
    </row>
    <row r="2554" spans="1:18" x14ac:dyDescent="0.25">
      <c r="A2554" t="s">
        <v>2733</v>
      </c>
      <c r="B2554" t="s">
        <v>55</v>
      </c>
      <c r="C2554" t="s">
        <v>2710</v>
      </c>
      <c r="D2554" t="s">
        <v>2711</v>
      </c>
      <c r="E2554" t="s">
        <v>78</v>
      </c>
      <c r="F2554" t="s">
        <v>252</v>
      </c>
      <c r="G2554">
        <v>7.4913999999999996</v>
      </c>
      <c r="H2554">
        <v>-74.869200000000006</v>
      </c>
      <c r="I2554" t="s">
        <v>2712</v>
      </c>
      <c r="J2554">
        <v>11</v>
      </c>
      <c r="M2554">
        <v>147</v>
      </c>
      <c r="N2554">
        <v>24</v>
      </c>
      <c r="O2554">
        <v>32</v>
      </c>
      <c r="P2554">
        <v>38</v>
      </c>
      <c r="Q2554">
        <v>24</v>
      </c>
      <c r="R2554">
        <v>27</v>
      </c>
    </row>
    <row r="2555" spans="1:18" x14ac:dyDescent="0.25">
      <c r="A2555" t="s">
        <v>2734</v>
      </c>
      <c r="B2555" t="s">
        <v>55</v>
      </c>
      <c r="C2555" t="s">
        <v>2710</v>
      </c>
      <c r="D2555" t="s">
        <v>2711</v>
      </c>
      <c r="E2555" t="s">
        <v>78</v>
      </c>
      <c r="F2555" t="s">
        <v>252</v>
      </c>
      <c r="G2555">
        <v>7.4913999999999996</v>
      </c>
      <c r="H2555">
        <v>-74.869200000000006</v>
      </c>
      <c r="I2555" t="s">
        <v>2712</v>
      </c>
      <c r="J2555">
        <v>11</v>
      </c>
      <c r="M2555">
        <v>147</v>
      </c>
      <c r="N2555">
        <v>39</v>
      </c>
      <c r="O2555">
        <v>20</v>
      </c>
      <c r="P2555">
        <v>28</v>
      </c>
      <c r="Q2555">
        <v>24</v>
      </c>
      <c r="R2555">
        <v>49</v>
      </c>
    </row>
    <row r="2556" spans="1:18" x14ac:dyDescent="0.25">
      <c r="A2556" t="s">
        <v>2735</v>
      </c>
      <c r="B2556" t="s">
        <v>55</v>
      </c>
      <c r="C2556" t="s">
        <v>2710</v>
      </c>
      <c r="D2556" t="s">
        <v>2711</v>
      </c>
      <c r="E2556" t="s">
        <v>78</v>
      </c>
      <c r="F2556" t="s">
        <v>252</v>
      </c>
      <c r="G2556">
        <v>7.4913999999999996</v>
      </c>
      <c r="H2556">
        <v>-74.869200000000006</v>
      </c>
      <c r="I2556" t="s">
        <v>2712</v>
      </c>
      <c r="J2556">
        <v>11</v>
      </c>
      <c r="M2556">
        <v>146</v>
      </c>
      <c r="N2556">
        <v>27</v>
      </c>
      <c r="O2556">
        <v>28</v>
      </c>
      <c r="P2556">
        <v>30</v>
      </c>
      <c r="Q2556">
        <v>33</v>
      </c>
      <c r="R2556">
        <v>27</v>
      </c>
    </row>
    <row r="2557" spans="1:18" x14ac:dyDescent="0.25">
      <c r="A2557" t="s">
        <v>2736</v>
      </c>
      <c r="B2557" t="s">
        <v>55</v>
      </c>
      <c r="C2557" t="s">
        <v>2710</v>
      </c>
      <c r="D2557" t="s">
        <v>2711</v>
      </c>
      <c r="E2557" t="s">
        <v>78</v>
      </c>
      <c r="F2557" t="s">
        <v>252</v>
      </c>
      <c r="G2557">
        <v>7.4913999999999996</v>
      </c>
      <c r="H2557">
        <v>-74.869200000000006</v>
      </c>
      <c r="I2557" t="s">
        <v>2712</v>
      </c>
      <c r="J2557">
        <v>11</v>
      </c>
      <c r="M2557">
        <v>145</v>
      </c>
      <c r="N2557">
        <v>27</v>
      </c>
      <c r="O2557">
        <v>24</v>
      </c>
      <c r="P2557">
        <v>34</v>
      </c>
      <c r="Q2557">
        <v>29</v>
      </c>
      <c r="R2557">
        <v>35</v>
      </c>
    </row>
    <row r="2558" spans="1:18" x14ac:dyDescent="0.25">
      <c r="A2558" t="s">
        <v>2737</v>
      </c>
      <c r="B2558" t="s">
        <v>55</v>
      </c>
      <c r="C2558" t="s">
        <v>2710</v>
      </c>
      <c r="D2558" t="s">
        <v>2711</v>
      </c>
      <c r="E2558" t="s">
        <v>78</v>
      </c>
      <c r="F2558" t="s">
        <v>252</v>
      </c>
      <c r="G2558">
        <v>7.4913999999999996</v>
      </c>
      <c r="H2558">
        <v>-74.869200000000006</v>
      </c>
      <c r="I2558" t="s">
        <v>2712</v>
      </c>
      <c r="J2558">
        <v>11</v>
      </c>
      <c r="M2558">
        <v>141</v>
      </c>
      <c r="N2558">
        <v>29</v>
      </c>
      <c r="O2558">
        <v>20</v>
      </c>
      <c r="P2558">
        <v>40</v>
      </c>
      <c r="Q2558">
        <v>22</v>
      </c>
      <c r="R2558">
        <v>31</v>
      </c>
    </row>
    <row r="2559" spans="1:18" x14ac:dyDescent="0.25">
      <c r="A2559" t="s">
        <v>2738</v>
      </c>
      <c r="B2559" t="s">
        <v>55</v>
      </c>
      <c r="C2559" t="s">
        <v>2710</v>
      </c>
      <c r="D2559" t="s">
        <v>2711</v>
      </c>
      <c r="E2559" t="s">
        <v>78</v>
      </c>
      <c r="F2559" t="s">
        <v>252</v>
      </c>
      <c r="G2559">
        <v>7.4913999999999996</v>
      </c>
      <c r="H2559">
        <v>-74.869200000000006</v>
      </c>
      <c r="I2559" t="s">
        <v>2712</v>
      </c>
      <c r="J2559">
        <v>11</v>
      </c>
      <c r="M2559">
        <v>133</v>
      </c>
      <c r="N2559">
        <v>39</v>
      </c>
      <c r="O2559">
        <v>24</v>
      </c>
      <c r="P2559">
        <v>24</v>
      </c>
      <c r="Q2559">
        <v>19</v>
      </c>
      <c r="R2559">
        <v>29</v>
      </c>
    </row>
    <row r="2560" spans="1:18" x14ac:dyDescent="0.25">
      <c r="A2560" t="s">
        <v>2739</v>
      </c>
      <c r="B2560" t="s">
        <v>55</v>
      </c>
      <c r="C2560" t="s">
        <v>2710</v>
      </c>
      <c r="D2560" t="s">
        <v>2711</v>
      </c>
      <c r="E2560" t="s">
        <v>78</v>
      </c>
      <c r="F2560" t="s">
        <v>252</v>
      </c>
      <c r="G2560">
        <v>7.4913999999999996</v>
      </c>
      <c r="H2560">
        <v>-74.869200000000006</v>
      </c>
      <c r="I2560" t="s">
        <v>2712</v>
      </c>
      <c r="J2560">
        <v>11</v>
      </c>
      <c r="M2560">
        <v>130</v>
      </c>
      <c r="N2560">
        <v>29</v>
      </c>
      <c r="O2560">
        <v>24</v>
      </c>
      <c r="P2560">
        <v>28</v>
      </c>
      <c r="Q2560">
        <v>21</v>
      </c>
      <c r="R2560">
        <v>31</v>
      </c>
    </row>
    <row r="2561" spans="1:18" x14ac:dyDescent="0.25">
      <c r="A2561" t="s">
        <v>2740</v>
      </c>
      <c r="B2561" t="s">
        <v>55</v>
      </c>
      <c r="C2561" t="s">
        <v>2710</v>
      </c>
      <c r="D2561" t="s">
        <v>2711</v>
      </c>
      <c r="E2561" t="s">
        <v>78</v>
      </c>
      <c r="F2561" t="s">
        <v>252</v>
      </c>
      <c r="G2561">
        <v>7.4913999999999996</v>
      </c>
      <c r="H2561">
        <v>-74.869200000000006</v>
      </c>
      <c r="I2561" t="s">
        <v>2712</v>
      </c>
      <c r="J2561">
        <v>11</v>
      </c>
      <c r="M2561">
        <v>115</v>
      </c>
      <c r="N2561">
        <v>22</v>
      </c>
      <c r="O2561">
        <v>20</v>
      </c>
      <c r="P2561">
        <v>24</v>
      </c>
      <c r="Q2561">
        <v>22</v>
      </c>
      <c r="R2561">
        <v>35</v>
      </c>
    </row>
    <row r="2562" spans="1:18" x14ac:dyDescent="0.25">
      <c r="A2562" t="s">
        <v>2741</v>
      </c>
      <c r="B2562" t="s">
        <v>55</v>
      </c>
      <c r="C2562" t="s">
        <v>2710</v>
      </c>
      <c r="D2562" t="s">
        <v>2711</v>
      </c>
      <c r="E2562" t="s">
        <v>78</v>
      </c>
      <c r="F2562" t="s">
        <v>252</v>
      </c>
      <c r="G2562">
        <v>7.4913999999999996</v>
      </c>
      <c r="H2562">
        <v>-74.869200000000006</v>
      </c>
      <c r="I2562" t="s">
        <v>2712</v>
      </c>
      <c r="J2562">
        <v>11</v>
      </c>
      <c r="M2562">
        <v>111</v>
      </c>
      <c r="N2562">
        <v>22</v>
      </c>
      <c r="O2562">
        <v>14</v>
      </c>
      <c r="P2562">
        <v>22</v>
      </c>
      <c r="Q2562">
        <v>26</v>
      </c>
      <c r="R2562">
        <v>38</v>
      </c>
    </row>
    <row r="2563" spans="1:18" x14ac:dyDescent="0.25">
      <c r="A2563" t="s">
        <v>2742</v>
      </c>
      <c r="B2563" t="s">
        <v>55</v>
      </c>
      <c r="C2563" t="s">
        <v>2743</v>
      </c>
      <c r="D2563" t="s">
        <v>2406</v>
      </c>
      <c r="E2563" t="s">
        <v>78</v>
      </c>
      <c r="F2563" t="s">
        <v>252</v>
      </c>
      <c r="G2563">
        <v>7.6672000000000002</v>
      </c>
      <c r="H2563">
        <v>-76.681100000000001</v>
      </c>
      <c r="I2563" t="s">
        <v>2744</v>
      </c>
      <c r="J2563">
        <v>11</v>
      </c>
      <c r="M2563">
        <v>216</v>
      </c>
      <c r="N2563">
        <v>54</v>
      </c>
      <c r="O2563">
        <v>34</v>
      </c>
      <c r="P2563">
        <v>58</v>
      </c>
      <c r="Q2563">
        <v>28</v>
      </c>
      <c r="R2563">
        <v>42</v>
      </c>
    </row>
    <row r="2564" spans="1:18" x14ac:dyDescent="0.25">
      <c r="A2564" t="s">
        <v>2745</v>
      </c>
      <c r="B2564" t="s">
        <v>55</v>
      </c>
      <c r="C2564" t="s">
        <v>2743</v>
      </c>
      <c r="D2564" t="s">
        <v>2406</v>
      </c>
      <c r="E2564" t="s">
        <v>78</v>
      </c>
      <c r="F2564" t="s">
        <v>252</v>
      </c>
      <c r="G2564">
        <v>7.6672000000000002</v>
      </c>
      <c r="H2564">
        <v>-76.681100000000001</v>
      </c>
      <c r="I2564" t="s">
        <v>2744</v>
      </c>
      <c r="J2564">
        <v>11</v>
      </c>
      <c r="M2564">
        <v>211</v>
      </c>
      <c r="N2564">
        <v>51</v>
      </c>
      <c r="O2564">
        <v>26</v>
      </c>
      <c r="P2564">
        <v>58</v>
      </c>
      <c r="Q2564">
        <v>33</v>
      </c>
      <c r="R2564">
        <v>45</v>
      </c>
    </row>
    <row r="2565" spans="1:18" x14ac:dyDescent="0.25">
      <c r="A2565" t="s">
        <v>2746</v>
      </c>
      <c r="B2565" t="s">
        <v>55</v>
      </c>
      <c r="C2565" t="s">
        <v>2743</v>
      </c>
      <c r="D2565" t="s">
        <v>2406</v>
      </c>
      <c r="E2565" t="s">
        <v>78</v>
      </c>
      <c r="F2565" t="s">
        <v>252</v>
      </c>
      <c r="G2565">
        <v>7.6672000000000002</v>
      </c>
      <c r="H2565">
        <v>-76.681100000000001</v>
      </c>
      <c r="I2565" t="s">
        <v>2744</v>
      </c>
      <c r="J2565">
        <v>11</v>
      </c>
      <c r="M2565">
        <v>195</v>
      </c>
      <c r="N2565">
        <v>41</v>
      </c>
      <c r="O2565">
        <v>22</v>
      </c>
      <c r="P2565">
        <v>54</v>
      </c>
      <c r="Q2565">
        <v>28</v>
      </c>
      <c r="R2565">
        <v>71</v>
      </c>
    </row>
    <row r="2566" spans="1:18" x14ac:dyDescent="0.25">
      <c r="A2566" t="s">
        <v>2747</v>
      </c>
      <c r="B2566" t="s">
        <v>55</v>
      </c>
      <c r="C2566" t="s">
        <v>2743</v>
      </c>
      <c r="D2566" t="s">
        <v>2406</v>
      </c>
      <c r="E2566" t="s">
        <v>78</v>
      </c>
      <c r="F2566" t="s">
        <v>252</v>
      </c>
      <c r="G2566">
        <v>7.6672000000000002</v>
      </c>
      <c r="H2566">
        <v>-76.681100000000001</v>
      </c>
      <c r="I2566" t="s">
        <v>2744</v>
      </c>
      <c r="J2566">
        <v>11</v>
      </c>
      <c r="M2566">
        <v>191</v>
      </c>
      <c r="N2566">
        <v>49</v>
      </c>
      <c r="O2566">
        <v>30</v>
      </c>
      <c r="P2566">
        <v>46</v>
      </c>
      <c r="Q2566">
        <v>28</v>
      </c>
      <c r="R2566">
        <v>40</v>
      </c>
    </row>
    <row r="2567" spans="1:18" x14ac:dyDescent="0.25">
      <c r="A2567" t="s">
        <v>2748</v>
      </c>
      <c r="B2567" t="s">
        <v>55</v>
      </c>
      <c r="C2567" t="s">
        <v>2743</v>
      </c>
      <c r="D2567" t="s">
        <v>2406</v>
      </c>
      <c r="E2567" t="s">
        <v>78</v>
      </c>
      <c r="F2567" t="s">
        <v>252</v>
      </c>
      <c r="G2567">
        <v>7.6672000000000002</v>
      </c>
      <c r="H2567">
        <v>-76.681100000000001</v>
      </c>
      <c r="I2567" t="s">
        <v>2744</v>
      </c>
      <c r="J2567">
        <v>11</v>
      </c>
      <c r="M2567">
        <v>185</v>
      </c>
      <c r="N2567">
        <v>49</v>
      </c>
      <c r="O2567">
        <v>24</v>
      </c>
      <c r="P2567">
        <v>50</v>
      </c>
      <c r="Q2567">
        <v>22</v>
      </c>
      <c r="R2567">
        <v>45</v>
      </c>
    </row>
    <row r="2568" spans="1:18" x14ac:dyDescent="0.25">
      <c r="A2568" t="s">
        <v>2749</v>
      </c>
      <c r="B2568" t="s">
        <v>55</v>
      </c>
      <c r="C2568" t="s">
        <v>2743</v>
      </c>
      <c r="D2568" t="s">
        <v>2406</v>
      </c>
      <c r="E2568" t="s">
        <v>78</v>
      </c>
      <c r="F2568" t="s">
        <v>252</v>
      </c>
      <c r="G2568">
        <v>7.6672000000000002</v>
      </c>
      <c r="H2568">
        <v>-76.681100000000001</v>
      </c>
      <c r="I2568" t="s">
        <v>2744</v>
      </c>
      <c r="J2568">
        <v>11</v>
      </c>
      <c r="M2568">
        <v>182</v>
      </c>
      <c r="N2568">
        <v>46</v>
      </c>
      <c r="O2568">
        <v>28</v>
      </c>
      <c r="P2568">
        <v>38</v>
      </c>
      <c r="Q2568">
        <v>33</v>
      </c>
      <c r="R2568">
        <v>38</v>
      </c>
    </row>
    <row r="2569" spans="1:18" x14ac:dyDescent="0.25">
      <c r="A2569" t="s">
        <v>2750</v>
      </c>
      <c r="B2569" t="s">
        <v>55</v>
      </c>
      <c r="C2569" t="s">
        <v>2743</v>
      </c>
      <c r="D2569" t="s">
        <v>2406</v>
      </c>
      <c r="E2569" t="s">
        <v>78</v>
      </c>
      <c r="F2569" t="s">
        <v>252</v>
      </c>
      <c r="G2569">
        <v>7.6672000000000002</v>
      </c>
      <c r="H2569">
        <v>-76.681100000000001</v>
      </c>
      <c r="I2569" t="s">
        <v>2744</v>
      </c>
      <c r="J2569">
        <v>11</v>
      </c>
      <c r="M2569">
        <v>179</v>
      </c>
      <c r="N2569">
        <v>56</v>
      </c>
      <c r="O2569">
        <v>26</v>
      </c>
      <c r="P2569">
        <v>38</v>
      </c>
      <c r="Q2569">
        <v>16</v>
      </c>
      <c r="R2569">
        <v>58</v>
      </c>
    </row>
    <row r="2570" spans="1:18" x14ac:dyDescent="0.25">
      <c r="A2570" t="s">
        <v>2751</v>
      </c>
      <c r="B2570" t="s">
        <v>55</v>
      </c>
      <c r="C2570" t="s">
        <v>2743</v>
      </c>
      <c r="D2570" t="s">
        <v>2406</v>
      </c>
      <c r="E2570" t="s">
        <v>78</v>
      </c>
      <c r="F2570" t="s">
        <v>252</v>
      </c>
      <c r="G2570">
        <v>7.6672000000000002</v>
      </c>
      <c r="H2570">
        <v>-76.681100000000001</v>
      </c>
      <c r="I2570" t="s">
        <v>2744</v>
      </c>
      <c r="J2570">
        <v>11</v>
      </c>
      <c r="M2570">
        <v>175</v>
      </c>
      <c r="N2570">
        <v>56</v>
      </c>
      <c r="O2570">
        <v>30</v>
      </c>
      <c r="P2570">
        <v>38</v>
      </c>
      <c r="Q2570">
        <v>19</v>
      </c>
      <c r="R2570">
        <v>25</v>
      </c>
    </row>
    <row r="2571" spans="1:18" x14ac:dyDescent="0.25">
      <c r="A2571" t="s">
        <v>2752</v>
      </c>
      <c r="B2571" t="s">
        <v>55</v>
      </c>
      <c r="C2571" t="s">
        <v>2743</v>
      </c>
      <c r="D2571" t="s">
        <v>2406</v>
      </c>
      <c r="E2571" t="s">
        <v>78</v>
      </c>
      <c r="F2571" t="s">
        <v>252</v>
      </c>
      <c r="G2571">
        <v>7.6672000000000002</v>
      </c>
      <c r="H2571">
        <v>-76.681100000000001</v>
      </c>
      <c r="I2571" t="s">
        <v>2744</v>
      </c>
      <c r="J2571">
        <v>11</v>
      </c>
      <c r="M2571">
        <v>172</v>
      </c>
      <c r="N2571">
        <v>32</v>
      </c>
      <c r="O2571">
        <v>32</v>
      </c>
      <c r="P2571">
        <v>50</v>
      </c>
      <c r="Q2571">
        <v>24</v>
      </c>
      <c r="R2571">
        <v>33</v>
      </c>
    </row>
    <row r="2572" spans="1:18" x14ac:dyDescent="0.25">
      <c r="A2572" t="s">
        <v>2753</v>
      </c>
      <c r="B2572" t="s">
        <v>55</v>
      </c>
      <c r="C2572" t="s">
        <v>2743</v>
      </c>
      <c r="D2572" t="s">
        <v>2406</v>
      </c>
      <c r="E2572" t="s">
        <v>78</v>
      </c>
      <c r="F2572" t="s">
        <v>252</v>
      </c>
      <c r="G2572">
        <v>7.6672000000000002</v>
      </c>
      <c r="H2572">
        <v>-76.681100000000001</v>
      </c>
      <c r="I2572" t="s">
        <v>2744</v>
      </c>
      <c r="J2572">
        <v>11</v>
      </c>
      <c r="M2572">
        <v>162</v>
      </c>
      <c r="N2572">
        <v>37</v>
      </c>
      <c r="O2572">
        <v>24</v>
      </c>
      <c r="P2572">
        <v>40</v>
      </c>
      <c r="Q2572">
        <v>26</v>
      </c>
      <c r="R2572">
        <v>42</v>
      </c>
    </row>
    <row r="2573" spans="1:18" x14ac:dyDescent="0.25">
      <c r="A2573" t="s">
        <v>2754</v>
      </c>
      <c r="B2573" t="s">
        <v>55</v>
      </c>
      <c r="C2573" t="s">
        <v>2743</v>
      </c>
      <c r="D2573" t="s">
        <v>2406</v>
      </c>
      <c r="E2573" t="s">
        <v>78</v>
      </c>
      <c r="F2573" t="s">
        <v>252</v>
      </c>
      <c r="G2573">
        <v>7.6672000000000002</v>
      </c>
      <c r="H2573">
        <v>-76.681100000000001</v>
      </c>
      <c r="I2573" t="s">
        <v>2744</v>
      </c>
      <c r="J2573">
        <v>11</v>
      </c>
      <c r="M2573">
        <v>159</v>
      </c>
      <c r="N2573">
        <v>37</v>
      </c>
      <c r="O2573">
        <v>24</v>
      </c>
      <c r="P2573">
        <v>44</v>
      </c>
      <c r="Q2573">
        <v>19</v>
      </c>
      <c r="R2573">
        <v>42</v>
      </c>
    </row>
    <row r="2574" spans="1:18" x14ac:dyDescent="0.25">
      <c r="A2574" t="s">
        <v>2755</v>
      </c>
      <c r="B2574" t="s">
        <v>55</v>
      </c>
      <c r="C2574" t="s">
        <v>2743</v>
      </c>
      <c r="D2574" t="s">
        <v>2406</v>
      </c>
      <c r="E2574" t="s">
        <v>78</v>
      </c>
      <c r="F2574" t="s">
        <v>252</v>
      </c>
      <c r="G2574">
        <v>7.6672000000000002</v>
      </c>
      <c r="H2574">
        <v>-76.681100000000001</v>
      </c>
      <c r="I2574" t="s">
        <v>2744</v>
      </c>
      <c r="J2574">
        <v>11</v>
      </c>
      <c r="M2574">
        <v>158</v>
      </c>
      <c r="N2574">
        <v>39</v>
      </c>
      <c r="O2574">
        <v>16</v>
      </c>
      <c r="P2574">
        <v>36</v>
      </c>
      <c r="Q2574">
        <v>31</v>
      </c>
      <c r="R2574">
        <v>45</v>
      </c>
    </row>
    <row r="2575" spans="1:18" x14ac:dyDescent="0.25">
      <c r="A2575" t="s">
        <v>2756</v>
      </c>
      <c r="B2575" t="s">
        <v>55</v>
      </c>
      <c r="C2575" t="s">
        <v>2743</v>
      </c>
      <c r="D2575" t="s">
        <v>2406</v>
      </c>
      <c r="E2575" t="s">
        <v>78</v>
      </c>
      <c r="F2575" t="s">
        <v>252</v>
      </c>
      <c r="G2575">
        <v>7.6672000000000002</v>
      </c>
      <c r="H2575">
        <v>-76.681100000000001</v>
      </c>
      <c r="I2575" t="s">
        <v>2744</v>
      </c>
      <c r="J2575">
        <v>11</v>
      </c>
      <c r="M2575">
        <v>152</v>
      </c>
      <c r="N2575">
        <v>34</v>
      </c>
      <c r="O2575">
        <v>22</v>
      </c>
      <c r="P2575">
        <v>30</v>
      </c>
      <c r="Q2575">
        <v>33</v>
      </c>
      <c r="R2575">
        <v>38</v>
      </c>
    </row>
    <row r="2576" spans="1:18" x14ac:dyDescent="0.25">
      <c r="A2576" t="s">
        <v>2757</v>
      </c>
      <c r="B2576" t="s">
        <v>55</v>
      </c>
      <c r="C2576" t="s">
        <v>2743</v>
      </c>
      <c r="D2576" t="s">
        <v>2406</v>
      </c>
      <c r="E2576" t="s">
        <v>78</v>
      </c>
      <c r="F2576" t="s">
        <v>252</v>
      </c>
      <c r="G2576">
        <v>7.6672000000000002</v>
      </c>
      <c r="H2576">
        <v>-76.681100000000001</v>
      </c>
      <c r="I2576" t="s">
        <v>2744</v>
      </c>
      <c r="J2576">
        <v>11</v>
      </c>
      <c r="M2576">
        <v>152</v>
      </c>
      <c r="N2576">
        <v>49</v>
      </c>
      <c r="O2576">
        <v>20</v>
      </c>
      <c r="P2576">
        <v>28</v>
      </c>
      <c r="Q2576">
        <v>22</v>
      </c>
      <c r="R2576">
        <v>36</v>
      </c>
    </row>
    <row r="2577" spans="1:18" x14ac:dyDescent="0.25">
      <c r="A2577" t="s">
        <v>2758</v>
      </c>
      <c r="B2577" t="s">
        <v>55</v>
      </c>
      <c r="C2577" t="s">
        <v>2743</v>
      </c>
      <c r="D2577" t="s">
        <v>2406</v>
      </c>
      <c r="E2577" t="s">
        <v>78</v>
      </c>
      <c r="F2577" t="s">
        <v>252</v>
      </c>
      <c r="G2577">
        <v>7.6672000000000002</v>
      </c>
      <c r="H2577">
        <v>-76.681100000000001</v>
      </c>
      <c r="I2577" t="s">
        <v>2744</v>
      </c>
      <c r="J2577">
        <v>11</v>
      </c>
      <c r="M2577">
        <v>151</v>
      </c>
      <c r="N2577">
        <v>34</v>
      </c>
      <c r="O2577">
        <v>16</v>
      </c>
      <c r="P2577">
        <v>36</v>
      </c>
      <c r="Q2577">
        <v>31</v>
      </c>
      <c r="R2577">
        <v>40</v>
      </c>
    </row>
    <row r="2578" spans="1:18" x14ac:dyDescent="0.25">
      <c r="A2578" t="s">
        <v>2759</v>
      </c>
      <c r="B2578" t="s">
        <v>55</v>
      </c>
      <c r="C2578" t="s">
        <v>2743</v>
      </c>
      <c r="D2578" t="s">
        <v>2406</v>
      </c>
      <c r="E2578" t="s">
        <v>78</v>
      </c>
      <c r="F2578" t="s">
        <v>252</v>
      </c>
      <c r="G2578">
        <v>7.6672000000000002</v>
      </c>
      <c r="H2578">
        <v>-76.681100000000001</v>
      </c>
      <c r="I2578" t="s">
        <v>2744</v>
      </c>
      <c r="J2578">
        <v>11</v>
      </c>
      <c r="M2578">
        <v>148</v>
      </c>
      <c r="N2578">
        <v>39</v>
      </c>
      <c r="O2578">
        <v>22</v>
      </c>
      <c r="P2578">
        <v>32</v>
      </c>
      <c r="Q2578">
        <v>26</v>
      </c>
      <c r="R2578">
        <v>29</v>
      </c>
    </row>
    <row r="2579" spans="1:18" x14ac:dyDescent="0.25">
      <c r="A2579" t="s">
        <v>2760</v>
      </c>
      <c r="B2579" t="s">
        <v>55</v>
      </c>
      <c r="C2579" t="s">
        <v>2743</v>
      </c>
      <c r="D2579" t="s">
        <v>2406</v>
      </c>
      <c r="E2579" t="s">
        <v>78</v>
      </c>
      <c r="F2579" t="s">
        <v>252</v>
      </c>
      <c r="G2579">
        <v>7.6672000000000002</v>
      </c>
      <c r="H2579">
        <v>-76.681100000000001</v>
      </c>
      <c r="I2579" t="s">
        <v>2744</v>
      </c>
      <c r="J2579">
        <v>11</v>
      </c>
      <c r="M2579">
        <v>148</v>
      </c>
      <c r="N2579">
        <v>51</v>
      </c>
      <c r="O2579">
        <v>28</v>
      </c>
      <c r="P2579">
        <v>20</v>
      </c>
      <c r="Q2579">
        <v>16</v>
      </c>
      <c r="R2579">
        <v>40</v>
      </c>
    </row>
    <row r="2580" spans="1:18" x14ac:dyDescent="0.25">
      <c r="A2580" t="s">
        <v>2761</v>
      </c>
      <c r="B2580" t="s">
        <v>55</v>
      </c>
      <c r="C2580" t="s">
        <v>2743</v>
      </c>
      <c r="D2580" t="s">
        <v>2406</v>
      </c>
      <c r="E2580" t="s">
        <v>78</v>
      </c>
      <c r="F2580" t="s">
        <v>252</v>
      </c>
      <c r="G2580">
        <v>7.6672000000000002</v>
      </c>
      <c r="H2580">
        <v>-76.681100000000001</v>
      </c>
      <c r="I2580" t="s">
        <v>2744</v>
      </c>
      <c r="J2580">
        <v>11</v>
      </c>
      <c r="M2580">
        <v>146</v>
      </c>
      <c r="N2580">
        <v>39</v>
      </c>
      <c r="O2580">
        <v>24</v>
      </c>
      <c r="P2580">
        <v>32</v>
      </c>
      <c r="Q2580">
        <v>16</v>
      </c>
      <c r="R2580">
        <v>47</v>
      </c>
    </row>
    <row r="2581" spans="1:18" x14ac:dyDescent="0.25">
      <c r="A2581" t="s">
        <v>2762</v>
      </c>
      <c r="B2581" t="s">
        <v>55</v>
      </c>
      <c r="C2581" t="s">
        <v>2743</v>
      </c>
      <c r="D2581" t="s">
        <v>2406</v>
      </c>
      <c r="E2581" t="s">
        <v>78</v>
      </c>
      <c r="F2581" t="s">
        <v>252</v>
      </c>
      <c r="G2581">
        <v>7.6672000000000002</v>
      </c>
      <c r="H2581">
        <v>-76.681100000000001</v>
      </c>
      <c r="I2581" t="s">
        <v>2744</v>
      </c>
      <c r="J2581">
        <v>11</v>
      </c>
      <c r="M2581">
        <v>142</v>
      </c>
      <c r="N2581">
        <v>37</v>
      </c>
      <c r="O2581">
        <v>14</v>
      </c>
      <c r="P2581">
        <v>36</v>
      </c>
      <c r="Q2581">
        <v>21</v>
      </c>
      <c r="R2581">
        <v>47</v>
      </c>
    </row>
    <row r="2582" spans="1:18" x14ac:dyDescent="0.25">
      <c r="A2582" t="s">
        <v>2763</v>
      </c>
      <c r="B2582" t="s">
        <v>55</v>
      </c>
      <c r="C2582" t="s">
        <v>2743</v>
      </c>
      <c r="D2582" t="s">
        <v>2406</v>
      </c>
      <c r="E2582" t="s">
        <v>78</v>
      </c>
      <c r="F2582" t="s">
        <v>252</v>
      </c>
      <c r="G2582">
        <v>7.6672000000000002</v>
      </c>
      <c r="H2582">
        <v>-76.681100000000001</v>
      </c>
      <c r="I2582" t="s">
        <v>2744</v>
      </c>
      <c r="J2582">
        <v>11</v>
      </c>
      <c r="M2582">
        <v>139</v>
      </c>
      <c r="N2582">
        <v>39</v>
      </c>
      <c r="O2582">
        <v>14</v>
      </c>
      <c r="P2582">
        <v>24</v>
      </c>
      <c r="Q2582">
        <v>29</v>
      </c>
      <c r="R2582">
        <v>42</v>
      </c>
    </row>
    <row r="2583" spans="1:18" x14ac:dyDescent="0.25">
      <c r="A2583" t="s">
        <v>2764</v>
      </c>
      <c r="B2583" t="s">
        <v>55</v>
      </c>
      <c r="C2583" t="s">
        <v>2743</v>
      </c>
      <c r="D2583" t="s">
        <v>2406</v>
      </c>
      <c r="E2583" t="s">
        <v>78</v>
      </c>
      <c r="F2583" t="s">
        <v>252</v>
      </c>
      <c r="G2583">
        <v>7.6672000000000002</v>
      </c>
      <c r="H2583">
        <v>-76.681100000000001</v>
      </c>
      <c r="I2583" t="s">
        <v>2744</v>
      </c>
      <c r="J2583">
        <v>11</v>
      </c>
      <c r="M2583">
        <v>138</v>
      </c>
      <c r="N2583">
        <v>24</v>
      </c>
      <c r="O2583">
        <v>26</v>
      </c>
      <c r="P2583">
        <v>30</v>
      </c>
      <c r="Q2583">
        <v>29</v>
      </c>
      <c r="R2583">
        <v>29</v>
      </c>
    </row>
    <row r="2584" spans="1:18" x14ac:dyDescent="0.25">
      <c r="A2584" t="s">
        <v>2765</v>
      </c>
      <c r="B2584" t="s">
        <v>55</v>
      </c>
      <c r="C2584" t="s">
        <v>2743</v>
      </c>
      <c r="D2584" t="s">
        <v>2406</v>
      </c>
      <c r="E2584" t="s">
        <v>78</v>
      </c>
      <c r="F2584" t="s">
        <v>252</v>
      </c>
      <c r="G2584">
        <v>7.6672000000000002</v>
      </c>
      <c r="H2584">
        <v>-76.681100000000001</v>
      </c>
      <c r="I2584" t="s">
        <v>2744</v>
      </c>
      <c r="J2584">
        <v>11</v>
      </c>
      <c r="M2584">
        <v>136</v>
      </c>
      <c r="N2584">
        <v>17</v>
      </c>
      <c r="O2584">
        <v>22</v>
      </c>
      <c r="P2584">
        <v>32</v>
      </c>
      <c r="Q2584">
        <v>34</v>
      </c>
      <c r="R2584">
        <v>38</v>
      </c>
    </row>
    <row r="2585" spans="1:18" x14ac:dyDescent="0.25">
      <c r="A2585" t="s">
        <v>2766</v>
      </c>
      <c r="B2585" t="s">
        <v>55</v>
      </c>
      <c r="C2585" t="s">
        <v>2743</v>
      </c>
      <c r="D2585" t="s">
        <v>2406</v>
      </c>
      <c r="E2585" t="s">
        <v>78</v>
      </c>
      <c r="F2585" t="s">
        <v>252</v>
      </c>
      <c r="G2585">
        <v>7.6672000000000002</v>
      </c>
      <c r="H2585">
        <v>-76.681100000000001</v>
      </c>
      <c r="I2585" t="s">
        <v>2744</v>
      </c>
      <c r="J2585">
        <v>11</v>
      </c>
      <c r="M2585">
        <v>136</v>
      </c>
      <c r="N2585">
        <v>22</v>
      </c>
      <c r="O2585">
        <v>32</v>
      </c>
      <c r="P2585">
        <v>30</v>
      </c>
      <c r="Q2585">
        <v>24</v>
      </c>
      <c r="R2585">
        <v>29</v>
      </c>
    </row>
    <row r="2586" spans="1:18" x14ac:dyDescent="0.25">
      <c r="A2586" t="s">
        <v>2767</v>
      </c>
      <c r="B2586" t="s">
        <v>55</v>
      </c>
      <c r="C2586" t="s">
        <v>2743</v>
      </c>
      <c r="D2586" t="s">
        <v>2406</v>
      </c>
      <c r="E2586" t="s">
        <v>78</v>
      </c>
      <c r="F2586" t="s">
        <v>252</v>
      </c>
      <c r="G2586">
        <v>7.6672000000000002</v>
      </c>
      <c r="H2586">
        <v>-76.681100000000001</v>
      </c>
      <c r="I2586" t="s">
        <v>2744</v>
      </c>
      <c r="J2586">
        <v>11</v>
      </c>
      <c r="M2586">
        <v>136</v>
      </c>
      <c r="N2586">
        <v>34</v>
      </c>
      <c r="O2586">
        <v>22</v>
      </c>
      <c r="P2586">
        <v>24</v>
      </c>
      <c r="Q2586">
        <v>26</v>
      </c>
      <c r="R2586">
        <v>35</v>
      </c>
    </row>
    <row r="2587" spans="1:18" x14ac:dyDescent="0.25">
      <c r="A2587" t="s">
        <v>2768</v>
      </c>
      <c r="B2587" t="s">
        <v>55</v>
      </c>
      <c r="C2587" t="s">
        <v>2743</v>
      </c>
      <c r="D2587" t="s">
        <v>2406</v>
      </c>
      <c r="E2587" t="s">
        <v>78</v>
      </c>
      <c r="F2587" t="s">
        <v>252</v>
      </c>
      <c r="G2587">
        <v>7.6672000000000002</v>
      </c>
      <c r="H2587">
        <v>-76.681100000000001</v>
      </c>
      <c r="I2587" t="s">
        <v>2744</v>
      </c>
      <c r="J2587">
        <v>11</v>
      </c>
      <c r="M2587">
        <v>135</v>
      </c>
      <c r="N2587">
        <v>39</v>
      </c>
      <c r="O2587">
        <v>30</v>
      </c>
      <c r="P2587">
        <v>14</v>
      </c>
      <c r="Q2587">
        <v>26</v>
      </c>
      <c r="R2587">
        <v>25</v>
      </c>
    </row>
    <row r="2588" spans="1:18" x14ac:dyDescent="0.25">
      <c r="A2588" t="s">
        <v>2769</v>
      </c>
      <c r="B2588" t="s">
        <v>55</v>
      </c>
      <c r="C2588" t="s">
        <v>2743</v>
      </c>
      <c r="D2588" t="s">
        <v>2406</v>
      </c>
      <c r="E2588" t="s">
        <v>78</v>
      </c>
      <c r="F2588" t="s">
        <v>252</v>
      </c>
      <c r="G2588">
        <v>7.6672000000000002</v>
      </c>
      <c r="H2588">
        <v>-76.681100000000001</v>
      </c>
      <c r="I2588" t="s">
        <v>2744</v>
      </c>
      <c r="J2588">
        <v>11</v>
      </c>
      <c r="M2588">
        <v>124</v>
      </c>
      <c r="N2588">
        <v>37</v>
      </c>
      <c r="O2588">
        <v>24</v>
      </c>
      <c r="P2588">
        <v>24</v>
      </c>
      <c r="Q2588">
        <v>17</v>
      </c>
      <c r="R2588">
        <v>18</v>
      </c>
    </row>
    <row r="2589" spans="1:18" x14ac:dyDescent="0.25">
      <c r="A2589" t="s">
        <v>2770</v>
      </c>
      <c r="B2589" t="s">
        <v>55</v>
      </c>
      <c r="C2589" t="s">
        <v>2743</v>
      </c>
      <c r="D2589" t="s">
        <v>2406</v>
      </c>
      <c r="E2589" t="s">
        <v>78</v>
      </c>
      <c r="F2589" t="s">
        <v>252</v>
      </c>
      <c r="G2589">
        <v>7.6672000000000002</v>
      </c>
      <c r="H2589">
        <v>-76.681100000000001</v>
      </c>
      <c r="I2589" t="s">
        <v>2744</v>
      </c>
      <c r="J2589">
        <v>11</v>
      </c>
      <c r="M2589">
        <v>119</v>
      </c>
      <c r="N2589">
        <v>22</v>
      </c>
      <c r="O2589">
        <v>14</v>
      </c>
      <c r="P2589">
        <v>32</v>
      </c>
      <c r="Q2589">
        <v>17</v>
      </c>
      <c r="R2589">
        <v>55</v>
      </c>
    </row>
    <row r="2590" spans="1:18" x14ac:dyDescent="0.25">
      <c r="A2590" t="s">
        <v>2771</v>
      </c>
      <c r="B2590" t="s">
        <v>55</v>
      </c>
      <c r="C2590" t="s">
        <v>2743</v>
      </c>
      <c r="D2590" t="s">
        <v>2406</v>
      </c>
      <c r="E2590" t="s">
        <v>78</v>
      </c>
      <c r="F2590" t="s">
        <v>252</v>
      </c>
      <c r="G2590">
        <v>7.6672000000000002</v>
      </c>
      <c r="H2590">
        <v>-76.681100000000001</v>
      </c>
      <c r="I2590" t="s">
        <v>2744</v>
      </c>
      <c r="J2590">
        <v>11</v>
      </c>
      <c r="M2590">
        <v>114</v>
      </c>
      <c r="N2590">
        <v>32</v>
      </c>
      <c r="O2590">
        <v>16</v>
      </c>
      <c r="P2590">
        <v>18</v>
      </c>
      <c r="Q2590">
        <v>22</v>
      </c>
      <c r="R2590">
        <v>33</v>
      </c>
    </row>
    <row r="2591" spans="1:18" x14ac:dyDescent="0.25">
      <c r="A2591" t="s">
        <v>2772</v>
      </c>
      <c r="B2591" t="s">
        <v>55</v>
      </c>
      <c r="C2591" t="s">
        <v>2743</v>
      </c>
      <c r="D2591" t="s">
        <v>2406</v>
      </c>
      <c r="E2591" t="s">
        <v>78</v>
      </c>
      <c r="F2591" t="s">
        <v>252</v>
      </c>
      <c r="G2591">
        <v>7.6672000000000002</v>
      </c>
      <c r="H2591">
        <v>-76.681100000000001</v>
      </c>
      <c r="I2591" t="s">
        <v>2744</v>
      </c>
      <c r="J2591">
        <v>11</v>
      </c>
      <c r="M2591">
        <v>110</v>
      </c>
      <c r="N2591">
        <v>32</v>
      </c>
      <c r="O2591">
        <v>18</v>
      </c>
      <c r="P2591">
        <v>16</v>
      </c>
      <c r="Q2591">
        <v>17</v>
      </c>
      <c r="R2591">
        <v>36</v>
      </c>
    </row>
    <row r="2592" spans="1:18" x14ac:dyDescent="0.25">
      <c r="A2592" t="s">
        <v>2773</v>
      </c>
      <c r="B2592" t="s">
        <v>55</v>
      </c>
      <c r="C2592" t="s">
        <v>2743</v>
      </c>
      <c r="D2592" t="s">
        <v>2406</v>
      </c>
      <c r="E2592" t="s">
        <v>78</v>
      </c>
      <c r="F2592" t="s">
        <v>252</v>
      </c>
      <c r="G2592">
        <v>7.6672000000000002</v>
      </c>
      <c r="H2592">
        <v>-76.681100000000001</v>
      </c>
      <c r="I2592" t="s">
        <v>2744</v>
      </c>
      <c r="J2592">
        <v>11</v>
      </c>
      <c r="M2592">
        <v>99</v>
      </c>
      <c r="N2592">
        <v>24</v>
      </c>
      <c r="O2592">
        <v>16</v>
      </c>
      <c r="P2592">
        <v>18</v>
      </c>
      <c r="Q2592">
        <v>16</v>
      </c>
      <c r="R2592">
        <v>36</v>
      </c>
    </row>
    <row r="2593" spans="1:18" x14ac:dyDescent="0.25">
      <c r="A2593" t="s">
        <v>2774</v>
      </c>
      <c r="B2593" t="s">
        <v>55</v>
      </c>
      <c r="C2593" t="s">
        <v>2743</v>
      </c>
      <c r="D2593" t="s">
        <v>2406</v>
      </c>
      <c r="E2593" t="s">
        <v>78</v>
      </c>
      <c r="F2593" t="s">
        <v>252</v>
      </c>
      <c r="G2593">
        <v>7.6672000000000002</v>
      </c>
      <c r="H2593">
        <v>-76.681100000000001</v>
      </c>
      <c r="I2593" t="s">
        <v>2744</v>
      </c>
      <c r="J2593">
        <v>11</v>
      </c>
      <c r="M2593">
        <v>59</v>
      </c>
      <c r="N2593">
        <v>0</v>
      </c>
      <c r="O2593">
        <v>14</v>
      </c>
      <c r="P2593">
        <v>16</v>
      </c>
      <c r="Q2593">
        <v>7</v>
      </c>
      <c r="R2593">
        <v>44</v>
      </c>
    </row>
    <row r="2594" spans="1:18" x14ac:dyDescent="0.25">
      <c r="A2594" t="s">
        <v>2775</v>
      </c>
      <c r="B2594" t="s">
        <v>55</v>
      </c>
      <c r="C2594" t="s">
        <v>2776</v>
      </c>
      <c r="D2594" t="s">
        <v>2263</v>
      </c>
      <c r="E2594" t="s">
        <v>78</v>
      </c>
      <c r="F2594" t="s">
        <v>252</v>
      </c>
      <c r="G2594">
        <v>8.8507999999999996</v>
      </c>
      <c r="H2594">
        <v>-76.426699999999997</v>
      </c>
      <c r="I2594" t="s">
        <v>2777</v>
      </c>
      <c r="J2594">
        <v>11</v>
      </c>
      <c r="M2594">
        <v>251</v>
      </c>
      <c r="N2594">
        <v>63</v>
      </c>
      <c r="O2594">
        <v>42</v>
      </c>
      <c r="P2594">
        <v>56</v>
      </c>
      <c r="Q2594">
        <v>34</v>
      </c>
      <c r="R2594">
        <v>64</v>
      </c>
    </row>
    <row r="2595" spans="1:18" x14ac:dyDescent="0.25">
      <c r="A2595" t="s">
        <v>2778</v>
      </c>
      <c r="B2595" t="s">
        <v>55</v>
      </c>
      <c r="C2595" t="s">
        <v>2776</v>
      </c>
      <c r="D2595" t="s">
        <v>2263</v>
      </c>
      <c r="E2595" t="s">
        <v>78</v>
      </c>
      <c r="F2595" t="s">
        <v>252</v>
      </c>
      <c r="G2595">
        <v>8.8507999999999996</v>
      </c>
      <c r="H2595">
        <v>-76.426699999999997</v>
      </c>
      <c r="I2595" t="s">
        <v>2777</v>
      </c>
      <c r="J2595">
        <v>11</v>
      </c>
      <c r="M2595">
        <v>249</v>
      </c>
      <c r="N2595">
        <v>56</v>
      </c>
      <c r="O2595">
        <v>54</v>
      </c>
      <c r="P2595">
        <v>60</v>
      </c>
      <c r="Q2595">
        <v>28</v>
      </c>
      <c r="R2595">
        <v>55</v>
      </c>
    </row>
    <row r="2596" spans="1:18" x14ac:dyDescent="0.25">
      <c r="A2596" t="s">
        <v>2779</v>
      </c>
      <c r="B2596" t="s">
        <v>55</v>
      </c>
      <c r="C2596" t="s">
        <v>2776</v>
      </c>
      <c r="D2596" t="s">
        <v>2263</v>
      </c>
      <c r="E2596" t="s">
        <v>78</v>
      </c>
      <c r="F2596" t="s">
        <v>252</v>
      </c>
      <c r="G2596">
        <v>8.8507999999999996</v>
      </c>
      <c r="H2596">
        <v>-76.426699999999997</v>
      </c>
      <c r="I2596" t="s">
        <v>2777</v>
      </c>
      <c r="J2596">
        <v>11</v>
      </c>
      <c r="M2596">
        <v>243</v>
      </c>
      <c r="N2596">
        <v>63</v>
      </c>
      <c r="O2596">
        <v>44</v>
      </c>
      <c r="P2596">
        <v>52</v>
      </c>
      <c r="Q2596">
        <v>31</v>
      </c>
      <c r="R2596">
        <v>60</v>
      </c>
    </row>
    <row r="2597" spans="1:18" x14ac:dyDescent="0.25">
      <c r="A2597" t="s">
        <v>2780</v>
      </c>
      <c r="B2597" t="s">
        <v>55</v>
      </c>
      <c r="C2597" t="s">
        <v>2776</v>
      </c>
      <c r="D2597" t="s">
        <v>2263</v>
      </c>
      <c r="E2597" t="s">
        <v>78</v>
      </c>
      <c r="F2597" t="s">
        <v>252</v>
      </c>
      <c r="G2597">
        <v>8.8507999999999996</v>
      </c>
      <c r="H2597">
        <v>-76.426699999999997</v>
      </c>
      <c r="I2597" t="s">
        <v>2777</v>
      </c>
      <c r="J2597">
        <v>11</v>
      </c>
      <c r="M2597">
        <v>241</v>
      </c>
      <c r="N2597">
        <v>51</v>
      </c>
      <c r="O2597">
        <v>40</v>
      </c>
      <c r="P2597">
        <v>48</v>
      </c>
      <c r="Q2597">
        <v>41</v>
      </c>
      <c r="R2597">
        <v>84</v>
      </c>
    </row>
    <row r="2598" spans="1:18" x14ac:dyDescent="0.25">
      <c r="A2598" t="s">
        <v>2781</v>
      </c>
      <c r="B2598" t="s">
        <v>55</v>
      </c>
      <c r="C2598" t="s">
        <v>2776</v>
      </c>
      <c r="D2598" t="s">
        <v>2263</v>
      </c>
      <c r="E2598" t="s">
        <v>78</v>
      </c>
      <c r="F2598" t="s">
        <v>252</v>
      </c>
      <c r="G2598">
        <v>8.8507999999999996</v>
      </c>
      <c r="H2598">
        <v>-76.426699999999997</v>
      </c>
      <c r="I2598" t="s">
        <v>2777</v>
      </c>
      <c r="J2598">
        <v>11</v>
      </c>
      <c r="M2598">
        <v>238</v>
      </c>
      <c r="N2598">
        <v>66</v>
      </c>
      <c r="O2598">
        <v>28</v>
      </c>
      <c r="P2598">
        <v>60</v>
      </c>
      <c r="Q2598">
        <v>31</v>
      </c>
      <c r="R2598">
        <v>64</v>
      </c>
    </row>
    <row r="2599" spans="1:18" x14ac:dyDescent="0.25">
      <c r="A2599" t="s">
        <v>2782</v>
      </c>
      <c r="B2599" t="s">
        <v>55</v>
      </c>
      <c r="C2599" t="s">
        <v>2776</v>
      </c>
      <c r="D2599" t="s">
        <v>2263</v>
      </c>
      <c r="E2599" t="s">
        <v>78</v>
      </c>
      <c r="F2599" t="s">
        <v>252</v>
      </c>
      <c r="G2599">
        <v>8.8507999999999996</v>
      </c>
      <c r="H2599">
        <v>-76.426699999999997</v>
      </c>
      <c r="I2599" t="s">
        <v>2777</v>
      </c>
      <c r="J2599">
        <v>11</v>
      </c>
      <c r="M2599">
        <v>236</v>
      </c>
      <c r="N2599">
        <v>66</v>
      </c>
      <c r="O2599">
        <v>32</v>
      </c>
      <c r="P2599">
        <v>54</v>
      </c>
      <c r="Q2599">
        <v>36</v>
      </c>
      <c r="R2599">
        <v>49</v>
      </c>
    </row>
    <row r="2600" spans="1:18" x14ac:dyDescent="0.25">
      <c r="A2600" t="s">
        <v>2783</v>
      </c>
      <c r="B2600" t="s">
        <v>55</v>
      </c>
      <c r="C2600" t="s">
        <v>2776</v>
      </c>
      <c r="D2600" t="s">
        <v>2263</v>
      </c>
      <c r="E2600" t="s">
        <v>78</v>
      </c>
      <c r="F2600" t="s">
        <v>252</v>
      </c>
      <c r="G2600">
        <v>8.8507999999999996</v>
      </c>
      <c r="H2600">
        <v>-76.426699999999997</v>
      </c>
      <c r="I2600" t="s">
        <v>2777</v>
      </c>
      <c r="J2600">
        <v>11</v>
      </c>
      <c r="M2600">
        <v>235</v>
      </c>
      <c r="N2600">
        <v>61</v>
      </c>
      <c r="O2600">
        <v>30</v>
      </c>
      <c r="P2600">
        <v>56</v>
      </c>
      <c r="Q2600">
        <v>36</v>
      </c>
      <c r="R2600">
        <v>62</v>
      </c>
    </row>
    <row r="2601" spans="1:18" x14ac:dyDescent="0.25">
      <c r="A2601" t="s">
        <v>2784</v>
      </c>
      <c r="B2601" t="s">
        <v>55</v>
      </c>
      <c r="C2601" t="s">
        <v>2776</v>
      </c>
      <c r="D2601" t="s">
        <v>2263</v>
      </c>
      <c r="E2601" t="s">
        <v>78</v>
      </c>
      <c r="F2601" t="s">
        <v>252</v>
      </c>
      <c r="G2601">
        <v>8.8507999999999996</v>
      </c>
      <c r="H2601">
        <v>-76.426699999999997</v>
      </c>
      <c r="I2601" t="s">
        <v>2777</v>
      </c>
      <c r="J2601">
        <v>11</v>
      </c>
      <c r="M2601">
        <v>231</v>
      </c>
      <c r="N2601">
        <v>63</v>
      </c>
      <c r="O2601">
        <v>34</v>
      </c>
      <c r="P2601">
        <v>52</v>
      </c>
      <c r="Q2601">
        <v>40</v>
      </c>
      <c r="R2601">
        <v>35</v>
      </c>
    </row>
    <row r="2602" spans="1:18" x14ac:dyDescent="0.25">
      <c r="A2602" t="s">
        <v>2785</v>
      </c>
      <c r="B2602" t="s">
        <v>55</v>
      </c>
      <c r="C2602" t="s">
        <v>2776</v>
      </c>
      <c r="D2602" t="s">
        <v>2263</v>
      </c>
      <c r="E2602" t="s">
        <v>78</v>
      </c>
      <c r="F2602" t="s">
        <v>252</v>
      </c>
      <c r="G2602">
        <v>8.8507999999999996</v>
      </c>
      <c r="H2602">
        <v>-76.426699999999997</v>
      </c>
      <c r="I2602" t="s">
        <v>2777</v>
      </c>
      <c r="J2602">
        <v>11</v>
      </c>
      <c r="M2602">
        <v>224</v>
      </c>
      <c r="N2602">
        <v>51</v>
      </c>
      <c r="O2602">
        <v>30</v>
      </c>
      <c r="P2602">
        <v>54</v>
      </c>
      <c r="Q2602">
        <v>40</v>
      </c>
      <c r="R2602">
        <v>58</v>
      </c>
    </row>
    <row r="2603" spans="1:18" x14ac:dyDescent="0.25">
      <c r="A2603" t="s">
        <v>2786</v>
      </c>
      <c r="B2603" t="s">
        <v>55</v>
      </c>
      <c r="C2603" t="s">
        <v>2776</v>
      </c>
      <c r="D2603" t="s">
        <v>2263</v>
      </c>
      <c r="E2603" t="s">
        <v>78</v>
      </c>
      <c r="F2603" t="s">
        <v>252</v>
      </c>
      <c r="G2603">
        <v>8.8507999999999996</v>
      </c>
      <c r="H2603">
        <v>-76.426699999999997</v>
      </c>
      <c r="I2603" t="s">
        <v>2777</v>
      </c>
      <c r="J2603">
        <v>11</v>
      </c>
      <c r="M2603">
        <v>224</v>
      </c>
      <c r="N2603">
        <v>49</v>
      </c>
      <c r="O2603">
        <v>44</v>
      </c>
      <c r="P2603">
        <v>50</v>
      </c>
      <c r="Q2603">
        <v>33</v>
      </c>
      <c r="R2603">
        <v>55</v>
      </c>
    </row>
    <row r="2604" spans="1:18" x14ac:dyDescent="0.25">
      <c r="A2604" t="s">
        <v>2787</v>
      </c>
      <c r="B2604" t="s">
        <v>55</v>
      </c>
      <c r="C2604" t="s">
        <v>2776</v>
      </c>
      <c r="D2604" t="s">
        <v>2263</v>
      </c>
      <c r="E2604" t="s">
        <v>78</v>
      </c>
      <c r="F2604" t="s">
        <v>252</v>
      </c>
      <c r="G2604">
        <v>8.8507999999999996</v>
      </c>
      <c r="H2604">
        <v>-76.426699999999997</v>
      </c>
      <c r="I2604" t="s">
        <v>2777</v>
      </c>
      <c r="J2604">
        <v>11</v>
      </c>
      <c r="M2604">
        <v>220</v>
      </c>
      <c r="N2604">
        <v>49</v>
      </c>
      <c r="O2604">
        <v>28</v>
      </c>
      <c r="P2604">
        <v>64</v>
      </c>
      <c r="Q2604">
        <v>36</v>
      </c>
      <c r="R2604">
        <v>42</v>
      </c>
    </row>
    <row r="2605" spans="1:18" x14ac:dyDescent="0.25">
      <c r="A2605" t="s">
        <v>2788</v>
      </c>
      <c r="B2605" t="s">
        <v>55</v>
      </c>
      <c r="C2605" t="s">
        <v>2776</v>
      </c>
      <c r="D2605" t="s">
        <v>2263</v>
      </c>
      <c r="E2605" t="s">
        <v>78</v>
      </c>
      <c r="F2605" t="s">
        <v>252</v>
      </c>
      <c r="G2605">
        <v>8.8507999999999996</v>
      </c>
      <c r="H2605">
        <v>-76.426699999999997</v>
      </c>
      <c r="I2605" t="s">
        <v>2777</v>
      </c>
      <c r="J2605">
        <v>11</v>
      </c>
      <c r="M2605">
        <v>219</v>
      </c>
      <c r="N2605">
        <v>51</v>
      </c>
      <c r="O2605">
        <v>24</v>
      </c>
      <c r="P2605">
        <v>56</v>
      </c>
      <c r="Q2605">
        <v>41</v>
      </c>
      <c r="R2605">
        <v>51</v>
      </c>
    </row>
    <row r="2606" spans="1:18" x14ac:dyDescent="0.25">
      <c r="A2606" t="s">
        <v>2789</v>
      </c>
      <c r="B2606" t="s">
        <v>55</v>
      </c>
      <c r="C2606" t="s">
        <v>2776</v>
      </c>
      <c r="D2606" t="s">
        <v>2263</v>
      </c>
      <c r="E2606" t="s">
        <v>78</v>
      </c>
      <c r="F2606" t="s">
        <v>252</v>
      </c>
      <c r="G2606">
        <v>8.8507999999999996</v>
      </c>
      <c r="H2606">
        <v>-76.426699999999997</v>
      </c>
      <c r="I2606" t="s">
        <v>2777</v>
      </c>
      <c r="J2606">
        <v>11</v>
      </c>
      <c r="M2606">
        <v>218</v>
      </c>
      <c r="N2606">
        <v>49</v>
      </c>
      <c r="O2606">
        <v>34</v>
      </c>
      <c r="P2606">
        <v>54</v>
      </c>
      <c r="Q2606">
        <v>36</v>
      </c>
      <c r="R2606">
        <v>47</v>
      </c>
    </row>
    <row r="2607" spans="1:18" x14ac:dyDescent="0.25">
      <c r="A2607" t="s">
        <v>2790</v>
      </c>
      <c r="B2607" t="s">
        <v>55</v>
      </c>
      <c r="C2607" t="s">
        <v>2776</v>
      </c>
      <c r="D2607" t="s">
        <v>2263</v>
      </c>
      <c r="E2607" t="s">
        <v>78</v>
      </c>
      <c r="F2607" t="s">
        <v>252</v>
      </c>
      <c r="G2607">
        <v>8.8507999999999996</v>
      </c>
      <c r="H2607">
        <v>-76.426699999999997</v>
      </c>
      <c r="I2607" t="s">
        <v>2777</v>
      </c>
      <c r="J2607">
        <v>11</v>
      </c>
      <c r="M2607">
        <v>217</v>
      </c>
      <c r="N2607">
        <v>56</v>
      </c>
      <c r="O2607">
        <v>30</v>
      </c>
      <c r="P2607">
        <v>64</v>
      </c>
      <c r="Q2607">
        <v>21</v>
      </c>
      <c r="R2607">
        <v>51</v>
      </c>
    </row>
    <row r="2608" spans="1:18" x14ac:dyDescent="0.25">
      <c r="A2608" t="s">
        <v>2791</v>
      </c>
      <c r="B2608" t="s">
        <v>55</v>
      </c>
      <c r="C2608" t="s">
        <v>2776</v>
      </c>
      <c r="D2608" t="s">
        <v>2263</v>
      </c>
      <c r="E2608" t="s">
        <v>78</v>
      </c>
      <c r="F2608" t="s">
        <v>252</v>
      </c>
      <c r="G2608">
        <v>8.8507999999999996</v>
      </c>
      <c r="H2608">
        <v>-76.426699999999997</v>
      </c>
      <c r="I2608" t="s">
        <v>2777</v>
      </c>
      <c r="J2608">
        <v>11</v>
      </c>
      <c r="M2608">
        <v>211</v>
      </c>
      <c r="N2608">
        <v>49</v>
      </c>
      <c r="O2608">
        <v>22</v>
      </c>
      <c r="P2608">
        <v>50</v>
      </c>
      <c r="Q2608">
        <v>47</v>
      </c>
      <c r="R2608">
        <v>45</v>
      </c>
    </row>
    <row r="2609" spans="1:18" x14ac:dyDescent="0.25">
      <c r="A2609" t="s">
        <v>2792</v>
      </c>
      <c r="B2609" t="s">
        <v>55</v>
      </c>
      <c r="C2609" t="s">
        <v>2776</v>
      </c>
      <c r="D2609" t="s">
        <v>2263</v>
      </c>
      <c r="E2609" t="s">
        <v>78</v>
      </c>
      <c r="F2609" t="s">
        <v>252</v>
      </c>
      <c r="G2609">
        <v>8.8507999999999996</v>
      </c>
      <c r="H2609">
        <v>-76.426699999999997</v>
      </c>
      <c r="I2609" t="s">
        <v>2777</v>
      </c>
      <c r="J2609">
        <v>11</v>
      </c>
      <c r="M2609">
        <v>210</v>
      </c>
      <c r="N2609">
        <v>61</v>
      </c>
      <c r="O2609">
        <v>22</v>
      </c>
      <c r="P2609">
        <v>46</v>
      </c>
      <c r="Q2609">
        <v>36</v>
      </c>
      <c r="R2609">
        <v>51</v>
      </c>
    </row>
    <row r="2610" spans="1:18" x14ac:dyDescent="0.25">
      <c r="A2610" t="s">
        <v>2793</v>
      </c>
      <c r="B2610" t="s">
        <v>55</v>
      </c>
      <c r="C2610" t="s">
        <v>2776</v>
      </c>
      <c r="D2610" t="s">
        <v>2263</v>
      </c>
      <c r="E2610" t="s">
        <v>78</v>
      </c>
      <c r="F2610" t="s">
        <v>252</v>
      </c>
      <c r="G2610">
        <v>8.8507999999999996</v>
      </c>
      <c r="H2610">
        <v>-76.426699999999997</v>
      </c>
      <c r="I2610" t="s">
        <v>2777</v>
      </c>
      <c r="J2610">
        <v>11</v>
      </c>
      <c r="M2610">
        <v>208</v>
      </c>
      <c r="N2610">
        <v>46</v>
      </c>
      <c r="O2610">
        <v>22</v>
      </c>
      <c r="P2610">
        <v>64</v>
      </c>
      <c r="Q2610">
        <v>29</v>
      </c>
      <c r="R2610">
        <v>56</v>
      </c>
    </row>
    <row r="2611" spans="1:18" x14ac:dyDescent="0.25">
      <c r="A2611" t="s">
        <v>2794</v>
      </c>
      <c r="B2611" t="s">
        <v>55</v>
      </c>
      <c r="C2611" t="s">
        <v>2776</v>
      </c>
      <c r="D2611" t="s">
        <v>2263</v>
      </c>
      <c r="E2611" t="s">
        <v>78</v>
      </c>
      <c r="F2611" t="s">
        <v>252</v>
      </c>
      <c r="G2611">
        <v>8.8507999999999996</v>
      </c>
      <c r="H2611">
        <v>-76.426699999999997</v>
      </c>
      <c r="I2611" t="s">
        <v>2777</v>
      </c>
      <c r="J2611">
        <v>11</v>
      </c>
      <c r="M2611">
        <v>208</v>
      </c>
      <c r="N2611">
        <v>56</v>
      </c>
      <c r="O2611">
        <v>18</v>
      </c>
      <c r="P2611">
        <v>58</v>
      </c>
      <c r="Q2611">
        <v>33</v>
      </c>
      <c r="R2611">
        <v>45</v>
      </c>
    </row>
    <row r="2612" spans="1:18" x14ac:dyDescent="0.25">
      <c r="A2612" t="s">
        <v>2795</v>
      </c>
      <c r="B2612" t="s">
        <v>55</v>
      </c>
      <c r="C2612" t="s">
        <v>2776</v>
      </c>
      <c r="D2612" t="s">
        <v>2263</v>
      </c>
      <c r="E2612" t="s">
        <v>78</v>
      </c>
      <c r="F2612" t="s">
        <v>252</v>
      </c>
      <c r="G2612">
        <v>8.8507999999999996</v>
      </c>
      <c r="H2612">
        <v>-76.426699999999997</v>
      </c>
      <c r="I2612" t="s">
        <v>2777</v>
      </c>
      <c r="J2612">
        <v>11</v>
      </c>
      <c r="M2612">
        <v>207</v>
      </c>
      <c r="N2612">
        <v>46</v>
      </c>
      <c r="O2612">
        <v>20</v>
      </c>
      <c r="P2612">
        <v>64</v>
      </c>
      <c r="Q2612">
        <v>28</v>
      </c>
      <c r="R2612">
        <v>64</v>
      </c>
    </row>
    <row r="2613" spans="1:18" x14ac:dyDescent="0.25">
      <c r="A2613" t="s">
        <v>2796</v>
      </c>
      <c r="B2613" t="s">
        <v>55</v>
      </c>
      <c r="C2613" t="s">
        <v>2776</v>
      </c>
      <c r="D2613" t="s">
        <v>2263</v>
      </c>
      <c r="E2613" t="s">
        <v>78</v>
      </c>
      <c r="F2613" t="s">
        <v>252</v>
      </c>
      <c r="G2613">
        <v>8.8507999999999996</v>
      </c>
      <c r="H2613">
        <v>-76.426699999999997</v>
      </c>
      <c r="I2613" t="s">
        <v>2777</v>
      </c>
      <c r="J2613">
        <v>11</v>
      </c>
      <c r="M2613">
        <v>205</v>
      </c>
      <c r="N2613">
        <v>32</v>
      </c>
      <c r="O2613">
        <v>46</v>
      </c>
      <c r="P2613">
        <v>52</v>
      </c>
      <c r="Q2613">
        <v>36</v>
      </c>
      <c r="R2613">
        <v>35</v>
      </c>
    </row>
    <row r="2614" spans="1:18" x14ac:dyDescent="0.25">
      <c r="A2614" t="s">
        <v>2797</v>
      </c>
      <c r="B2614" t="s">
        <v>55</v>
      </c>
      <c r="C2614" t="s">
        <v>2776</v>
      </c>
      <c r="D2614" t="s">
        <v>2263</v>
      </c>
      <c r="E2614" t="s">
        <v>78</v>
      </c>
      <c r="F2614" t="s">
        <v>252</v>
      </c>
      <c r="G2614">
        <v>8.8507999999999996</v>
      </c>
      <c r="H2614">
        <v>-76.426699999999997</v>
      </c>
      <c r="I2614" t="s">
        <v>2777</v>
      </c>
      <c r="J2614">
        <v>11</v>
      </c>
      <c r="M2614">
        <v>204</v>
      </c>
      <c r="N2614">
        <v>66</v>
      </c>
      <c r="O2614">
        <v>18</v>
      </c>
      <c r="P2614">
        <v>52</v>
      </c>
      <c r="Q2614">
        <v>28</v>
      </c>
      <c r="R2614">
        <v>40</v>
      </c>
    </row>
    <row r="2615" spans="1:18" x14ac:dyDescent="0.25">
      <c r="A2615" t="s">
        <v>2798</v>
      </c>
      <c r="B2615" t="s">
        <v>55</v>
      </c>
      <c r="C2615" t="s">
        <v>2776</v>
      </c>
      <c r="D2615" t="s">
        <v>2263</v>
      </c>
      <c r="E2615" t="s">
        <v>78</v>
      </c>
      <c r="F2615" t="s">
        <v>252</v>
      </c>
      <c r="G2615">
        <v>8.8507999999999996</v>
      </c>
      <c r="H2615">
        <v>-76.426699999999997</v>
      </c>
      <c r="I2615" t="s">
        <v>2777</v>
      </c>
      <c r="J2615">
        <v>11</v>
      </c>
      <c r="M2615">
        <v>201</v>
      </c>
      <c r="N2615">
        <v>49</v>
      </c>
      <c r="O2615">
        <v>28</v>
      </c>
      <c r="P2615">
        <v>44</v>
      </c>
      <c r="Q2615">
        <v>38</v>
      </c>
      <c r="R2615">
        <v>47</v>
      </c>
    </row>
    <row r="2616" spans="1:18" x14ac:dyDescent="0.25">
      <c r="A2616" t="s">
        <v>2799</v>
      </c>
      <c r="B2616" t="s">
        <v>55</v>
      </c>
      <c r="C2616" t="s">
        <v>2776</v>
      </c>
      <c r="D2616" t="s">
        <v>2263</v>
      </c>
      <c r="E2616" t="s">
        <v>78</v>
      </c>
      <c r="F2616" t="s">
        <v>252</v>
      </c>
      <c r="G2616">
        <v>8.8507999999999996</v>
      </c>
      <c r="H2616">
        <v>-76.426699999999997</v>
      </c>
      <c r="I2616" t="s">
        <v>2777</v>
      </c>
      <c r="J2616">
        <v>11</v>
      </c>
      <c r="M2616">
        <v>196</v>
      </c>
      <c r="N2616">
        <v>51</v>
      </c>
      <c r="O2616">
        <v>30</v>
      </c>
      <c r="P2616">
        <v>42</v>
      </c>
      <c r="Q2616">
        <v>33</v>
      </c>
      <c r="R2616">
        <v>42</v>
      </c>
    </row>
    <row r="2617" spans="1:18" x14ac:dyDescent="0.25">
      <c r="A2617" t="s">
        <v>2800</v>
      </c>
      <c r="B2617" t="s">
        <v>55</v>
      </c>
      <c r="C2617" t="s">
        <v>2776</v>
      </c>
      <c r="D2617" t="s">
        <v>2263</v>
      </c>
      <c r="E2617" t="s">
        <v>78</v>
      </c>
      <c r="F2617" t="s">
        <v>252</v>
      </c>
      <c r="G2617">
        <v>8.8507999999999996</v>
      </c>
      <c r="H2617">
        <v>-76.426699999999997</v>
      </c>
      <c r="I2617" t="s">
        <v>2777</v>
      </c>
      <c r="J2617">
        <v>11</v>
      </c>
      <c r="M2617">
        <v>195</v>
      </c>
      <c r="N2617">
        <v>49</v>
      </c>
      <c r="O2617">
        <v>36</v>
      </c>
      <c r="P2617">
        <v>42</v>
      </c>
      <c r="Q2617">
        <v>26</v>
      </c>
      <c r="R2617">
        <v>49</v>
      </c>
    </row>
    <row r="2618" spans="1:18" x14ac:dyDescent="0.25">
      <c r="A2618" t="s">
        <v>2801</v>
      </c>
      <c r="B2618" t="s">
        <v>55</v>
      </c>
      <c r="C2618" t="s">
        <v>2776</v>
      </c>
      <c r="D2618" t="s">
        <v>2263</v>
      </c>
      <c r="E2618" t="s">
        <v>78</v>
      </c>
      <c r="F2618" t="s">
        <v>252</v>
      </c>
      <c r="G2618">
        <v>8.8507999999999996</v>
      </c>
      <c r="H2618">
        <v>-76.426699999999997</v>
      </c>
      <c r="I2618" t="s">
        <v>2777</v>
      </c>
      <c r="J2618">
        <v>11</v>
      </c>
      <c r="M2618">
        <v>195</v>
      </c>
      <c r="N2618">
        <v>46</v>
      </c>
      <c r="O2618">
        <v>30</v>
      </c>
      <c r="P2618">
        <v>44</v>
      </c>
      <c r="Q2618">
        <v>31</v>
      </c>
      <c r="R2618">
        <v>53</v>
      </c>
    </row>
    <row r="2619" spans="1:18" x14ac:dyDescent="0.25">
      <c r="A2619" t="s">
        <v>2802</v>
      </c>
      <c r="B2619" t="s">
        <v>55</v>
      </c>
      <c r="C2619" t="s">
        <v>2776</v>
      </c>
      <c r="D2619" t="s">
        <v>2263</v>
      </c>
      <c r="E2619" t="s">
        <v>78</v>
      </c>
      <c r="F2619" t="s">
        <v>252</v>
      </c>
      <c r="G2619">
        <v>8.8507999999999996</v>
      </c>
      <c r="H2619">
        <v>-76.426699999999997</v>
      </c>
      <c r="I2619" t="s">
        <v>2777</v>
      </c>
      <c r="J2619">
        <v>11</v>
      </c>
      <c r="M2619">
        <v>193</v>
      </c>
      <c r="N2619">
        <v>49</v>
      </c>
      <c r="O2619">
        <v>32</v>
      </c>
      <c r="P2619">
        <v>44</v>
      </c>
      <c r="Q2619">
        <v>29</v>
      </c>
      <c r="R2619">
        <v>40</v>
      </c>
    </row>
    <row r="2620" spans="1:18" x14ac:dyDescent="0.25">
      <c r="A2620" t="s">
        <v>2803</v>
      </c>
      <c r="B2620" t="s">
        <v>55</v>
      </c>
      <c r="C2620" t="s">
        <v>2776</v>
      </c>
      <c r="D2620" t="s">
        <v>2263</v>
      </c>
      <c r="E2620" t="s">
        <v>78</v>
      </c>
      <c r="F2620" t="s">
        <v>252</v>
      </c>
      <c r="G2620">
        <v>8.8507999999999996</v>
      </c>
      <c r="H2620">
        <v>-76.426699999999997</v>
      </c>
      <c r="I2620" t="s">
        <v>2777</v>
      </c>
      <c r="J2620">
        <v>11</v>
      </c>
      <c r="M2620">
        <v>191</v>
      </c>
      <c r="N2620">
        <v>51</v>
      </c>
      <c r="O2620">
        <v>20</v>
      </c>
      <c r="P2620">
        <v>46</v>
      </c>
      <c r="Q2620">
        <v>38</v>
      </c>
      <c r="R2620">
        <v>31</v>
      </c>
    </row>
    <row r="2621" spans="1:18" x14ac:dyDescent="0.25">
      <c r="A2621" t="s">
        <v>2804</v>
      </c>
      <c r="B2621" t="s">
        <v>55</v>
      </c>
      <c r="C2621" t="s">
        <v>2776</v>
      </c>
      <c r="D2621" t="s">
        <v>2263</v>
      </c>
      <c r="E2621" t="s">
        <v>78</v>
      </c>
      <c r="F2621" t="s">
        <v>252</v>
      </c>
      <c r="G2621">
        <v>8.8507999999999996</v>
      </c>
      <c r="H2621">
        <v>-76.426699999999997</v>
      </c>
      <c r="I2621" t="s">
        <v>2777</v>
      </c>
      <c r="J2621">
        <v>11</v>
      </c>
      <c r="M2621">
        <v>188</v>
      </c>
      <c r="N2621">
        <v>49</v>
      </c>
      <c r="O2621">
        <v>24</v>
      </c>
      <c r="P2621">
        <v>46</v>
      </c>
      <c r="Q2621">
        <v>34</v>
      </c>
      <c r="R2621">
        <v>29</v>
      </c>
    </row>
    <row r="2622" spans="1:18" x14ac:dyDescent="0.25">
      <c r="A2622" t="s">
        <v>2805</v>
      </c>
      <c r="B2622" t="s">
        <v>55</v>
      </c>
      <c r="C2622" t="s">
        <v>2776</v>
      </c>
      <c r="D2622" t="s">
        <v>2263</v>
      </c>
      <c r="E2622" t="s">
        <v>78</v>
      </c>
      <c r="F2622" t="s">
        <v>252</v>
      </c>
      <c r="G2622">
        <v>8.8507999999999996</v>
      </c>
      <c r="H2622">
        <v>-76.426699999999997</v>
      </c>
      <c r="I2622" t="s">
        <v>2777</v>
      </c>
      <c r="J2622">
        <v>11</v>
      </c>
      <c r="M2622">
        <v>186</v>
      </c>
      <c r="N2622">
        <v>41</v>
      </c>
      <c r="O2622">
        <v>40</v>
      </c>
      <c r="P2622">
        <v>44</v>
      </c>
      <c r="Q2622">
        <v>24</v>
      </c>
      <c r="R2622">
        <v>35</v>
      </c>
    </row>
    <row r="2623" spans="1:18" x14ac:dyDescent="0.25">
      <c r="A2623" t="s">
        <v>2806</v>
      </c>
      <c r="B2623" t="s">
        <v>55</v>
      </c>
      <c r="C2623" t="s">
        <v>2776</v>
      </c>
      <c r="D2623" t="s">
        <v>2263</v>
      </c>
      <c r="E2623" t="s">
        <v>78</v>
      </c>
      <c r="F2623" t="s">
        <v>252</v>
      </c>
      <c r="G2623">
        <v>8.8507999999999996</v>
      </c>
      <c r="H2623">
        <v>-76.426699999999997</v>
      </c>
      <c r="I2623" t="s">
        <v>2777</v>
      </c>
      <c r="J2623">
        <v>11</v>
      </c>
      <c r="M2623">
        <v>185</v>
      </c>
      <c r="N2623">
        <v>39</v>
      </c>
      <c r="O2623">
        <v>22</v>
      </c>
      <c r="P2623">
        <v>58</v>
      </c>
      <c r="Q2623">
        <v>28</v>
      </c>
      <c r="R2623">
        <v>42</v>
      </c>
    </row>
    <row r="2624" spans="1:18" x14ac:dyDescent="0.25">
      <c r="A2624" t="s">
        <v>2807</v>
      </c>
      <c r="B2624" t="s">
        <v>55</v>
      </c>
      <c r="C2624" t="s">
        <v>2776</v>
      </c>
      <c r="D2624" t="s">
        <v>2263</v>
      </c>
      <c r="E2624" t="s">
        <v>78</v>
      </c>
      <c r="F2624" t="s">
        <v>252</v>
      </c>
      <c r="G2624">
        <v>8.8507999999999996</v>
      </c>
      <c r="H2624">
        <v>-76.426699999999997</v>
      </c>
      <c r="I2624" t="s">
        <v>2777</v>
      </c>
      <c r="J2624">
        <v>11</v>
      </c>
      <c r="M2624">
        <v>185</v>
      </c>
      <c r="N2624">
        <v>46</v>
      </c>
      <c r="O2624">
        <v>28</v>
      </c>
      <c r="P2624">
        <v>48</v>
      </c>
      <c r="Q2624">
        <v>24</v>
      </c>
      <c r="R2624">
        <v>42</v>
      </c>
    </row>
    <row r="2625" spans="1:18" x14ac:dyDescent="0.25">
      <c r="A2625" t="s">
        <v>2808</v>
      </c>
      <c r="B2625" t="s">
        <v>55</v>
      </c>
      <c r="C2625" t="s">
        <v>2776</v>
      </c>
      <c r="D2625" t="s">
        <v>2263</v>
      </c>
      <c r="E2625" t="s">
        <v>78</v>
      </c>
      <c r="F2625" t="s">
        <v>252</v>
      </c>
      <c r="G2625">
        <v>8.8507999999999996</v>
      </c>
      <c r="H2625">
        <v>-76.426699999999997</v>
      </c>
      <c r="I2625" t="s">
        <v>2777</v>
      </c>
      <c r="J2625">
        <v>11</v>
      </c>
      <c r="M2625">
        <v>180</v>
      </c>
      <c r="N2625">
        <v>51</v>
      </c>
      <c r="O2625">
        <v>18</v>
      </c>
      <c r="P2625">
        <v>46</v>
      </c>
      <c r="Q2625">
        <v>22</v>
      </c>
      <c r="R2625">
        <v>55</v>
      </c>
    </row>
    <row r="2626" spans="1:18" x14ac:dyDescent="0.25">
      <c r="A2626" t="s">
        <v>2809</v>
      </c>
      <c r="B2626" t="s">
        <v>55</v>
      </c>
      <c r="C2626" t="s">
        <v>2776</v>
      </c>
      <c r="D2626" t="s">
        <v>2263</v>
      </c>
      <c r="E2626" t="s">
        <v>78</v>
      </c>
      <c r="F2626" t="s">
        <v>252</v>
      </c>
      <c r="G2626">
        <v>8.8507999999999996</v>
      </c>
      <c r="H2626">
        <v>-76.426699999999997</v>
      </c>
      <c r="I2626" t="s">
        <v>2777</v>
      </c>
      <c r="J2626">
        <v>11</v>
      </c>
      <c r="M2626">
        <v>172</v>
      </c>
      <c r="N2626">
        <v>29</v>
      </c>
      <c r="O2626">
        <v>26</v>
      </c>
      <c r="P2626">
        <v>52</v>
      </c>
      <c r="Q2626">
        <v>28</v>
      </c>
      <c r="R2626">
        <v>44</v>
      </c>
    </row>
    <row r="2627" spans="1:18" x14ac:dyDescent="0.25">
      <c r="A2627" t="s">
        <v>2810</v>
      </c>
      <c r="B2627" t="s">
        <v>55</v>
      </c>
      <c r="C2627" t="s">
        <v>2776</v>
      </c>
      <c r="D2627" t="s">
        <v>2263</v>
      </c>
      <c r="E2627" t="s">
        <v>78</v>
      </c>
      <c r="F2627" t="s">
        <v>252</v>
      </c>
      <c r="G2627">
        <v>8.8507999999999996</v>
      </c>
      <c r="H2627">
        <v>-76.426699999999997</v>
      </c>
      <c r="I2627" t="s">
        <v>2777</v>
      </c>
      <c r="J2627">
        <v>11</v>
      </c>
      <c r="M2627">
        <v>170</v>
      </c>
      <c r="N2627">
        <v>29</v>
      </c>
      <c r="O2627">
        <v>40</v>
      </c>
      <c r="P2627">
        <v>48</v>
      </c>
      <c r="Q2627">
        <v>21</v>
      </c>
      <c r="R2627">
        <v>29</v>
      </c>
    </row>
    <row r="2628" spans="1:18" x14ac:dyDescent="0.25">
      <c r="A2628" t="s">
        <v>2811</v>
      </c>
      <c r="B2628" t="s">
        <v>55</v>
      </c>
      <c r="C2628" t="s">
        <v>2776</v>
      </c>
      <c r="D2628" t="s">
        <v>2263</v>
      </c>
      <c r="E2628" t="s">
        <v>78</v>
      </c>
      <c r="F2628" t="s">
        <v>252</v>
      </c>
      <c r="G2628">
        <v>8.8507999999999996</v>
      </c>
      <c r="H2628">
        <v>-76.426699999999997</v>
      </c>
      <c r="I2628" t="s">
        <v>2777</v>
      </c>
      <c r="J2628">
        <v>11</v>
      </c>
      <c r="M2628">
        <v>169</v>
      </c>
      <c r="N2628">
        <v>37</v>
      </c>
      <c r="O2628">
        <v>30</v>
      </c>
      <c r="P2628">
        <v>36</v>
      </c>
      <c r="Q2628">
        <v>28</v>
      </c>
      <c r="R2628">
        <v>49</v>
      </c>
    </row>
    <row r="2629" spans="1:18" x14ac:dyDescent="0.25">
      <c r="A2629" t="s">
        <v>2812</v>
      </c>
      <c r="B2629" t="s">
        <v>55</v>
      </c>
      <c r="C2629" t="s">
        <v>2776</v>
      </c>
      <c r="D2629" t="s">
        <v>2263</v>
      </c>
      <c r="E2629" t="s">
        <v>78</v>
      </c>
      <c r="F2629" t="s">
        <v>252</v>
      </c>
      <c r="G2629">
        <v>8.8507999999999996</v>
      </c>
      <c r="H2629">
        <v>-76.426699999999997</v>
      </c>
      <c r="I2629" t="s">
        <v>2777</v>
      </c>
      <c r="J2629">
        <v>11</v>
      </c>
      <c r="M2629">
        <v>168</v>
      </c>
      <c r="N2629">
        <v>41</v>
      </c>
      <c r="O2629">
        <v>18</v>
      </c>
      <c r="P2629">
        <v>46</v>
      </c>
      <c r="Q2629">
        <v>26</v>
      </c>
      <c r="R2629">
        <v>44</v>
      </c>
    </row>
    <row r="2630" spans="1:18" x14ac:dyDescent="0.25">
      <c r="A2630" t="s">
        <v>2813</v>
      </c>
      <c r="B2630" t="s">
        <v>55</v>
      </c>
      <c r="C2630" t="s">
        <v>2776</v>
      </c>
      <c r="D2630" t="s">
        <v>2263</v>
      </c>
      <c r="E2630" t="s">
        <v>78</v>
      </c>
      <c r="F2630" t="s">
        <v>252</v>
      </c>
      <c r="G2630">
        <v>8.8507999999999996</v>
      </c>
      <c r="H2630">
        <v>-76.426699999999997</v>
      </c>
      <c r="I2630" t="s">
        <v>2777</v>
      </c>
      <c r="J2630">
        <v>11</v>
      </c>
      <c r="M2630">
        <v>168</v>
      </c>
      <c r="N2630">
        <v>44</v>
      </c>
      <c r="O2630">
        <v>26</v>
      </c>
      <c r="P2630">
        <v>34</v>
      </c>
      <c r="Q2630">
        <v>24</v>
      </c>
      <c r="R2630">
        <v>53</v>
      </c>
    </row>
    <row r="2631" spans="1:18" x14ac:dyDescent="0.25">
      <c r="A2631" t="s">
        <v>2814</v>
      </c>
      <c r="B2631" t="s">
        <v>55</v>
      </c>
      <c r="C2631" t="s">
        <v>2776</v>
      </c>
      <c r="D2631" t="s">
        <v>2263</v>
      </c>
      <c r="E2631" t="s">
        <v>78</v>
      </c>
      <c r="F2631" t="s">
        <v>252</v>
      </c>
      <c r="G2631">
        <v>8.8507999999999996</v>
      </c>
      <c r="H2631">
        <v>-76.426699999999997</v>
      </c>
      <c r="I2631" t="s">
        <v>2777</v>
      </c>
      <c r="J2631">
        <v>11</v>
      </c>
      <c r="M2631">
        <v>167</v>
      </c>
      <c r="N2631">
        <v>24</v>
      </c>
      <c r="O2631">
        <v>34</v>
      </c>
      <c r="P2631">
        <v>44</v>
      </c>
      <c r="Q2631">
        <v>29</v>
      </c>
      <c r="R2631">
        <v>40</v>
      </c>
    </row>
    <row r="2632" spans="1:18" x14ac:dyDescent="0.25">
      <c r="A2632" t="s">
        <v>2815</v>
      </c>
      <c r="B2632" t="s">
        <v>55</v>
      </c>
      <c r="C2632" t="s">
        <v>2776</v>
      </c>
      <c r="D2632" t="s">
        <v>2263</v>
      </c>
      <c r="E2632" t="s">
        <v>78</v>
      </c>
      <c r="F2632" t="s">
        <v>252</v>
      </c>
      <c r="G2632">
        <v>8.8507999999999996</v>
      </c>
      <c r="H2632">
        <v>-76.426699999999997</v>
      </c>
      <c r="I2632" t="s">
        <v>2777</v>
      </c>
      <c r="J2632">
        <v>11</v>
      </c>
      <c r="M2632">
        <v>163</v>
      </c>
      <c r="N2632">
        <v>41</v>
      </c>
      <c r="O2632">
        <v>24</v>
      </c>
      <c r="P2632">
        <v>42</v>
      </c>
      <c r="Q2632">
        <v>21</v>
      </c>
      <c r="R2632">
        <v>40</v>
      </c>
    </row>
    <row r="2633" spans="1:18" x14ac:dyDescent="0.25">
      <c r="A2633" t="s">
        <v>2816</v>
      </c>
      <c r="B2633" t="s">
        <v>55</v>
      </c>
      <c r="C2633" t="s">
        <v>2776</v>
      </c>
      <c r="D2633" t="s">
        <v>2263</v>
      </c>
      <c r="E2633" t="s">
        <v>78</v>
      </c>
      <c r="F2633" t="s">
        <v>252</v>
      </c>
      <c r="G2633">
        <v>8.8507999999999996</v>
      </c>
      <c r="H2633">
        <v>-76.426699999999997</v>
      </c>
      <c r="I2633" t="s">
        <v>2777</v>
      </c>
      <c r="J2633">
        <v>11</v>
      </c>
      <c r="M2633">
        <v>161</v>
      </c>
      <c r="N2633">
        <v>39</v>
      </c>
      <c r="O2633">
        <v>28</v>
      </c>
      <c r="P2633">
        <v>38</v>
      </c>
      <c r="Q2633">
        <v>22</v>
      </c>
      <c r="R2633">
        <v>36</v>
      </c>
    </row>
    <row r="2634" spans="1:18" x14ac:dyDescent="0.25">
      <c r="A2634" t="s">
        <v>2817</v>
      </c>
      <c r="B2634" t="s">
        <v>55</v>
      </c>
      <c r="C2634" t="s">
        <v>2818</v>
      </c>
      <c r="D2634" t="s">
        <v>2406</v>
      </c>
      <c r="E2634" t="s">
        <v>78</v>
      </c>
      <c r="F2634" t="s">
        <v>252</v>
      </c>
      <c r="G2634">
        <v>7.6672000000000002</v>
      </c>
      <c r="H2634">
        <v>-76.681100000000001</v>
      </c>
      <c r="I2634" t="s">
        <v>2819</v>
      </c>
      <c r="J2634">
        <v>11</v>
      </c>
      <c r="M2634">
        <v>254</v>
      </c>
      <c r="N2634">
        <v>54</v>
      </c>
      <c r="O2634">
        <v>36</v>
      </c>
      <c r="P2634">
        <v>64</v>
      </c>
      <c r="Q2634">
        <v>47</v>
      </c>
      <c r="R2634">
        <v>60</v>
      </c>
    </row>
    <row r="2635" spans="1:18" x14ac:dyDescent="0.25">
      <c r="A2635" t="s">
        <v>2820</v>
      </c>
      <c r="B2635" t="s">
        <v>55</v>
      </c>
      <c r="C2635" t="s">
        <v>2818</v>
      </c>
      <c r="D2635" t="s">
        <v>2406</v>
      </c>
      <c r="E2635" t="s">
        <v>78</v>
      </c>
      <c r="F2635" t="s">
        <v>252</v>
      </c>
      <c r="G2635">
        <v>7.6672000000000002</v>
      </c>
      <c r="H2635">
        <v>-76.681100000000001</v>
      </c>
      <c r="I2635" t="s">
        <v>2819</v>
      </c>
      <c r="J2635">
        <v>11</v>
      </c>
      <c r="M2635">
        <v>254</v>
      </c>
      <c r="N2635">
        <v>61</v>
      </c>
      <c r="O2635">
        <v>30</v>
      </c>
      <c r="P2635">
        <v>72</v>
      </c>
      <c r="Q2635">
        <v>41</v>
      </c>
      <c r="R2635">
        <v>47</v>
      </c>
    </row>
    <row r="2636" spans="1:18" x14ac:dyDescent="0.25">
      <c r="A2636" t="s">
        <v>2821</v>
      </c>
      <c r="B2636" t="s">
        <v>55</v>
      </c>
      <c r="C2636" t="s">
        <v>2818</v>
      </c>
      <c r="D2636" t="s">
        <v>2406</v>
      </c>
      <c r="E2636" t="s">
        <v>78</v>
      </c>
      <c r="F2636" t="s">
        <v>252</v>
      </c>
      <c r="G2636">
        <v>7.6672000000000002</v>
      </c>
      <c r="H2636">
        <v>-76.681100000000001</v>
      </c>
      <c r="I2636" t="s">
        <v>2819</v>
      </c>
      <c r="J2636">
        <v>11</v>
      </c>
      <c r="M2636">
        <v>249</v>
      </c>
      <c r="N2636">
        <v>68</v>
      </c>
      <c r="O2636">
        <v>34</v>
      </c>
      <c r="P2636">
        <v>62</v>
      </c>
      <c r="Q2636">
        <v>29</v>
      </c>
      <c r="R2636">
        <v>65</v>
      </c>
    </row>
    <row r="2637" spans="1:18" x14ac:dyDescent="0.25">
      <c r="A2637" t="s">
        <v>2822</v>
      </c>
      <c r="B2637" t="s">
        <v>55</v>
      </c>
      <c r="C2637" t="s">
        <v>2818</v>
      </c>
      <c r="D2637" t="s">
        <v>2406</v>
      </c>
      <c r="E2637" t="s">
        <v>78</v>
      </c>
      <c r="F2637" t="s">
        <v>252</v>
      </c>
      <c r="G2637">
        <v>7.6672000000000002</v>
      </c>
      <c r="H2637">
        <v>-76.681100000000001</v>
      </c>
      <c r="I2637" t="s">
        <v>2819</v>
      </c>
      <c r="J2637">
        <v>11</v>
      </c>
      <c r="M2637">
        <v>225</v>
      </c>
      <c r="N2637">
        <v>68</v>
      </c>
      <c r="O2637">
        <v>26</v>
      </c>
      <c r="P2637">
        <v>46</v>
      </c>
      <c r="Q2637">
        <v>36</v>
      </c>
      <c r="R2637">
        <v>55</v>
      </c>
    </row>
    <row r="2638" spans="1:18" x14ac:dyDescent="0.25">
      <c r="A2638" t="s">
        <v>2823</v>
      </c>
      <c r="B2638" t="s">
        <v>55</v>
      </c>
      <c r="C2638" t="s">
        <v>2818</v>
      </c>
      <c r="D2638" t="s">
        <v>2406</v>
      </c>
      <c r="E2638" t="s">
        <v>78</v>
      </c>
      <c r="F2638" t="s">
        <v>252</v>
      </c>
      <c r="G2638">
        <v>7.6672000000000002</v>
      </c>
      <c r="H2638">
        <v>-76.681100000000001</v>
      </c>
      <c r="I2638" t="s">
        <v>2819</v>
      </c>
      <c r="J2638">
        <v>11</v>
      </c>
      <c r="M2638">
        <v>205</v>
      </c>
      <c r="N2638">
        <v>44</v>
      </c>
      <c r="O2638">
        <v>34</v>
      </c>
      <c r="P2638">
        <v>50</v>
      </c>
      <c r="Q2638">
        <v>38</v>
      </c>
      <c r="R2638">
        <v>35</v>
      </c>
    </row>
    <row r="2639" spans="1:18" x14ac:dyDescent="0.25">
      <c r="A2639" t="s">
        <v>2824</v>
      </c>
      <c r="B2639" t="s">
        <v>55</v>
      </c>
      <c r="C2639" t="s">
        <v>2818</v>
      </c>
      <c r="D2639" t="s">
        <v>2406</v>
      </c>
      <c r="E2639" t="s">
        <v>78</v>
      </c>
      <c r="F2639" t="s">
        <v>252</v>
      </c>
      <c r="G2639">
        <v>7.6672000000000002</v>
      </c>
      <c r="H2639">
        <v>-76.681100000000001</v>
      </c>
      <c r="I2639" t="s">
        <v>2819</v>
      </c>
      <c r="J2639">
        <v>11</v>
      </c>
      <c r="M2639">
        <v>203</v>
      </c>
      <c r="N2639">
        <v>54</v>
      </c>
      <c r="O2639">
        <v>20</v>
      </c>
      <c r="P2639">
        <v>42</v>
      </c>
      <c r="Q2639">
        <v>31</v>
      </c>
      <c r="R2639">
        <v>87</v>
      </c>
    </row>
    <row r="2640" spans="1:18" x14ac:dyDescent="0.25">
      <c r="A2640" t="s">
        <v>2825</v>
      </c>
      <c r="B2640" t="s">
        <v>55</v>
      </c>
      <c r="C2640" t="s">
        <v>2818</v>
      </c>
      <c r="D2640" t="s">
        <v>2406</v>
      </c>
      <c r="E2640" t="s">
        <v>78</v>
      </c>
      <c r="F2640" t="s">
        <v>252</v>
      </c>
      <c r="G2640">
        <v>7.6672000000000002</v>
      </c>
      <c r="H2640">
        <v>-76.681100000000001</v>
      </c>
      <c r="I2640" t="s">
        <v>2819</v>
      </c>
      <c r="J2640">
        <v>11</v>
      </c>
      <c r="M2640">
        <v>202</v>
      </c>
      <c r="N2640">
        <v>51</v>
      </c>
      <c r="O2640">
        <v>24</v>
      </c>
      <c r="P2640">
        <v>58</v>
      </c>
      <c r="Q2640">
        <v>28</v>
      </c>
      <c r="R2640">
        <v>42</v>
      </c>
    </row>
    <row r="2641" spans="1:18" x14ac:dyDescent="0.25">
      <c r="A2641" t="s">
        <v>2826</v>
      </c>
      <c r="B2641" t="s">
        <v>55</v>
      </c>
      <c r="C2641" t="s">
        <v>2818</v>
      </c>
      <c r="D2641" t="s">
        <v>2406</v>
      </c>
      <c r="E2641" t="s">
        <v>78</v>
      </c>
      <c r="F2641" t="s">
        <v>252</v>
      </c>
      <c r="G2641">
        <v>7.6672000000000002</v>
      </c>
      <c r="H2641">
        <v>-76.681100000000001</v>
      </c>
      <c r="I2641" t="s">
        <v>2819</v>
      </c>
      <c r="J2641">
        <v>11</v>
      </c>
      <c r="M2641">
        <v>195</v>
      </c>
      <c r="N2641">
        <v>51</v>
      </c>
      <c r="O2641">
        <v>30</v>
      </c>
      <c r="P2641">
        <v>38</v>
      </c>
      <c r="Q2641">
        <v>36</v>
      </c>
      <c r="R2641">
        <v>42</v>
      </c>
    </row>
    <row r="2642" spans="1:18" x14ac:dyDescent="0.25">
      <c r="A2642" t="s">
        <v>2827</v>
      </c>
      <c r="B2642" t="s">
        <v>55</v>
      </c>
      <c r="C2642" t="s">
        <v>2818</v>
      </c>
      <c r="D2642" t="s">
        <v>2406</v>
      </c>
      <c r="E2642" t="s">
        <v>78</v>
      </c>
      <c r="F2642" t="s">
        <v>252</v>
      </c>
      <c r="G2642">
        <v>7.6672000000000002</v>
      </c>
      <c r="H2642">
        <v>-76.681100000000001</v>
      </c>
      <c r="I2642" t="s">
        <v>2819</v>
      </c>
      <c r="J2642">
        <v>11</v>
      </c>
      <c r="M2642">
        <v>195</v>
      </c>
      <c r="N2642">
        <v>59</v>
      </c>
      <c r="O2642">
        <v>24</v>
      </c>
      <c r="P2642">
        <v>46</v>
      </c>
      <c r="Q2642">
        <v>26</v>
      </c>
      <c r="R2642">
        <v>44</v>
      </c>
    </row>
    <row r="2643" spans="1:18" x14ac:dyDescent="0.25">
      <c r="A2643" t="s">
        <v>2828</v>
      </c>
      <c r="B2643" t="s">
        <v>55</v>
      </c>
      <c r="C2643" t="s">
        <v>2818</v>
      </c>
      <c r="D2643" t="s">
        <v>2406</v>
      </c>
      <c r="E2643" t="s">
        <v>78</v>
      </c>
      <c r="F2643" t="s">
        <v>252</v>
      </c>
      <c r="G2643">
        <v>7.6672000000000002</v>
      </c>
      <c r="H2643">
        <v>-76.681100000000001</v>
      </c>
      <c r="I2643" t="s">
        <v>2819</v>
      </c>
      <c r="J2643">
        <v>11</v>
      </c>
      <c r="M2643">
        <v>195</v>
      </c>
      <c r="N2643">
        <v>41</v>
      </c>
      <c r="O2643">
        <v>36</v>
      </c>
      <c r="P2643">
        <v>52</v>
      </c>
      <c r="Q2643">
        <v>22</v>
      </c>
      <c r="R2643">
        <v>51</v>
      </c>
    </row>
    <row r="2644" spans="1:18" x14ac:dyDescent="0.25">
      <c r="A2644" t="s">
        <v>2829</v>
      </c>
      <c r="B2644" t="s">
        <v>55</v>
      </c>
      <c r="C2644" t="s">
        <v>2818</v>
      </c>
      <c r="D2644" t="s">
        <v>2406</v>
      </c>
      <c r="E2644" t="s">
        <v>78</v>
      </c>
      <c r="F2644" t="s">
        <v>252</v>
      </c>
      <c r="G2644">
        <v>7.6672000000000002</v>
      </c>
      <c r="H2644">
        <v>-76.681100000000001</v>
      </c>
      <c r="I2644" t="s">
        <v>2819</v>
      </c>
      <c r="J2644">
        <v>11</v>
      </c>
      <c r="M2644">
        <v>192</v>
      </c>
      <c r="N2644">
        <v>37</v>
      </c>
      <c r="O2644">
        <v>28</v>
      </c>
      <c r="P2644">
        <v>62</v>
      </c>
      <c r="Q2644">
        <v>28</v>
      </c>
      <c r="R2644">
        <v>36</v>
      </c>
    </row>
    <row r="2645" spans="1:18" x14ac:dyDescent="0.25">
      <c r="A2645" t="s">
        <v>2830</v>
      </c>
      <c r="B2645" t="s">
        <v>55</v>
      </c>
      <c r="C2645" t="s">
        <v>2818</v>
      </c>
      <c r="D2645" t="s">
        <v>2406</v>
      </c>
      <c r="E2645" t="s">
        <v>78</v>
      </c>
      <c r="F2645" t="s">
        <v>252</v>
      </c>
      <c r="G2645">
        <v>7.6672000000000002</v>
      </c>
      <c r="H2645">
        <v>-76.681100000000001</v>
      </c>
      <c r="I2645" t="s">
        <v>2819</v>
      </c>
      <c r="J2645">
        <v>11</v>
      </c>
      <c r="M2645">
        <v>190</v>
      </c>
      <c r="N2645">
        <v>37</v>
      </c>
      <c r="O2645">
        <v>30</v>
      </c>
      <c r="P2645">
        <v>52</v>
      </c>
      <c r="Q2645">
        <v>33</v>
      </c>
      <c r="R2645">
        <v>40</v>
      </c>
    </row>
    <row r="2646" spans="1:18" x14ac:dyDescent="0.25">
      <c r="A2646" t="s">
        <v>2831</v>
      </c>
      <c r="B2646" t="s">
        <v>55</v>
      </c>
      <c r="C2646" t="s">
        <v>2818</v>
      </c>
      <c r="D2646" t="s">
        <v>2406</v>
      </c>
      <c r="E2646" t="s">
        <v>78</v>
      </c>
      <c r="F2646" t="s">
        <v>252</v>
      </c>
      <c r="G2646">
        <v>7.6672000000000002</v>
      </c>
      <c r="H2646">
        <v>-76.681100000000001</v>
      </c>
      <c r="I2646" t="s">
        <v>2819</v>
      </c>
      <c r="J2646">
        <v>11</v>
      </c>
      <c r="M2646">
        <v>189</v>
      </c>
      <c r="N2646">
        <v>34</v>
      </c>
      <c r="O2646">
        <v>32</v>
      </c>
      <c r="P2646">
        <v>40</v>
      </c>
      <c r="Q2646">
        <v>41</v>
      </c>
      <c r="R2646">
        <v>49</v>
      </c>
    </row>
    <row r="2647" spans="1:18" x14ac:dyDescent="0.25">
      <c r="A2647" t="s">
        <v>2832</v>
      </c>
      <c r="B2647" t="s">
        <v>55</v>
      </c>
      <c r="C2647" t="s">
        <v>2818</v>
      </c>
      <c r="D2647" t="s">
        <v>2406</v>
      </c>
      <c r="E2647" t="s">
        <v>78</v>
      </c>
      <c r="F2647" t="s">
        <v>252</v>
      </c>
      <c r="G2647">
        <v>7.6672000000000002</v>
      </c>
      <c r="H2647">
        <v>-76.681100000000001</v>
      </c>
      <c r="I2647" t="s">
        <v>2819</v>
      </c>
      <c r="J2647">
        <v>11</v>
      </c>
      <c r="M2647">
        <v>189</v>
      </c>
      <c r="N2647">
        <v>37</v>
      </c>
      <c r="O2647">
        <v>20</v>
      </c>
      <c r="P2647">
        <v>52</v>
      </c>
      <c r="Q2647">
        <v>36</v>
      </c>
      <c r="R2647">
        <v>56</v>
      </c>
    </row>
    <row r="2648" spans="1:18" x14ac:dyDescent="0.25">
      <c r="A2648" t="s">
        <v>2833</v>
      </c>
      <c r="B2648" t="s">
        <v>55</v>
      </c>
      <c r="C2648" t="s">
        <v>2818</v>
      </c>
      <c r="D2648" t="s">
        <v>2406</v>
      </c>
      <c r="E2648" t="s">
        <v>78</v>
      </c>
      <c r="F2648" t="s">
        <v>252</v>
      </c>
      <c r="G2648">
        <v>7.6672000000000002</v>
      </c>
      <c r="H2648">
        <v>-76.681100000000001</v>
      </c>
      <c r="I2648" t="s">
        <v>2819</v>
      </c>
      <c r="J2648">
        <v>11</v>
      </c>
      <c r="M2648">
        <v>185</v>
      </c>
      <c r="N2648">
        <v>51</v>
      </c>
      <c r="O2648">
        <v>40</v>
      </c>
      <c r="P2648">
        <v>32</v>
      </c>
      <c r="Q2648">
        <v>28</v>
      </c>
      <c r="R2648">
        <v>29</v>
      </c>
    </row>
    <row r="2649" spans="1:18" x14ac:dyDescent="0.25">
      <c r="A2649" t="s">
        <v>2834</v>
      </c>
      <c r="B2649" t="s">
        <v>55</v>
      </c>
      <c r="C2649" t="s">
        <v>2818</v>
      </c>
      <c r="D2649" t="s">
        <v>2406</v>
      </c>
      <c r="E2649" t="s">
        <v>78</v>
      </c>
      <c r="F2649" t="s">
        <v>252</v>
      </c>
      <c r="G2649">
        <v>7.6672000000000002</v>
      </c>
      <c r="H2649">
        <v>-76.681100000000001</v>
      </c>
      <c r="I2649" t="s">
        <v>2819</v>
      </c>
      <c r="J2649">
        <v>11</v>
      </c>
      <c r="M2649">
        <v>185</v>
      </c>
      <c r="N2649">
        <v>44</v>
      </c>
      <c r="O2649">
        <v>18</v>
      </c>
      <c r="P2649">
        <v>52</v>
      </c>
      <c r="Q2649">
        <v>31</v>
      </c>
      <c r="R2649">
        <v>45</v>
      </c>
    </row>
    <row r="2650" spans="1:18" x14ac:dyDescent="0.25">
      <c r="A2650" t="s">
        <v>2835</v>
      </c>
      <c r="B2650" t="s">
        <v>55</v>
      </c>
      <c r="C2650" t="s">
        <v>2818</v>
      </c>
      <c r="D2650" t="s">
        <v>2406</v>
      </c>
      <c r="E2650" t="s">
        <v>78</v>
      </c>
      <c r="F2650" t="s">
        <v>252</v>
      </c>
      <c r="G2650">
        <v>7.6672000000000002</v>
      </c>
      <c r="H2650">
        <v>-76.681100000000001</v>
      </c>
      <c r="I2650" t="s">
        <v>2819</v>
      </c>
      <c r="J2650">
        <v>11</v>
      </c>
      <c r="M2650">
        <v>184</v>
      </c>
      <c r="N2650">
        <v>32</v>
      </c>
      <c r="O2650">
        <v>26</v>
      </c>
      <c r="P2650">
        <v>48</v>
      </c>
      <c r="Q2650">
        <v>38</v>
      </c>
      <c r="R2650">
        <v>47</v>
      </c>
    </row>
    <row r="2651" spans="1:18" x14ac:dyDescent="0.25">
      <c r="A2651" t="s">
        <v>2836</v>
      </c>
      <c r="B2651" t="s">
        <v>55</v>
      </c>
      <c r="C2651" t="s">
        <v>2818</v>
      </c>
      <c r="D2651" t="s">
        <v>2406</v>
      </c>
      <c r="E2651" t="s">
        <v>78</v>
      </c>
      <c r="F2651" t="s">
        <v>252</v>
      </c>
      <c r="G2651">
        <v>7.6672000000000002</v>
      </c>
      <c r="H2651">
        <v>-76.681100000000001</v>
      </c>
      <c r="I2651" t="s">
        <v>2819</v>
      </c>
      <c r="J2651">
        <v>11</v>
      </c>
      <c r="M2651">
        <v>183</v>
      </c>
      <c r="N2651">
        <v>46</v>
      </c>
      <c r="O2651">
        <v>24</v>
      </c>
      <c r="P2651">
        <v>40</v>
      </c>
      <c r="Q2651">
        <v>33</v>
      </c>
      <c r="R2651">
        <v>47</v>
      </c>
    </row>
    <row r="2652" spans="1:18" x14ac:dyDescent="0.25">
      <c r="A2652" t="s">
        <v>2837</v>
      </c>
      <c r="B2652" t="s">
        <v>55</v>
      </c>
      <c r="C2652" t="s">
        <v>2818</v>
      </c>
      <c r="D2652" t="s">
        <v>2406</v>
      </c>
      <c r="E2652" t="s">
        <v>78</v>
      </c>
      <c r="F2652" t="s">
        <v>252</v>
      </c>
      <c r="G2652">
        <v>7.6672000000000002</v>
      </c>
      <c r="H2652">
        <v>-76.681100000000001</v>
      </c>
      <c r="I2652" t="s">
        <v>2819</v>
      </c>
      <c r="J2652">
        <v>11</v>
      </c>
      <c r="M2652">
        <v>182</v>
      </c>
      <c r="N2652">
        <v>34</v>
      </c>
      <c r="O2652">
        <v>24</v>
      </c>
      <c r="P2652">
        <v>50</v>
      </c>
      <c r="Q2652">
        <v>33</v>
      </c>
      <c r="R2652">
        <v>51</v>
      </c>
    </row>
    <row r="2653" spans="1:18" x14ac:dyDescent="0.25">
      <c r="A2653" t="s">
        <v>2838</v>
      </c>
      <c r="B2653" t="s">
        <v>55</v>
      </c>
      <c r="C2653" t="s">
        <v>2818</v>
      </c>
      <c r="D2653" t="s">
        <v>2406</v>
      </c>
      <c r="E2653" t="s">
        <v>78</v>
      </c>
      <c r="F2653" t="s">
        <v>252</v>
      </c>
      <c r="G2653">
        <v>7.6672000000000002</v>
      </c>
      <c r="H2653">
        <v>-76.681100000000001</v>
      </c>
      <c r="I2653" t="s">
        <v>2819</v>
      </c>
      <c r="J2653">
        <v>11</v>
      </c>
      <c r="M2653">
        <v>182</v>
      </c>
      <c r="N2653">
        <v>34</v>
      </c>
      <c r="O2653">
        <v>30</v>
      </c>
      <c r="P2653">
        <v>44</v>
      </c>
      <c r="Q2653">
        <v>36</v>
      </c>
      <c r="R2653">
        <v>40</v>
      </c>
    </row>
    <row r="2654" spans="1:18" x14ac:dyDescent="0.25">
      <c r="A2654" t="s">
        <v>2839</v>
      </c>
      <c r="B2654" t="s">
        <v>55</v>
      </c>
      <c r="C2654" t="s">
        <v>2818</v>
      </c>
      <c r="D2654" t="s">
        <v>2406</v>
      </c>
      <c r="E2654" t="s">
        <v>78</v>
      </c>
      <c r="F2654" t="s">
        <v>252</v>
      </c>
      <c r="G2654">
        <v>7.6672000000000002</v>
      </c>
      <c r="H2654">
        <v>-76.681100000000001</v>
      </c>
      <c r="I2654" t="s">
        <v>2819</v>
      </c>
      <c r="J2654">
        <v>11</v>
      </c>
      <c r="M2654">
        <v>181</v>
      </c>
      <c r="N2654">
        <v>44</v>
      </c>
      <c r="O2654">
        <v>30</v>
      </c>
      <c r="P2654">
        <v>46</v>
      </c>
      <c r="Q2654">
        <v>19</v>
      </c>
      <c r="R2654">
        <v>55</v>
      </c>
    </row>
    <row r="2655" spans="1:18" x14ac:dyDescent="0.25">
      <c r="A2655" t="s">
        <v>2840</v>
      </c>
      <c r="B2655" t="s">
        <v>55</v>
      </c>
      <c r="C2655" t="s">
        <v>2818</v>
      </c>
      <c r="D2655" t="s">
        <v>2406</v>
      </c>
      <c r="E2655" t="s">
        <v>78</v>
      </c>
      <c r="F2655" t="s">
        <v>252</v>
      </c>
      <c r="G2655">
        <v>7.6672000000000002</v>
      </c>
      <c r="H2655">
        <v>-76.681100000000001</v>
      </c>
      <c r="I2655" t="s">
        <v>2819</v>
      </c>
      <c r="J2655">
        <v>11</v>
      </c>
      <c r="M2655">
        <v>178</v>
      </c>
      <c r="N2655">
        <v>29</v>
      </c>
      <c r="O2655">
        <v>26</v>
      </c>
      <c r="P2655">
        <v>58</v>
      </c>
      <c r="Q2655">
        <v>22</v>
      </c>
      <c r="R2655">
        <v>56</v>
      </c>
    </row>
    <row r="2656" spans="1:18" x14ac:dyDescent="0.25">
      <c r="A2656" t="s">
        <v>2841</v>
      </c>
      <c r="B2656" t="s">
        <v>55</v>
      </c>
      <c r="C2656" t="s">
        <v>2818</v>
      </c>
      <c r="D2656" t="s">
        <v>2406</v>
      </c>
      <c r="E2656" t="s">
        <v>78</v>
      </c>
      <c r="F2656" t="s">
        <v>252</v>
      </c>
      <c r="G2656">
        <v>7.6672000000000002</v>
      </c>
      <c r="H2656">
        <v>-76.681100000000001</v>
      </c>
      <c r="I2656" t="s">
        <v>2819</v>
      </c>
      <c r="J2656">
        <v>11</v>
      </c>
      <c r="M2656">
        <v>178</v>
      </c>
      <c r="N2656">
        <v>37</v>
      </c>
      <c r="O2656">
        <v>40</v>
      </c>
      <c r="P2656">
        <v>36</v>
      </c>
      <c r="Q2656">
        <v>29</v>
      </c>
      <c r="R2656">
        <v>36</v>
      </c>
    </row>
    <row r="2657" spans="1:18" x14ac:dyDescent="0.25">
      <c r="A2657" t="s">
        <v>2842</v>
      </c>
      <c r="B2657" t="s">
        <v>55</v>
      </c>
      <c r="C2657" t="s">
        <v>2818</v>
      </c>
      <c r="D2657" t="s">
        <v>2406</v>
      </c>
      <c r="E2657" t="s">
        <v>78</v>
      </c>
      <c r="F2657" t="s">
        <v>252</v>
      </c>
      <c r="G2657">
        <v>7.6672000000000002</v>
      </c>
      <c r="H2657">
        <v>-76.681100000000001</v>
      </c>
      <c r="I2657" t="s">
        <v>2819</v>
      </c>
      <c r="J2657">
        <v>11</v>
      </c>
      <c r="M2657">
        <v>175</v>
      </c>
      <c r="N2657">
        <v>44</v>
      </c>
      <c r="O2657">
        <v>22</v>
      </c>
      <c r="P2657">
        <v>38</v>
      </c>
      <c r="Q2657">
        <v>31</v>
      </c>
      <c r="R2657">
        <v>49</v>
      </c>
    </row>
    <row r="2658" spans="1:18" x14ac:dyDescent="0.25">
      <c r="A2658" t="s">
        <v>2843</v>
      </c>
      <c r="B2658" t="s">
        <v>55</v>
      </c>
      <c r="C2658" t="s">
        <v>2818</v>
      </c>
      <c r="D2658" t="s">
        <v>2406</v>
      </c>
      <c r="E2658" t="s">
        <v>78</v>
      </c>
      <c r="F2658" t="s">
        <v>252</v>
      </c>
      <c r="G2658">
        <v>7.6672000000000002</v>
      </c>
      <c r="H2658">
        <v>-76.681100000000001</v>
      </c>
      <c r="I2658" t="s">
        <v>2819</v>
      </c>
      <c r="J2658">
        <v>11</v>
      </c>
      <c r="M2658">
        <v>173</v>
      </c>
      <c r="N2658">
        <v>41</v>
      </c>
      <c r="O2658">
        <v>40</v>
      </c>
      <c r="P2658">
        <v>40</v>
      </c>
      <c r="Q2658">
        <v>17</v>
      </c>
      <c r="R2658">
        <v>35</v>
      </c>
    </row>
    <row r="2659" spans="1:18" x14ac:dyDescent="0.25">
      <c r="A2659" t="s">
        <v>2844</v>
      </c>
      <c r="B2659" t="s">
        <v>55</v>
      </c>
      <c r="C2659" t="s">
        <v>2818</v>
      </c>
      <c r="D2659" t="s">
        <v>2406</v>
      </c>
      <c r="E2659" t="s">
        <v>78</v>
      </c>
      <c r="F2659" t="s">
        <v>252</v>
      </c>
      <c r="G2659">
        <v>7.6672000000000002</v>
      </c>
      <c r="H2659">
        <v>-76.681100000000001</v>
      </c>
      <c r="I2659" t="s">
        <v>2819</v>
      </c>
      <c r="J2659">
        <v>11</v>
      </c>
      <c r="M2659">
        <v>173</v>
      </c>
      <c r="N2659">
        <v>32</v>
      </c>
      <c r="O2659">
        <v>18</v>
      </c>
      <c r="P2659">
        <v>54</v>
      </c>
      <c r="Q2659">
        <v>28</v>
      </c>
      <c r="R2659">
        <v>56</v>
      </c>
    </row>
    <row r="2660" spans="1:18" x14ac:dyDescent="0.25">
      <c r="A2660" t="s">
        <v>2845</v>
      </c>
      <c r="B2660" t="s">
        <v>55</v>
      </c>
      <c r="C2660" t="s">
        <v>2818</v>
      </c>
      <c r="D2660" t="s">
        <v>2406</v>
      </c>
      <c r="E2660" t="s">
        <v>78</v>
      </c>
      <c r="F2660" t="s">
        <v>252</v>
      </c>
      <c r="G2660">
        <v>7.6672000000000002</v>
      </c>
      <c r="H2660">
        <v>-76.681100000000001</v>
      </c>
      <c r="I2660" t="s">
        <v>2819</v>
      </c>
      <c r="J2660">
        <v>11</v>
      </c>
      <c r="M2660">
        <v>171</v>
      </c>
      <c r="N2660">
        <v>34</v>
      </c>
      <c r="O2660">
        <v>40</v>
      </c>
      <c r="P2660">
        <v>38</v>
      </c>
      <c r="Q2660">
        <v>24</v>
      </c>
      <c r="R2660">
        <v>35</v>
      </c>
    </row>
    <row r="2661" spans="1:18" x14ac:dyDescent="0.25">
      <c r="A2661" t="s">
        <v>2846</v>
      </c>
      <c r="B2661" t="s">
        <v>55</v>
      </c>
      <c r="C2661" t="s">
        <v>2818</v>
      </c>
      <c r="D2661" t="s">
        <v>2406</v>
      </c>
      <c r="E2661" t="s">
        <v>78</v>
      </c>
      <c r="F2661" t="s">
        <v>252</v>
      </c>
      <c r="G2661">
        <v>7.6672000000000002</v>
      </c>
      <c r="H2661">
        <v>-76.681100000000001</v>
      </c>
      <c r="I2661" t="s">
        <v>2819</v>
      </c>
      <c r="J2661">
        <v>11</v>
      </c>
      <c r="M2661">
        <v>170</v>
      </c>
      <c r="N2661">
        <v>44</v>
      </c>
      <c r="O2661">
        <v>26</v>
      </c>
      <c r="P2661">
        <v>46</v>
      </c>
      <c r="Q2661">
        <v>17</v>
      </c>
      <c r="R2661">
        <v>42</v>
      </c>
    </row>
    <row r="2662" spans="1:18" x14ac:dyDescent="0.25">
      <c r="A2662" t="s">
        <v>2847</v>
      </c>
      <c r="B2662" t="s">
        <v>55</v>
      </c>
      <c r="C2662" t="s">
        <v>2818</v>
      </c>
      <c r="D2662" t="s">
        <v>2406</v>
      </c>
      <c r="E2662" t="s">
        <v>78</v>
      </c>
      <c r="F2662" t="s">
        <v>252</v>
      </c>
      <c r="G2662">
        <v>7.6672000000000002</v>
      </c>
      <c r="H2662">
        <v>-76.681100000000001</v>
      </c>
      <c r="I2662" t="s">
        <v>2819</v>
      </c>
      <c r="J2662">
        <v>11</v>
      </c>
      <c r="M2662">
        <v>169</v>
      </c>
      <c r="N2662">
        <v>37</v>
      </c>
      <c r="O2662">
        <v>24</v>
      </c>
      <c r="P2662">
        <v>38</v>
      </c>
      <c r="Q2662">
        <v>38</v>
      </c>
      <c r="R2662">
        <v>31</v>
      </c>
    </row>
    <row r="2663" spans="1:18" x14ac:dyDescent="0.25">
      <c r="A2663" t="s">
        <v>2848</v>
      </c>
      <c r="B2663" t="s">
        <v>55</v>
      </c>
      <c r="C2663" t="s">
        <v>2818</v>
      </c>
      <c r="D2663" t="s">
        <v>2406</v>
      </c>
      <c r="E2663" t="s">
        <v>78</v>
      </c>
      <c r="F2663" t="s">
        <v>252</v>
      </c>
      <c r="G2663">
        <v>7.6672000000000002</v>
      </c>
      <c r="H2663">
        <v>-76.681100000000001</v>
      </c>
      <c r="I2663" t="s">
        <v>2819</v>
      </c>
      <c r="J2663">
        <v>11</v>
      </c>
      <c r="M2663">
        <v>164</v>
      </c>
      <c r="N2663">
        <v>41</v>
      </c>
      <c r="O2663">
        <v>22</v>
      </c>
      <c r="P2663">
        <v>40</v>
      </c>
      <c r="Q2663">
        <v>21</v>
      </c>
      <c r="R2663">
        <v>55</v>
      </c>
    </row>
    <row r="2664" spans="1:18" x14ac:dyDescent="0.25">
      <c r="A2664" t="s">
        <v>2849</v>
      </c>
      <c r="B2664" t="s">
        <v>55</v>
      </c>
      <c r="C2664" t="s">
        <v>2818</v>
      </c>
      <c r="D2664" t="s">
        <v>2406</v>
      </c>
      <c r="E2664" t="s">
        <v>78</v>
      </c>
      <c r="F2664" t="s">
        <v>252</v>
      </c>
      <c r="G2664">
        <v>7.6672000000000002</v>
      </c>
      <c r="H2664">
        <v>-76.681100000000001</v>
      </c>
      <c r="I2664" t="s">
        <v>2819</v>
      </c>
      <c r="J2664">
        <v>11</v>
      </c>
      <c r="M2664">
        <v>164</v>
      </c>
      <c r="N2664">
        <v>63</v>
      </c>
      <c r="O2664">
        <v>22</v>
      </c>
      <c r="P2664">
        <v>36</v>
      </c>
      <c r="Q2664">
        <v>21</v>
      </c>
      <c r="R2664">
        <v>0</v>
      </c>
    </row>
    <row r="2665" spans="1:18" x14ac:dyDescent="0.25">
      <c r="A2665" t="s">
        <v>2850</v>
      </c>
      <c r="B2665" t="s">
        <v>55</v>
      </c>
      <c r="C2665" t="s">
        <v>2818</v>
      </c>
      <c r="D2665" t="s">
        <v>2406</v>
      </c>
      <c r="E2665" t="s">
        <v>78</v>
      </c>
      <c r="F2665" t="s">
        <v>252</v>
      </c>
      <c r="G2665">
        <v>7.6672000000000002</v>
      </c>
      <c r="H2665">
        <v>-76.681100000000001</v>
      </c>
      <c r="I2665" t="s">
        <v>2819</v>
      </c>
      <c r="J2665">
        <v>11</v>
      </c>
      <c r="M2665">
        <v>163</v>
      </c>
      <c r="N2665">
        <v>37</v>
      </c>
      <c r="O2665">
        <v>20</v>
      </c>
      <c r="P2665">
        <v>50</v>
      </c>
      <c r="Q2665">
        <v>17</v>
      </c>
      <c r="R2665">
        <v>53</v>
      </c>
    </row>
    <row r="2666" spans="1:18" x14ac:dyDescent="0.25">
      <c r="A2666" t="s">
        <v>2851</v>
      </c>
      <c r="B2666" t="s">
        <v>55</v>
      </c>
      <c r="C2666" t="s">
        <v>2818</v>
      </c>
      <c r="D2666" t="s">
        <v>2406</v>
      </c>
      <c r="E2666" t="s">
        <v>78</v>
      </c>
      <c r="F2666" t="s">
        <v>252</v>
      </c>
      <c r="G2666">
        <v>7.6672000000000002</v>
      </c>
      <c r="H2666">
        <v>-76.681100000000001</v>
      </c>
      <c r="I2666" t="s">
        <v>2819</v>
      </c>
      <c r="J2666">
        <v>11</v>
      </c>
      <c r="M2666">
        <v>163</v>
      </c>
      <c r="N2666">
        <v>39</v>
      </c>
      <c r="O2666">
        <v>20</v>
      </c>
      <c r="P2666">
        <v>42</v>
      </c>
      <c r="Q2666">
        <v>21</v>
      </c>
      <c r="R2666">
        <v>58</v>
      </c>
    </row>
    <row r="2667" spans="1:18" x14ac:dyDescent="0.25">
      <c r="A2667" t="s">
        <v>2852</v>
      </c>
      <c r="B2667" t="s">
        <v>55</v>
      </c>
      <c r="C2667" t="s">
        <v>2818</v>
      </c>
      <c r="D2667" t="s">
        <v>2406</v>
      </c>
      <c r="E2667" t="s">
        <v>78</v>
      </c>
      <c r="F2667" t="s">
        <v>252</v>
      </c>
      <c r="G2667">
        <v>7.6672000000000002</v>
      </c>
      <c r="H2667">
        <v>-76.681100000000001</v>
      </c>
      <c r="I2667" t="s">
        <v>2819</v>
      </c>
      <c r="J2667">
        <v>11</v>
      </c>
      <c r="M2667">
        <v>158</v>
      </c>
      <c r="N2667">
        <v>41</v>
      </c>
      <c r="O2667">
        <v>20</v>
      </c>
      <c r="P2667">
        <v>36</v>
      </c>
      <c r="Q2667">
        <v>21</v>
      </c>
      <c r="R2667">
        <v>56</v>
      </c>
    </row>
    <row r="2668" spans="1:18" x14ac:dyDescent="0.25">
      <c r="A2668" t="s">
        <v>2853</v>
      </c>
      <c r="B2668" t="s">
        <v>55</v>
      </c>
      <c r="C2668" t="s">
        <v>2818</v>
      </c>
      <c r="D2668" t="s">
        <v>2406</v>
      </c>
      <c r="E2668" t="s">
        <v>78</v>
      </c>
      <c r="F2668" t="s">
        <v>252</v>
      </c>
      <c r="G2668">
        <v>7.6672000000000002</v>
      </c>
      <c r="H2668">
        <v>-76.681100000000001</v>
      </c>
      <c r="I2668" t="s">
        <v>2819</v>
      </c>
      <c r="J2668">
        <v>11</v>
      </c>
      <c r="M2668">
        <v>155</v>
      </c>
      <c r="N2668">
        <v>32</v>
      </c>
      <c r="O2668">
        <v>26</v>
      </c>
      <c r="P2668">
        <v>40</v>
      </c>
      <c r="Q2668">
        <v>19</v>
      </c>
      <c r="R2668">
        <v>53</v>
      </c>
    </row>
    <row r="2669" spans="1:18" x14ac:dyDescent="0.25">
      <c r="A2669" t="s">
        <v>2854</v>
      </c>
      <c r="B2669" t="s">
        <v>55</v>
      </c>
      <c r="C2669" t="s">
        <v>2818</v>
      </c>
      <c r="D2669" t="s">
        <v>2406</v>
      </c>
      <c r="E2669" t="s">
        <v>78</v>
      </c>
      <c r="F2669" t="s">
        <v>252</v>
      </c>
      <c r="G2669">
        <v>7.6672000000000002</v>
      </c>
      <c r="H2669">
        <v>-76.681100000000001</v>
      </c>
      <c r="I2669" t="s">
        <v>2819</v>
      </c>
      <c r="J2669">
        <v>11</v>
      </c>
      <c r="M2669">
        <v>155</v>
      </c>
      <c r="N2669">
        <v>44</v>
      </c>
      <c r="O2669">
        <v>30</v>
      </c>
      <c r="P2669">
        <v>24</v>
      </c>
      <c r="Q2669">
        <v>24</v>
      </c>
      <c r="R2669">
        <v>36</v>
      </c>
    </row>
    <row r="2670" spans="1:18" x14ac:dyDescent="0.25">
      <c r="A2670" t="s">
        <v>2855</v>
      </c>
      <c r="B2670" t="s">
        <v>55</v>
      </c>
      <c r="C2670" t="s">
        <v>2818</v>
      </c>
      <c r="D2670" t="s">
        <v>2406</v>
      </c>
      <c r="E2670" t="s">
        <v>78</v>
      </c>
      <c r="F2670" t="s">
        <v>252</v>
      </c>
      <c r="G2670">
        <v>7.6672000000000002</v>
      </c>
      <c r="H2670">
        <v>-76.681100000000001</v>
      </c>
      <c r="I2670" t="s">
        <v>2819</v>
      </c>
      <c r="J2670">
        <v>11</v>
      </c>
      <c r="M2670">
        <v>155</v>
      </c>
      <c r="N2670">
        <v>39</v>
      </c>
      <c r="O2670">
        <v>24</v>
      </c>
      <c r="P2670">
        <v>36</v>
      </c>
      <c r="Q2670">
        <v>26</v>
      </c>
      <c r="R2670">
        <v>27</v>
      </c>
    </row>
    <row r="2671" spans="1:18" x14ac:dyDescent="0.25">
      <c r="A2671" t="s">
        <v>2856</v>
      </c>
      <c r="B2671" t="s">
        <v>55</v>
      </c>
      <c r="C2671" t="s">
        <v>2818</v>
      </c>
      <c r="D2671" t="s">
        <v>2406</v>
      </c>
      <c r="E2671" t="s">
        <v>78</v>
      </c>
      <c r="F2671" t="s">
        <v>252</v>
      </c>
      <c r="G2671">
        <v>7.6672000000000002</v>
      </c>
      <c r="H2671">
        <v>-76.681100000000001</v>
      </c>
      <c r="I2671" t="s">
        <v>2819</v>
      </c>
      <c r="J2671">
        <v>11</v>
      </c>
      <c r="M2671">
        <v>154</v>
      </c>
      <c r="N2671">
        <v>37</v>
      </c>
      <c r="O2671">
        <v>22</v>
      </c>
      <c r="P2671">
        <v>32</v>
      </c>
      <c r="Q2671">
        <v>31</v>
      </c>
      <c r="R2671">
        <v>36</v>
      </c>
    </row>
    <row r="2672" spans="1:18" x14ac:dyDescent="0.25">
      <c r="A2672" t="s">
        <v>2857</v>
      </c>
      <c r="B2672" t="s">
        <v>55</v>
      </c>
      <c r="C2672" t="s">
        <v>2818</v>
      </c>
      <c r="D2672" t="s">
        <v>2406</v>
      </c>
      <c r="E2672" t="s">
        <v>78</v>
      </c>
      <c r="F2672" t="s">
        <v>252</v>
      </c>
      <c r="G2672">
        <v>7.6672000000000002</v>
      </c>
      <c r="H2672">
        <v>-76.681100000000001</v>
      </c>
      <c r="I2672" t="s">
        <v>2819</v>
      </c>
      <c r="J2672">
        <v>11</v>
      </c>
      <c r="M2672">
        <v>153</v>
      </c>
      <c r="N2672">
        <v>37</v>
      </c>
      <c r="O2672">
        <v>16</v>
      </c>
      <c r="P2672">
        <v>38</v>
      </c>
      <c r="Q2672">
        <v>33</v>
      </c>
      <c r="R2672">
        <v>27</v>
      </c>
    </row>
    <row r="2673" spans="1:18" x14ac:dyDescent="0.25">
      <c r="A2673" t="s">
        <v>2858</v>
      </c>
      <c r="B2673" t="s">
        <v>55</v>
      </c>
      <c r="C2673" t="s">
        <v>2818</v>
      </c>
      <c r="D2673" t="s">
        <v>2406</v>
      </c>
      <c r="E2673" t="s">
        <v>78</v>
      </c>
      <c r="F2673" t="s">
        <v>252</v>
      </c>
      <c r="G2673">
        <v>7.6672000000000002</v>
      </c>
      <c r="H2673">
        <v>-76.681100000000001</v>
      </c>
      <c r="I2673" t="s">
        <v>2819</v>
      </c>
      <c r="J2673">
        <v>11</v>
      </c>
      <c r="M2673">
        <v>152</v>
      </c>
      <c r="N2673">
        <v>22</v>
      </c>
      <c r="O2673">
        <v>28</v>
      </c>
      <c r="P2673">
        <v>44</v>
      </c>
      <c r="Q2673">
        <v>22</v>
      </c>
      <c r="R2673">
        <v>47</v>
      </c>
    </row>
    <row r="2674" spans="1:18" x14ac:dyDescent="0.25">
      <c r="A2674" t="s">
        <v>2859</v>
      </c>
      <c r="B2674" t="s">
        <v>55</v>
      </c>
      <c r="C2674" t="s">
        <v>2818</v>
      </c>
      <c r="D2674" t="s">
        <v>2406</v>
      </c>
      <c r="E2674" t="s">
        <v>78</v>
      </c>
      <c r="F2674" t="s">
        <v>252</v>
      </c>
      <c r="G2674">
        <v>7.6672000000000002</v>
      </c>
      <c r="H2674">
        <v>-76.681100000000001</v>
      </c>
      <c r="I2674" t="s">
        <v>2819</v>
      </c>
      <c r="J2674">
        <v>11</v>
      </c>
      <c r="M2674">
        <v>152</v>
      </c>
      <c r="N2674">
        <v>49</v>
      </c>
      <c r="O2674">
        <v>20</v>
      </c>
      <c r="P2674">
        <v>24</v>
      </c>
      <c r="Q2674">
        <v>24</v>
      </c>
      <c r="R2674">
        <v>45</v>
      </c>
    </row>
    <row r="2675" spans="1:18" x14ac:dyDescent="0.25">
      <c r="A2675" t="s">
        <v>2860</v>
      </c>
      <c r="B2675" t="s">
        <v>55</v>
      </c>
      <c r="C2675" t="s">
        <v>2818</v>
      </c>
      <c r="D2675" t="s">
        <v>2406</v>
      </c>
      <c r="E2675" t="s">
        <v>78</v>
      </c>
      <c r="F2675" t="s">
        <v>252</v>
      </c>
      <c r="G2675">
        <v>7.6672000000000002</v>
      </c>
      <c r="H2675">
        <v>-76.681100000000001</v>
      </c>
      <c r="I2675" t="s">
        <v>2819</v>
      </c>
      <c r="J2675">
        <v>11</v>
      </c>
      <c r="M2675">
        <v>151</v>
      </c>
      <c r="N2675">
        <v>44</v>
      </c>
      <c r="O2675">
        <v>28</v>
      </c>
      <c r="P2675">
        <v>22</v>
      </c>
      <c r="Q2675">
        <v>22</v>
      </c>
      <c r="R2675">
        <v>44</v>
      </c>
    </row>
    <row r="2676" spans="1:18" x14ac:dyDescent="0.25">
      <c r="A2676" t="s">
        <v>2861</v>
      </c>
      <c r="B2676" t="s">
        <v>55</v>
      </c>
      <c r="C2676" t="s">
        <v>2818</v>
      </c>
      <c r="D2676" t="s">
        <v>2406</v>
      </c>
      <c r="E2676" t="s">
        <v>78</v>
      </c>
      <c r="F2676" t="s">
        <v>252</v>
      </c>
      <c r="G2676">
        <v>7.6672000000000002</v>
      </c>
      <c r="H2676">
        <v>-76.681100000000001</v>
      </c>
      <c r="I2676" t="s">
        <v>2819</v>
      </c>
      <c r="J2676">
        <v>11</v>
      </c>
      <c r="M2676">
        <v>151</v>
      </c>
      <c r="N2676">
        <v>37</v>
      </c>
      <c r="O2676">
        <v>16</v>
      </c>
      <c r="P2676">
        <v>40</v>
      </c>
      <c r="Q2676">
        <v>26</v>
      </c>
      <c r="R2676">
        <v>36</v>
      </c>
    </row>
    <row r="2677" spans="1:18" x14ac:dyDescent="0.25">
      <c r="A2677" t="s">
        <v>2862</v>
      </c>
      <c r="B2677" t="s">
        <v>55</v>
      </c>
      <c r="C2677" t="s">
        <v>2818</v>
      </c>
      <c r="D2677" t="s">
        <v>2406</v>
      </c>
      <c r="E2677" t="s">
        <v>78</v>
      </c>
      <c r="F2677" t="s">
        <v>252</v>
      </c>
      <c r="G2677">
        <v>7.6672000000000002</v>
      </c>
      <c r="H2677">
        <v>-76.681100000000001</v>
      </c>
      <c r="I2677" t="s">
        <v>2819</v>
      </c>
      <c r="J2677">
        <v>11</v>
      </c>
      <c r="M2677">
        <v>134</v>
      </c>
      <c r="N2677">
        <v>27</v>
      </c>
      <c r="O2677">
        <v>20</v>
      </c>
      <c r="P2677">
        <v>30</v>
      </c>
      <c r="Q2677">
        <v>28</v>
      </c>
      <c r="R2677">
        <v>35</v>
      </c>
    </row>
    <row r="2678" spans="1:18" x14ac:dyDescent="0.25">
      <c r="A2678" t="s">
        <v>2863</v>
      </c>
      <c r="B2678" t="s">
        <v>55</v>
      </c>
      <c r="C2678" t="s">
        <v>2818</v>
      </c>
      <c r="D2678" t="s">
        <v>2406</v>
      </c>
      <c r="E2678" t="s">
        <v>78</v>
      </c>
      <c r="F2678" t="s">
        <v>252</v>
      </c>
      <c r="G2678">
        <v>7.6672000000000002</v>
      </c>
      <c r="H2678">
        <v>-76.681100000000001</v>
      </c>
      <c r="I2678" t="s">
        <v>2819</v>
      </c>
      <c r="J2678">
        <v>11</v>
      </c>
      <c r="M2678">
        <v>130</v>
      </c>
      <c r="N2678">
        <v>27</v>
      </c>
      <c r="O2678">
        <v>18</v>
      </c>
      <c r="P2678">
        <v>26</v>
      </c>
      <c r="Q2678">
        <v>28</v>
      </c>
      <c r="R2678">
        <v>42</v>
      </c>
    </row>
    <row r="2679" spans="1:18" x14ac:dyDescent="0.25">
      <c r="A2679" t="s">
        <v>2864</v>
      </c>
      <c r="B2679" t="s">
        <v>55</v>
      </c>
      <c r="C2679" t="s">
        <v>2818</v>
      </c>
      <c r="D2679" t="s">
        <v>2406</v>
      </c>
      <c r="E2679" t="s">
        <v>78</v>
      </c>
      <c r="F2679" t="s">
        <v>252</v>
      </c>
      <c r="G2679">
        <v>7.6672000000000002</v>
      </c>
      <c r="H2679">
        <v>-76.681100000000001</v>
      </c>
      <c r="I2679" t="s">
        <v>2819</v>
      </c>
      <c r="J2679">
        <v>11</v>
      </c>
      <c r="M2679">
        <v>85</v>
      </c>
      <c r="N2679">
        <v>41</v>
      </c>
      <c r="O2679">
        <v>10</v>
      </c>
      <c r="P2679">
        <v>14</v>
      </c>
      <c r="Q2679">
        <v>9</v>
      </c>
      <c r="R2679">
        <v>0</v>
      </c>
    </row>
    <row r="2680" spans="1:18" x14ac:dyDescent="0.25">
      <c r="A2680" t="s">
        <v>2865</v>
      </c>
      <c r="B2680" t="s">
        <v>55</v>
      </c>
      <c r="C2680" t="s">
        <v>2818</v>
      </c>
      <c r="D2680" t="s">
        <v>2406</v>
      </c>
      <c r="E2680" t="s">
        <v>78</v>
      </c>
      <c r="F2680" t="s">
        <v>252</v>
      </c>
      <c r="G2680">
        <v>7.6672000000000002</v>
      </c>
      <c r="H2680">
        <v>-76.681100000000001</v>
      </c>
      <c r="I2680" t="s">
        <v>2819</v>
      </c>
      <c r="J2680">
        <v>11</v>
      </c>
      <c r="M2680">
        <v>78</v>
      </c>
      <c r="N2680">
        <v>27</v>
      </c>
      <c r="O2680">
        <v>16</v>
      </c>
      <c r="P2680">
        <v>14</v>
      </c>
      <c r="Q2680">
        <v>10</v>
      </c>
      <c r="R2680">
        <v>0</v>
      </c>
    </row>
    <row r="2681" spans="1:18" x14ac:dyDescent="0.25">
      <c r="A2681" t="s">
        <v>2866</v>
      </c>
      <c r="B2681" t="s">
        <v>55</v>
      </c>
      <c r="C2681" t="s">
        <v>2867</v>
      </c>
      <c r="D2681" t="s">
        <v>2868</v>
      </c>
      <c r="E2681" t="s">
        <v>78</v>
      </c>
      <c r="F2681" t="s">
        <v>252</v>
      </c>
      <c r="G2681">
        <v>7.0168999999999997</v>
      </c>
      <c r="H2681">
        <v>-76.753600000000006</v>
      </c>
      <c r="I2681" t="s">
        <v>2869</v>
      </c>
      <c r="J2681">
        <v>11</v>
      </c>
      <c r="M2681">
        <v>239</v>
      </c>
      <c r="N2681">
        <v>46</v>
      </c>
      <c r="O2681">
        <v>32</v>
      </c>
      <c r="P2681">
        <v>68</v>
      </c>
      <c r="Q2681">
        <v>47</v>
      </c>
      <c r="R2681">
        <v>42</v>
      </c>
    </row>
    <row r="2682" spans="1:18" x14ac:dyDescent="0.25">
      <c r="A2682" t="s">
        <v>2870</v>
      </c>
      <c r="B2682" t="s">
        <v>55</v>
      </c>
      <c r="C2682" t="s">
        <v>2867</v>
      </c>
      <c r="D2682" t="s">
        <v>2868</v>
      </c>
      <c r="E2682" t="s">
        <v>78</v>
      </c>
      <c r="F2682" t="s">
        <v>252</v>
      </c>
      <c r="G2682">
        <v>7.0168999999999997</v>
      </c>
      <c r="H2682">
        <v>-76.753600000000006</v>
      </c>
      <c r="I2682" t="s">
        <v>2869</v>
      </c>
      <c r="J2682">
        <v>11</v>
      </c>
      <c r="M2682">
        <v>237</v>
      </c>
      <c r="N2682">
        <v>46</v>
      </c>
      <c r="O2682">
        <v>26</v>
      </c>
      <c r="P2682">
        <v>66</v>
      </c>
      <c r="Q2682">
        <v>53</v>
      </c>
      <c r="R2682">
        <v>42</v>
      </c>
    </row>
    <row r="2683" spans="1:18" x14ac:dyDescent="0.25">
      <c r="A2683" t="s">
        <v>2871</v>
      </c>
      <c r="B2683" t="s">
        <v>55</v>
      </c>
      <c r="C2683" t="s">
        <v>2867</v>
      </c>
      <c r="D2683" t="s">
        <v>2868</v>
      </c>
      <c r="E2683" t="s">
        <v>78</v>
      </c>
      <c r="F2683" t="s">
        <v>252</v>
      </c>
      <c r="G2683">
        <v>7.0168999999999997</v>
      </c>
      <c r="H2683">
        <v>-76.753600000000006</v>
      </c>
      <c r="I2683" t="s">
        <v>2869</v>
      </c>
      <c r="J2683">
        <v>11</v>
      </c>
      <c r="M2683">
        <v>226</v>
      </c>
      <c r="N2683">
        <v>41</v>
      </c>
      <c r="O2683">
        <v>30</v>
      </c>
      <c r="P2683">
        <v>72</v>
      </c>
      <c r="Q2683">
        <v>40</v>
      </c>
      <c r="R2683">
        <v>38</v>
      </c>
    </row>
    <row r="2684" spans="1:18" x14ac:dyDescent="0.25">
      <c r="A2684" t="s">
        <v>2872</v>
      </c>
      <c r="B2684" t="s">
        <v>55</v>
      </c>
      <c r="C2684" t="s">
        <v>2867</v>
      </c>
      <c r="D2684" t="s">
        <v>2868</v>
      </c>
      <c r="E2684" t="s">
        <v>78</v>
      </c>
      <c r="F2684" t="s">
        <v>252</v>
      </c>
      <c r="G2684">
        <v>7.0168999999999997</v>
      </c>
      <c r="H2684">
        <v>-76.753600000000006</v>
      </c>
      <c r="I2684" t="s">
        <v>2869</v>
      </c>
      <c r="J2684">
        <v>11</v>
      </c>
      <c r="M2684">
        <v>224</v>
      </c>
      <c r="N2684">
        <v>41</v>
      </c>
      <c r="O2684">
        <v>26</v>
      </c>
      <c r="P2684">
        <v>68</v>
      </c>
      <c r="Q2684">
        <v>50</v>
      </c>
      <c r="R2684">
        <v>27</v>
      </c>
    </row>
    <row r="2685" spans="1:18" x14ac:dyDescent="0.25">
      <c r="A2685" t="s">
        <v>2873</v>
      </c>
      <c r="B2685" t="s">
        <v>55</v>
      </c>
      <c r="C2685" t="s">
        <v>2867</v>
      </c>
      <c r="D2685" t="s">
        <v>2868</v>
      </c>
      <c r="E2685" t="s">
        <v>78</v>
      </c>
      <c r="F2685" t="s">
        <v>252</v>
      </c>
      <c r="G2685">
        <v>7.0168999999999997</v>
      </c>
      <c r="H2685">
        <v>-76.753600000000006</v>
      </c>
      <c r="I2685" t="s">
        <v>2869</v>
      </c>
      <c r="J2685">
        <v>11</v>
      </c>
      <c r="M2685">
        <v>213</v>
      </c>
      <c r="N2685">
        <v>41</v>
      </c>
      <c r="O2685">
        <v>34</v>
      </c>
      <c r="P2685">
        <v>54</v>
      </c>
      <c r="Q2685">
        <v>38</v>
      </c>
      <c r="R2685">
        <v>51</v>
      </c>
    </row>
    <row r="2686" spans="1:18" x14ac:dyDescent="0.25">
      <c r="A2686" t="s">
        <v>2874</v>
      </c>
      <c r="B2686" t="s">
        <v>55</v>
      </c>
      <c r="C2686" t="s">
        <v>2867</v>
      </c>
      <c r="D2686" t="s">
        <v>2868</v>
      </c>
      <c r="E2686" t="s">
        <v>78</v>
      </c>
      <c r="F2686" t="s">
        <v>252</v>
      </c>
      <c r="G2686">
        <v>7.0168999999999997</v>
      </c>
      <c r="H2686">
        <v>-76.753600000000006</v>
      </c>
      <c r="I2686" t="s">
        <v>2869</v>
      </c>
      <c r="J2686">
        <v>11</v>
      </c>
      <c r="M2686">
        <v>212</v>
      </c>
      <c r="N2686">
        <v>46</v>
      </c>
      <c r="O2686">
        <v>16</v>
      </c>
      <c r="P2686">
        <v>62</v>
      </c>
      <c r="Q2686">
        <v>53</v>
      </c>
      <c r="R2686">
        <v>18</v>
      </c>
    </row>
    <row r="2687" spans="1:18" x14ac:dyDescent="0.25">
      <c r="A2687" t="s">
        <v>2875</v>
      </c>
      <c r="B2687" t="s">
        <v>55</v>
      </c>
      <c r="C2687" t="s">
        <v>2867</v>
      </c>
      <c r="D2687" t="s">
        <v>2868</v>
      </c>
      <c r="E2687" t="s">
        <v>78</v>
      </c>
      <c r="F2687" t="s">
        <v>252</v>
      </c>
      <c r="G2687">
        <v>7.0168999999999997</v>
      </c>
      <c r="H2687">
        <v>-76.753600000000006</v>
      </c>
      <c r="I2687" t="s">
        <v>2869</v>
      </c>
      <c r="J2687">
        <v>11</v>
      </c>
      <c r="M2687">
        <v>212</v>
      </c>
      <c r="N2687">
        <v>46</v>
      </c>
      <c r="O2687">
        <v>24</v>
      </c>
      <c r="P2687">
        <v>52</v>
      </c>
      <c r="Q2687">
        <v>48</v>
      </c>
      <c r="R2687">
        <v>38</v>
      </c>
    </row>
    <row r="2688" spans="1:18" x14ac:dyDescent="0.25">
      <c r="A2688" t="s">
        <v>2876</v>
      </c>
      <c r="B2688" t="s">
        <v>55</v>
      </c>
      <c r="C2688" t="s">
        <v>2867</v>
      </c>
      <c r="D2688" t="s">
        <v>2868</v>
      </c>
      <c r="E2688" t="s">
        <v>78</v>
      </c>
      <c r="F2688" t="s">
        <v>252</v>
      </c>
      <c r="G2688">
        <v>7.0168999999999997</v>
      </c>
      <c r="H2688">
        <v>-76.753600000000006</v>
      </c>
      <c r="I2688" t="s">
        <v>2869</v>
      </c>
      <c r="J2688">
        <v>11</v>
      </c>
      <c r="M2688">
        <v>209</v>
      </c>
      <c r="N2688">
        <v>44</v>
      </c>
      <c r="O2688">
        <v>18</v>
      </c>
      <c r="P2688">
        <v>56</v>
      </c>
      <c r="Q2688">
        <v>50</v>
      </c>
      <c r="R2688">
        <v>40</v>
      </c>
    </row>
    <row r="2689" spans="1:18" x14ac:dyDescent="0.25">
      <c r="A2689" t="s">
        <v>2877</v>
      </c>
      <c r="B2689" t="s">
        <v>55</v>
      </c>
      <c r="C2689" t="s">
        <v>2867</v>
      </c>
      <c r="D2689" t="s">
        <v>2868</v>
      </c>
      <c r="E2689" t="s">
        <v>78</v>
      </c>
      <c r="F2689" t="s">
        <v>252</v>
      </c>
      <c r="G2689">
        <v>7.0168999999999997</v>
      </c>
      <c r="H2689">
        <v>-76.753600000000006</v>
      </c>
      <c r="I2689" t="s">
        <v>2869</v>
      </c>
      <c r="J2689">
        <v>11</v>
      </c>
      <c r="M2689">
        <v>199</v>
      </c>
      <c r="N2689">
        <v>56</v>
      </c>
      <c r="O2689">
        <v>24</v>
      </c>
      <c r="P2689">
        <v>40</v>
      </c>
      <c r="Q2689">
        <v>31</v>
      </c>
      <c r="R2689">
        <v>64</v>
      </c>
    </row>
    <row r="2690" spans="1:18" x14ac:dyDescent="0.25">
      <c r="A2690" t="s">
        <v>2878</v>
      </c>
      <c r="B2690" t="s">
        <v>55</v>
      </c>
      <c r="C2690" t="s">
        <v>2867</v>
      </c>
      <c r="D2690" t="s">
        <v>2868</v>
      </c>
      <c r="E2690" t="s">
        <v>78</v>
      </c>
      <c r="F2690" t="s">
        <v>252</v>
      </c>
      <c r="G2690">
        <v>7.0168999999999997</v>
      </c>
      <c r="H2690">
        <v>-76.753600000000006</v>
      </c>
      <c r="I2690" t="s">
        <v>2869</v>
      </c>
      <c r="J2690">
        <v>11</v>
      </c>
      <c r="M2690">
        <v>181</v>
      </c>
      <c r="N2690">
        <v>44</v>
      </c>
      <c r="O2690">
        <v>24</v>
      </c>
      <c r="P2690">
        <v>40</v>
      </c>
      <c r="Q2690">
        <v>41</v>
      </c>
      <c r="R2690">
        <v>24</v>
      </c>
    </row>
    <row r="2691" spans="1:18" x14ac:dyDescent="0.25">
      <c r="A2691" t="s">
        <v>2879</v>
      </c>
      <c r="B2691" t="s">
        <v>55</v>
      </c>
      <c r="C2691" t="s">
        <v>2867</v>
      </c>
      <c r="D2691" t="s">
        <v>2868</v>
      </c>
      <c r="E2691" t="s">
        <v>78</v>
      </c>
      <c r="F2691" t="s">
        <v>252</v>
      </c>
      <c r="G2691">
        <v>7.0168999999999997</v>
      </c>
      <c r="H2691">
        <v>-76.753600000000006</v>
      </c>
      <c r="I2691" t="s">
        <v>2869</v>
      </c>
      <c r="J2691">
        <v>11</v>
      </c>
      <c r="M2691">
        <v>180</v>
      </c>
      <c r="N2691">
        <v>51</v>
      </c>
      <c r="O2691">
        <v>34</v>
      </c>
      <c r="P2691">
        <v>26</v>
      </c>
      <c r="Q2691">
        <v>29</v>
      </c>
      <c r="R2691">
        <v>45</v>
      </c>
    </row>
    <row r="2692" spans="1:18" x14ac:dyDescent="0.25">
      <c r="A2692" t="s">
        <v>2880</v>
      </c>
      <c r="B2692" t="s">
        <v>55</v>
      </c>
      <c r="C2692" t="s">
        <v>2867</v>
      </c>
      <c r="D2692" t="s">
        <v>2868</v>
      </c>
      <c r="E2692" t="s">
        <v>78</v>
      </c>
      <c r="F2692" t="s">
        <v>252</v>
      </c>
      <c r="G2692">
        <v>7.0168999999999997</v>
      </c>
      <c r="H2692">
        <v>-76.753600000000006</v>
      </c>
      <c r="I2692" t="s">
        <v>2869</v>
      </c>
      <c r="J2692">
        <v>11</v>
      </c>
      <c r="M2692">
        <v>179</v>
      </c>
      <c r="N2692">
        <v>29</v>
      </c>
      <c r="O2692">
        <v>18</v>
      </c>
      <c r="P2692">
        <v>52</v>
      </c>
      <c r="Q2692">
        <v>38</v>
      </c>
      <c r="R2692">
        <v>53</v>
      </c>
    </row>
    <row r="2693" spans="1:18" x14ac:dyDescent="0.25">
      <c r="A2693" t="s">
        <v>2881</v>
      </c>
      <c r="B2693" t="s">
        <v>55</v>
      </c>
      <c r="C2693" t="s">
        <v>2867</v>
      </c>
      <c r="D2693" t="s">
        <v>2868</v>
      </c>
      <c r="E2693" t="s">
        <v>78</v>
      </c>
      <c r="F2693" t="s">
        <v>252</v>
      </c>
      <c r="G2693">
        <v>7.0168999999999997</v>
      </c>
      <c r="H2693">
        <v>-76.753600000000006</v>
      </c>
      <c r="I2693" t="s">
        <v>2869</v>
      </c>
      <c r="J2693">
        <v>11</v>
      </c>
      <c r="M2693">
        <v>178</v>
      </c>
      <c r="N2693">
        <v>41</v>
      </c>
      <c r="O2693">
        <v>14</v>
      </c>
      <c r="P2693">
        <v>42</v>
      </c>
      <c r="Q2693">
        <v>47</v>
      </c>
      <c r="R2693">
        <v>31</v>
      </c>
    </row>
    <row r="2694" spans="1:18" x14ac:dyDescent="0.25">
      <c r="A2694" t="s">
        <v>2882</v>
      </c>
      <c r="B2694" t="s">
        <v>55</v>
      </c>
      <c r="C2694" t="s">
        <v>2867</v>
      </c>
      <c r="D2694" t="s">
        <v>2868</v>
      </c>
      <c r="E2694" t="s">
        <v>78</v>
      </c>
      <c r="F2694" t="s">
        <v>252</v>
      </c>
      <c r="G2694">
        <v>7.0168999999999997</v>
      </c>
      <c r="H2694">
        <v>-76.753600000000006</v>
      </c>
      <c r="I2694" t="s">
        <v>2869</v>
      </c>
      <c r="J2694">
        <v>11</v>
      </c>
      <c r="M2694">
        <v>178</v>
      </c>
      <c r="N2694">
        <v>41</v>
      </c>
      <c r="O2694">
        <v>30</v>
      </c>
      <c r="P2694">
        <v>40</v>
      </c>
      <c r="Q2694">
        <v>33</v>
      </c>
      <c r="R2694">
        <v>29</v>
      </c>
    </row>
    <row r="2695" spans="1:18" x14ac:dyDescent="0.25">
      <c r="A2695" t="s">
        <v>2883</v>
      </c>
      <c r="B2695" t="s">
        <v>55</v>
      </c>
      <c r="C2695" t="s">
        <v>2867</v>
      </c>
      <c r="D2695" t="s">
        <v>2868</v>
      </c>
      <c r="E2695" t="s">
        <v>78</v>
      </c>
      <c r="F2695" t="s">
        <v>252</v>
      </c>
      <c r="G2695">
        <v>7.0168999999999997</v>
      </c>
      <c r="H2695">
        <v>-76.753600000000006</v>
      </c>
      <c r="I2695" t="s">
        <v>2869</v>
      </c>
      <c r="J2695">
        <v>11</v>
      </c>
      <c r="M2695">
        <v>175</v>
      </c>
      <c r="N2695">
        <v>46</v>
      </c>
      <c r="O2695">
        <v>16</v>
      </c>
      <c r="P2695">
        <v>24</v>
      </c>
      <c r="Q2695">
        <v>50</v>
      </c>
      <c r="R2695">
        <v>45</v>
      </c>
    </row>
    <row r="2696" spans="1:18" x14ac:dyDescent="0.25">
      <c r="A2696" t="s">
        <v>2884</v>
      </c>
      <c r="B2696" t="s">
        <v>55</v>
      </c>
      <c r="C2696" t="s">
        <v>2867</v>
      </c>
      <c r="D2696" t="s">
        <v>2868</v>
      </c>
      <c r="E2696" t="s">
        <v>78</v>
      </c>
      <c r="F2696" t="s">
        <v>252</v>
      </c>
      <c r="G2696">
        <v>7.0168999999999997</v>
      </c>
      <c r="H2696">
        <v>-76.753600000000006</v>
      </c>
      <c r="I2696" t="s">
        <v>2869</v>
      </c>
      <c r="J2696">
        <v>11</v>
      </c>
      <c r="M2696">
        <v>168</v>
      </c>
      <c r="N2696">
        <v>32</v>
      </c>
      <c r="O2696">
        <v>26</v>
      </c>
      <c r="P2696">
        <v>48</v>
      </c>
      <c r="Q2696">
        <v>28</v>
      </c>
      <c r="R2696">
        <v>36</v>
      </c>
    </row>
    <row r="2697" spans="1:18" x14ac:dyDescent="0.25">
      <c r="A2697" t="s">
        <v>2885</v>
      </c>
      <c r="B2697" t="s">
        <v>55</v>
      </c>
      <c r="C2697" t="s">
        <v>2867</v>
      </c>
      <c r="D2697" t="s">
        <v>2868</v>
      </c>
      <c r="E2697" t="s">
        <v>78</v>
      </c>
      <c r="F2697" t="s">
        <v>252</v>
      </c>
      <c r="G2697">
        <v>7.0168999999999997</v>
      </c>
      <c r="H2697">
        <v>-76.753600000000006</v>
      </c>
      <c r="I2697" t="s">
        <v>2869</v>
      </c>
      <c r="J2697">
        <v>11</v>
      </c>
      <c r="M2697">
        <v>168</v>
      </c>
      <c r="N2697">
        <v>49</v>
      </c>
      <c r="O2697">
        <v>24</v>
      </c>
      <c r="P2697">
        <v>32</v>
      </c>
      <c r="Q2697">
        <v>26</v>
      </c>
      <c r="R2697">
        <v>44</v>
      </c>
    </row>
    <row r="2698" spans="1:18" x14ac:dyDescent="0.25">
      <c r="A2698" t="s">
        <v>2886</v>
      </c>
      <c r="B2698" t="s">
        <v>55</v>
      </c>
      <c r="C2698" t="s">
        <v>2867</v>
      </c>
      <c r="D2698" t="s">
        <v>2868</v>
      </c>
      <c r="E2698" t="s">
        <v>78</v>
      </c>
      <c r="F2698" t="s">
        <v>252</v>
      </c>
      <c r="G2698">
        <v>7.0168999999999997</v>
      </c>
      <c r="H2698">
        <v>-76.753600000000006</v>
      </c>
      <c r="I2698" t="s">
        <v>2869</v>
      </c>
      <c r="J2698">
        <v>11</v>
      </c>
      <c r="M2698">
        <v>165</v>
      </c>
      <c r="N2698">
        <v>54</v>
      </c>
      <c r="O2698">
        <v>22</v>
      </c>
      <c r="P2698">
        <v>36</v>
      </c>
      <c r="Q2698">
        <v>19</v>
      </c>
      <c r="R2698">
        <v>38</v>
      </c>
    </row>
    <row r="2699" spans="1:18" x14ac:dyDescent="0.25">
      <c r="A2699" t="s">
        <v>2887</v>
      </c>
      <c r="B2699" t="s">
        <v>55</v>
      </c>
      <c r="C2699" t="s">
        <v>2867</v>
      </c>
      <c r="D2699" t="s">
        <v>2868</v>
      </c>
      <c r="E2699" t="s">
        <v>78</v>
      </c>
      <c r="F2699" t="s">
        <v>252</v>
      </c>
      <c r="G2699">
        <v>7.0168999999999997</v>
      </c>
      <c r="H2699">
        <v>-76.753600000000006</v>
      </c>
      <c r="I2699" t="s">
        <v>2869</v>
      </c>
      <c r="J2699">
        <v>11</v>
      </c>
      <c r="M2699">
        <v>163</v>
      </c>
      <c r="N2699">
        <v>24</v>
      </c>
      <c r="O2699">
        <v>24</v>
      </c>
      <c r="P2699">
        <v>40</v>
      </c>
      <c r="Q2699">
        <v>34</v>
      </c>
      <c r="R2699">
        <v>55</v>
      </c>
    </row>
    <row r="2700" spans="1:18" x14ac:dyDescent="0.25">
      <c r="A2700" t="s">
        <v>2888</v>
      </c>
      <c r="B2700" t="s">
        <v>55</v>
      </c>
      <c r="C2700" t="s">
        <v>2867</v>
      </c>
      <c r="D2700" t="s">
        <v>2868</v>
      </c>
      <c r="E2700" t="s">
        <v>78</v>
      </c>
      <c r="F2700" t="s">
        <v>252</v>
      </c>
      <c r="G2700">
        <v>7.0168999999999997</v>
      </c>
      <c r="H2700">
        <v>-76.753600000000006</v>
      </c>
      <c r="I2700" t="s">
        <v>2869</v>
      </c>
      <c r="J2700">
        <v>11</v>
      </c>
      <c r="M2700">
        <v>154</v>
      </c>
      <c r="N2700">
        <v>39</v>
      </c>
      <c r="O2700">
        <v>26</v>
      </c>
      <c r="P2700">
        <v>34</v>
      </c>
      <c r="Q2700">
        <v>21</v>
      </c>
      <c r="R2700">
        <v>40</v>
      </c>
    </row>
    <row r="2701" spans="1:18" x14ac:dyDescent="0.25">
      <c r="A2701" t="s">
        <v>2889</v>
      </c>
      <c r="B2701" t="s">
        <v>55</v>
      </c>
      <c r="C2701" t="s">
        <v>2867</v>
      </c>
      <c r="D2701" t="s">
        <v>2868</v>
      </c>
      <c r="E2701" t="s">
        <v>78</v>
      </c>
      <c r="F2701" t="s">
        <v>252</v>
      </c>
      <c r="G2701">
        <v>7.0168999999999997</v>
      </c>
      <c r="H2701">
        <v>-76.753600000000006</v>
      </c>
      <c r="I2701" t="s">
        <v>2869</v>
      </c>
      <c r="J2701">
        <v>11</v>
      </c>
      <c r="M2701">
        <v>153</v>
      </c>
      <c r="N2701">
        <v>34</v>
      </c>
      <c r="O2701">
        <v>22</v>
      </c>
      <c r="P2701">
        <v>32</v>
      </c>
      <c r="Q2701">
        <v>33</v>
      </c>
      <c r="R2701">
        <v>35</v>
      </c>
    </row>
    <row r="2702" spans="1:18" x14ac:dyDescent="0.25">
      <c r="A2702" t="s">
        <v>2890</v>
      </c>
      <c r="B2702" t="s">
        <v>55</v>
      </c>
      <c r="C2702" t="s">
        <v>2867</v>
      </c>
      <c r="D2702" t="s">
        <v>2868</v>
      </c>
      <c r="E2702" t="s">
        <v>78</v>
      </c>
      <c r="F2702" t="s">
        <v>252</v>
      </c>
      <c r="G2702">
        <v>7.0168999999999997</v>
      </c>
      <c r="H2702">
        <v>-76.753600000000006</v>
      </c>
      <c r="I2702" t="s">
        <v>2869</v>
      </c>
      <c r="J2702">
        <v>11</v>
      </c>
      <c r="M2702">
        <v>152</v>
      </c>
      <c r="N2702">
        <v>39</v>
      </c>
      <c r="O2702">
        <v>18</v>
      </c>
      <c r="P2702">
        <v>26</v>
      </c>
      <c r="Q2702">
        <v>34</v>
      </c>
      <c r="R2702">
        <v>44</v>
      </c>
    </row>
    <row r="2703" spans="1:18" x14ac:dyDescent="0.25">
      <c r="A2703" t="s">
        <v>2891</v>
      </c>
      <c r="B2703" t="s">
        <v>55</v>
      </c>
      <c r="C2703" t="s">
        <v>2867</v>
      </c>
      <c r="D2703" t="s">
        <v>2868</v>
      </c>
      <c r="E2703" t="s">
        <v>78</v>
      </c>
      <c r="F2703" t="s">
        <v>252</v>
      </c>
      <c r="G2703">
        <v>7.0168999999999997</v>
      </c>
      <c r="H2703">
        <v>-76.753600000000006</v>
      </c>
      <c r="I2703" t="s">
        <v>2869</v>
      </c>
      <c r="J2703">
        <v>11</v>
      </c>
      <c r="M2703">
        <v>149</v>
      </c>
      <c r="N2703">
        <v>39</v>
      </c>
      <c r="O2703">
        <v>32</v>
      </c>
      <c r="P2703">
        <v>24</v>
      </c>
      <c r="Q2703">
        <v>24</v>
      </c>
      <c r="R2703">
        <v>31</v>
      </c>
    </row>
    <row r="2704" spans="1:18" x14ac:dyDescent="0.25">
      <c r="A2704" t="s">
        <v>2892</v>
      </c>
      <c r="B2704" t="s">
        <v>55</v>
      </c>
      <c r="C2704" t="s">
        <v>2867</v>
      </c>
      <c r="D2704" t="s">
        <v>2868</v>
      </c>
      <c r="E2704" t="s">
        <v>78</v>
      </c>
      <c r="F2704" t="s">
        <v>252</v>
      </c>
      <c r="G2704">
        <v>7.0168999999999997</v>
      </c>
      <c r="H2704">
        <v>-76.753600000000006</v>
      </c>
      <c r="I2704" t="s">
        <v>2869</v>
      </c>
      <c r="J2704">
        <v>11</v>
      </c>
      <c r="M2704">
        <v>148</v>
      </c>
      <c r="N2704">
        <v>37</v>
      </c>
      <c r="O2704">
        <v>16</v>
      </c>
      <c r="P2704">
        <v>32</v>
      </c>
      <c r="Q2704">
        <v>29</v>
      </c>
      <c r="R2704">
        <v>44</v>
      </c>
    </row>
    <row r="2705" spans="1:18" x14ac:dyDescent="0.25">
      <c r="A2705" t="s">
        <v>2893</v>
      </c>
      <c r="B2705" t="s">
        <v>55</v>
      </c>
      <c r="C2705" t="s">
        <v>2867</v>
      </c>
      <c r="D2705" t="s">
        <v>2868</v>
      </c>
      <c r="E2705" t="s">
        <v>78</v>
      </c>
      <c r="F2705" t="s">
        <v>252</v>
      </c>
      <c r="G2705">
        <v>7.0168999999999997</v>
      </c>
      <c r="H2705">
        <v>-76.753600000000006</v>
      </c>
      <c r="I2705" t="s">
        <v>2869</v>
      </c>
      <c r="J2705">
        <v>11</v>
      </c>
      <c r="M2705">
        <v>147</v>
      </c>
      <c r="N2705">
        <v>12</v>
      </c>
      <c r="O2705">
        <v>16</v>
      </c>
      <c r="P2705">
        <v>48</v>
      </c>
      <c r="Q2705">
        <v>38</v>
      </c>
      <c r="R2705">
        <v>40</v>
      </c>
    </row>
    <row r="2706" spans="1:18" x14ac:dyDescent="0.25">
      <c r="A2706" t="s">
        <v>2894</v>
      </c>
      <c r="B2706" t="s">
        <v>55</v>
      </c>
      <c r="C2706" t="s">
        <v>2867</v>
      </c>
      <c r="D2706" t="s">
        <v>2868</v>
      </c>
      <c r="E2706" t="s">
        <v>78</v>
      </c>
      <c r="F2706" t="s">
        <v>252</v>
      </c>
      <c r="G2706">
        <v>7.0168999999999997</v>
      </c>
      <c r="H2706">
        <v>-76.753600000000006</v>
      </c>
      <c r="I2706" t="s">
        <v>2869</v>
      </c>
      <c r="J2706">
        <v>11</v>
      </c>
      <c r="M2706">
        <v>147</v>
      </c>
      <c r="N2706">
        <v>24</v>
      </c>
      <c r="O2706">
        <v>24</v>
      </c>
      <c r="P2706">
        <v>38</v>
      </c>
      <c r="Q2706">
        <v>26</v>
      </c>
      <c r="R2706">
        <v>45</v>
      </c>
    </row>
    <row r="2707" spans="1:18" x14ac:dyDescent="0.25">
      <c r="A2707" t="s">
        <v>2895</v>
      </c>
      <c r="B2707" t="s">
        <v>55</v>
      </c>
      <c r="C2707" t="s">
        <v>2867</v>
      </c>
      <c r="D2707" t="s">
        <v>2868</v>
      </c>
      <c r="E2707" t="s">
        <v>78</v>
      </c>
      <c r="F2707" t="s">
        <v>252</v>
      </c>
      <c r="G2707">
        <v>7.0168999999999997</v>
      </c>
      <c r="H2707">
        <v>-76.753600000000006</v>
      </c>
      <c r="I2707" t="s">
        <v>2869</v>
      </c>
      <c r="J2707">
        <v>11</v>
      </c>
      <c r="M2707">
        <v>145</v>
      </c>
      <c r="N2707">
        <v>34</v>
      </c>
      <c r="O2707">
        <v>22</v>
      </c>
      <c r="P2707">
        <v>32</v>
      </c>
      <c r="Q2707">
        <v>31</v>
      </c>
      <c r="R2707">
        <v>20</v>
      </c>
    </row>
    <row r="2708" spans="1:18" x14ac:dyDescent="0.25">
      <c r="A2708" t="s">
        <v>2896</v>
      </c>
      <c r="B2708" t="s">
        <v>55</v>
      </c>
      <c r="C2708" t="s">
        <v>2867</v>
      </c>
      <c r="D2708" t="s">
        <v>2868</v>
      </c>
      <c r="E2708" t="s">
        <v>78</v>
      </c>
      <c r="F2708" t="s">
        <v>252</v>
      </c>
      <c r="G2708">
        <v>7.0168999999999997</v>
      </c>
      <c r="H2708">
        <v>-76.753600000000006</v>
      </c>
      <c r="I2708" t="s">
        <v>2869</v>
      </c>
      <c r="J2708">
        <v>11</v>
      </c>
      <c r="M2708">
        <v>145</v>
      </c>
      <c r="N2708">
        <v>24</v>
      </c>
      <c r="O2708">
        <v>18</v>
      </c>
      <c r="P2708">
        <v>54</v>
      </c>
      <c r="Q2708">
        <v>24</v>
      </c>
      <c r="R2708">
        <v>15</v>
      </c>
    </row>
    <row r="2709" spans="1:18" x14ac:dyDescent="0.25">
      <c r="A2709" t="s">
        <v>2897</v>
      </c>
      <c r="B2709" t="s">
        <v>55</v>
      </c>
      <c r="C2709" t="s">
        <v>2867</v>
      </c>
      <c r="D2709" t="s">
        <v>2868</v>
      </c>
      <c r="E2709" t="s">
        <v>78</v>
      </c>
      <c r="F2709" t="s">
        <v>252</v>
      </c>
      <c r="G2709">
        <v>7.0168999999999997</v>
      </c>
      <c r="H2709">
        <v>-76.753600000000006</v>
      </c>
      <c r="I2709" t="s">
        <v>2869</v>
      </c>
      <c r="J2709">
        <v>11</v>
      </c>
      <c r="M2709">
        <v>143</v>
      </c>
      <c r="N2709">
        <v>37</v>
      </c>
      <c r="O2709">
        <v>30</v>
      </c>
      <c r="P2709">
        <v>30</v>
      </c>
      <c r="Q2709">
        <v>17</v>
      </c>
      <c r="R2709">
        <v>29</v>
      </c>
    </row>
    <row r="2710" spans="1:18" x14ac:dyDescent="0.25">
      <c r="A2710" t="s">
        <v>2898</v>
      </c>
      <c r="B2710" t="s">
        <v>55</v>
      </c>
      <c r="C2710" t="s">
        <v>2867</v>
      </c>
      <c r="D2710" t="s">
        <v>2868</v>
      </c>
      <c r="E2710" t="s">
        <v>78</v>
      </c>
      <c r="F2710" t="s">
        <v>252</v>
      </c>
      <c r="G2710">
        <v>7.0168999999999997</v>
      </c>
      <c r="H2710">
        <v>-76.753600000000006</v>
      </c>
      <c r="I2710" t="s">
        <v>2869</v>
      </c>
      <c r="J2710">
        <v>11</v>
      </c>
      <c r="M2710">
        <v>142</v>
      </c>
      <c r="N2710">
        <v>32</v>
      </c>
      <c r="O2710">
        <v>20</v>
      </c>
      <c r="P2710">
        <v>28</v>
      </c>
      <c r="Q2710">
        <v>33</v>
      </c>
      <c r="R2710">
        <v>31</v>
      </c>
    </row>
    <row r="2711" spans="1:18" x14ac:dyDescent="0.25">
      <c r="A2711" t="s">
        <v>2899</v>
      </c>
      <c r="B2711" t="s">
        <v>55</v>
      </c>
      <c r="C2711" t="s">
        <v>2867</v>
      </c>
      <c r="D2711" t="s">
        <v>2868</v>
      </c>
      <c r="E2711" t="s">
        <v>78</v>
      </c>
      <c r="F2711" t="s">
        <v>252</v>
      </c>
      <c r="G2711">
        <v>7.0168999999999997</v>
      </c>
      <c r="H2711">
        <v>-76.753600000000006</v>
      </c>
      <c r="I2711" t="s">
        <v>2869</v>
      </c>
      <c r="J2711">
        <v>11</v>
      </c>
      <c r="M2711">
        <v>141</v>
      </c>
      <c r="N2711">
        <v>37</v>
      </c>
      <c r="O2711">
        <v>28</v>
      </c>
      <c r="P2711">
        <v>32</v>
      </c>
      <c r="Q2711">
        <v>12</v>
      </c>
      <c r="R2711">
        <v>42</v>
      </c>
    </row>
    <row r="2712" spans="1:18" x14ac:dyDescent="0.25">
      <c r="A2712" t="s">
        <v>2900</v>
      </c>
      <c r="B2712" t="s">
        <v>55</v>
      </c>
      <c r="C2712" t="s">
        <v>2867</v>
      </c>
      <c r="D2712" t="s">
        <v>2868</v>
      </c>
      <c r="E2712" t="s">
        <v>78</v>
      </c>
      <c r="F2712" t="s">
        <v>252</v>
      </c>
      <c r="G2712">
        <v>7.0168999999999997</v>
      </c>
      <c r="H2712">
        <v>-76.753600000000006</v>
      </c>
      <c r="I2712" t="s">
        <v>2869</v>
      </c>
      <c r="J2712">
        <v>11</v>
      </c>
      <c r="M2712">
        <v>141</v>
      </c>
      <c r="N2712">
        <v>37</v>
      </c>
      <c r="O2712">
        <v>18</v>
      </c>
      <c r="P2712">
        <v>30</v>
      </c>
      <c r="Q2712">
        <v>26</v>
      </c>
      <c r="R2712">
        <v>36</v>
      </c>
    </row>
    <row r="2713" spans="1:18" x14ac:dyDescent="0.25">
      <c r="A2713" t="s">
        <v>2901</v>
      </c>
      <c r="B2713" t="s">
        <v>55</v>
      </c>
      <c r="C2713" t="s">
        <v>2867</v>
      </c>
      <c r="D2713" t="s">
        <v>2868</v>
      </c>
      <c r="E2713" t="s">
        <v>78</v>
      </c>
      <c r="F2713" t="s">
        <v>252</v>
      </c>
      <c r="G2713">
        <v>7.0168999999999997</v>
      </c>
      <c r="H2713">
        <v>-76.753600000000006</v>
      </c>
      <c r="I2713" t="s">
        <v>2869</v>
      </c>
      <c r="J2713">
        <v>11</v>
      </c>
      <c r="M2713">
        <v>141</v>
      </c>
      <c r="N2713">
        <v>29</v>
      </c>
      <c r="O2713">
        <v>18</v>
      </c>
      <c r="P2713">
        <v>40</v>
      </c>
      <c r="Q2713">
        <v>22</v>
      </c>
      <c r="R2713">
        <v>36</v>
      </c>
    </row>
    <row r="2714" spans="1:18" x14ac:dyDescent="0.25">
      <c r="A2714" t="s">
        <v>2902</v>
      </c>
      <c r="B2714" t="s">
        <v>55</v>
      </c>
      <c r="C2714" t="s">
        <v>2867</v>
      </c>
      <c r="D2714" t="s">
        <v>2868</v>
      </c>
      <c r="E2714" t="s">
        <v>78</v>
      </c>
      <c r="F2714" t="s">
        <v>252</v>
      </c>
      <c r="G2714">
        <v>7.0168999999999997</v>
      </c>
      <c r="H2714">
        <v>-76.753600000000006</v>
      </c>
      <c r="I2714" t="s">
        <v>2869</v>
      </c>
      <c r="J2714">
        <v>11</v>
      </c>
      <c r="M2714">
        <v>139</v>
      </c>
      <c r="N2714">
        <v>37</v>
      </c>
      <c r="O2714">
        <v>18</v>
      </c>
      <c r="P2714">
        <v>36</v>
      </c>
      <c r="Q2714">
        <v>19</v>
      </c>
      <c r="R2714">
        <v>33</v>
      </c>
    </row>
    <row r="2715" spans="1:18" x14ac:dyDescent="0.25">
      <c r="A2715" t="s">
        <v>2903</v>
      </c>
      <c r="B2715" t="s">
        <v>55</v>
      </c>
      <c r="C2715" t="s">
        <v>2867</v>
      </c>
      <c r="D2715" t="s">
        <v>2868</v>
      </c>
      <c r="E2715" t="s">
        <v>78</v>
      </c>
      <c r="F2715" t="s">
        <v>252</v>
      </c>
      <c r="G2715">
        <v>7.0168999999999997</v>
      </c>
      <c r="H2715">
        <v>-76.753600000000006</v>
      </c>
      <c r="I2715" t="s">
        <v>2869</v>
      </c>
      <c r="J2715">
        <v>11</v>
      </c>
      <c r="M2715">
        <v>137</v>
      </c>
      <c r="N2715">
        <v>32</v>
      </c>
      <c r="O2715">
        <v>24</v>
      </c>
      <c r="P2715">
        <v>22</v>
      </c>
      <c r="Q2715">
        <v>28</v>
      </c>
      <c r="R2715">
        <v>40</v>
      </c>
    </row>
    <row r="2716" spans="1:18" x14ac:dyDescent="0.25">
      <c r="A2716" t="s">
        <v>2904</v>
      </c>
      <c r="B2716" t="s">
        <v>55</v>
      </c>
      <c r="C2716" t="s">
        <v>2867</v>
      </c>
      <c r="D2716" t="s">
        <v>2868</v>
      </c>
      <c r="E2716" t="s">
        <v>78</v>
      </c>
      <c r="F2716" t="s">
        <v>252</v>
      </c>
      <c r="G2716">
        <v>7.0168999999999997</v>
      </c>
      <c r="H2716">
        <v>-76.753600000000006</v>
      </c>
      <c r="I2716" t="s">
        <v>2869</v>
      </c>
      <c r="J2716">
        <v>11</v>
      </c>
      <c r="M2716">
        <v>137</v>
      </c>
      <c r="N2716">
        <v>22</v>
      </c>
      <c r="O2716">
        <v>22</v>
      </c>
      <c r="P2716">
        <v>34</v>
      </c>
      <c r="Q2716">
        <v>26</v>
      </c>
      <c r="R2716">
        <v>44</v>
      </c>
    </row>
    <row r="2717" spans="1:18" x14ac:dyDescent="0.25">
      <c r="A2717" t="s">
        <v>2905</v>
      </c>
      <c r="B2717" t="s">
        <v>55</v>
      </c>
      <c r="C2717" t="s">
        <v>2867</v>
      </c>
      <c r="D2717" t="s">
        <v>2868</v>
      </c>
      <c r="E2717" t="s">
        <v>78</v>
      </c>
      <c r="F2717" t="s">
        <v>252</v>
      </c>
      <c r="G2717">
        <v>7.0168999999999997</v>
      </c>
      <c r="H2717">
        <v>-76.753600000000006</v>
      </c>
      <c r="I2717" t="s">
        <v>2869</v>
      </c>
      <c r="J2717">
        <v>11</v>
      </c>
      <c r="M2717">
        <v>136</v>
      </c>
      <c r="N2717">
        <v>32</v>
      </c>
      <c r="O2717">
        <v>26</v>
      </c>
      <c r="P2717">
        <v>16</v>
      </c>
      <c r="Q2717">
        <v>24</v>
      </c>
      <c r="R2717">
        <v>60</v>
      </c>
    </row>
    <row r="2718" spans="1:18" x14ac:dyDescent="0.25">
      <c r="A2718" t="s">
        <v>2906</v>
      </c>
      <c r="B2718" t="s">
        <v>55</v>
      </c>
      <c r="C2718" t="s">
        <v>2867</v>
      </c>
      <c r="D2718" t="s">
        <v>2868</v>
      </c>
      <c r="E2718" t="s">
        <v>78</v>
      </c>
      <c r="F2718" t="s">
        <v>252</v>
      </c>
      <c r="G2718">
        <v>7.0168999999999997</v>
      </c>
      <c r="H2718">
        <v>-76.753600000000006</v>
      </c>
      <c r="I2718" t="s">
        <v>2869</v>
      </c>
      <c r="J2718">
        <v>11</v>
      </c>
      <c r="M2718">
        <v>132</v>
      </c>
      <c r="N2718">
        <v>34</v>
      </c>
      <c r="O2718">
        <v>30</v>
      </c>
      <c r="P2718">
        <v>22</v>
      </c>
      <c r="Q2718">
        <v>19</v>
      </c>
      <c r="R2718">
        <v>29</v>
      </c>
    </row>
    <row r="2719" spans="1:18" x14ac:dyDescent="0.25">
      <c r="A2719" t="s">
        <v>2907</v>
      </c>
      <c r="B2719" t="s">
        <v>55</v>
      </c>
      <c r="C2719" t="s">
        <v>2867</v>
      </c>
      <c r="D2719" t="s">
        <v>2868</v>
      </c>
      <c r="E2719" t="s">
        <v>78</v>
      </c>
      <c r="F2719" t="s">
        <v>252</v>
      </c>
      <c r="G2719">
        <v>7.0168999999999997</v>
      </c>
      <c r="H2719">
        <v>-76.753600000000006</v>
      </c>
      <c r="I2719" t="s">
        <v>2869</v>
      </c>
      <c r="J2719">
        <v>11</v>
      </c>
      <c r="M2719">
        <v>131</v>
      </c>
      <c r="N2719">
        <v>32</v>
      </c>
      <c r="O2719">
        <v>18</v>
      </c>
      <c r="P2719">
        <v>28</v>
      </c>
      <c r="Q2719">
        <v>26</v>
      </c>
      <c r="R2719">
        <v>31</v>
      </c>
    </row>
    <row r="2720" spans="1:18" x14ac:dyDescent="0.25">
      <c r="A2720" t="s">
        <v>2908</v>
      </c>
      <c r="B2720" t="s">
        <v>55</v>
      </c>
      <c r="C2720" t="s">
        <v>2867</v>
      </c>
      <c r="D2720" t="s">
        <v>2868</v>
      </c>
      <c r="E2720" t="s">
        <v>78</v>
      </c>
      <c r="F2720" t="s">
        <v>252</v>
      </c>
      <c r="G2720">
        <v>7.0168999999999997</v>
      </c>
      <c r="H2720">
        <v>-76.753600000000006</v>
      </c>
      <c r="I2720" t="s">
        <v>2869</v>
      </c>
      <c r="J2720">
        <v>11</v>
      </c>
      <c r="M2720">
        <v>131</v>
      </c>
      <c r="N2720">
        <v>24</v>
      </c>
      <c r="O2720">
        <v>24</v>
      </c>
      <c r="P2720">
        <v>26</v>
      </c>
      <c r="Q2720">
        <v>24</v>
      </c>
      <c r="R2720">
        <v>45</v>
      </c>
    </row>
    <row r="2721" spans="1:18" x14ac:dyDescent="0.25">
      <c r="A2721" t="s">
        <v>2909</v>
      </c>
      <c r="B2721" t="s">
        <v>55</v>
      </c>
      <c r="C2721" t="s">
        <v>2867</v>
      </c>
      <c r="D2721" t="s">
        <v>2868</v>
      </c>
      <c r="E2721" t="s">
        <v>78</v>
      </c>
      <c r="F2721" t="s">
        <v>252</v>
      </c>
      <c r="G2721">
        <v>7.0168999999999997</v>
      </c>
      <c r="H2721">
        <v>-76.753600000000006</v>
      </c>
      <c r="I2721" t="s">
        <v>2869</v>
      </c>
      <c r="J2721">
        <v>11</v>
      </c>
      <c r="M2721">
        <v>130</v>
      </c>
      <c r="N2721">
        <v>22</v>
      </c>
      <c r="O2721">
        <v>14</v>
      </c>
      <c r="P2721">
        <v>30</v>
      </c>
      <c r="Q2721">
        <v>33</v>
      </c>
      <c r="R2721">
        <v>42</v>
      </c>
    </row>
    <row r="2722" spans="1:18" x14ac:dyDescent="0.25">
      <c r="A2722" t="s">
        <v>2910</v>
      </c>
      <c r="B2722" t="s">
        <v>55</v>
      </c>
      <c r="C2722" t="s">
        <v>2867</v>
      </c>
      <c r="D2722" t="s">
        <v>2868</v>
      </c>
      <c r="E2722" t="s">
        <v>78</v>
      </c>
      <c r="F2722" t="s">
        <v>252</v>
      </c>
      <c r="G2722">
        <v>7.0168999999999997</v>
      </c>
      <c r="H2722">
        <v>-76.753600000000006</v>
      </c>
      <c r="I2722" t="s">
        <v>2869</v>
      </c>
      <c r="J2722">
        <v>11</v>
      </c>
      <c r="M2722">
        <v>126</v>
      </c>
      <c r="N2722">
        <v>20</v>
      </c>
      <c r="O2722">
        <v>6</v>
      </c>
      <c r="P2722">
        <v>30</v>
      </c>
      <c r="Q2722">
        <v>40</v>
      </c>
      <c r="R2722">
        <v>42</v>
      </c>
    </row>
    <row r="2723" spans="1:18" x14ac:dyDescent="0.25">
      <c r="A2723" t="s">
        <v>2911</v>
      </c>
      <c r="B2723" t="s">
        <v>55</v>
      </c>
      <c r="C2723" t="s">
        <v>2867</v>
      </c>
      <c r="D2723" t="s">
        <v>2868</v>
      </c>
      <c r="E2723" t="s">
        <v>78</v>
      </c>
      <c r="F2723" t="s">
        <v>252</v>
      </c>
      <c r="G2723">
        <v>7.0168999999999997</v>
      </c>
      <c r="H2723">
        <v>-76.753600000000006</v>
      </c>
      <c r="I2723" t="s">
        <v>2869</v>
      </c>
      <c r="J2723">
        <v>11</v>
      </c>
      <c r="M2723">
        <v>120</v>
      </c>
      <c r="N2723">
        <v>41</v>
      </c>
      <c r="O2723">
        <v>20</v>
      </c>
      <c r="P2723">
        <v>20</v>
      </c>
      <c r="Q2723">
        <v>14</v>
      </c>
      <c r="R2723">
        <v>25</v>
      </c>
    </row>
    <row r="2724" spans="1:18" x14ac:dyDescent="0.25">
      <c r="A2724" t="s">
        <v>2912</v>
      </c>
      <c r="B2724" t="s">
        <v>55</v>
      </c>
      <c r="C2724" t="s">
        <v>2867</v>
      </c>
      <c r="D2724" t="s">
        <v>2868</v>
      </c>
      <c r="E2724" t="s">
        <v>78</v>
      </c>
      <c r="F2724" t="s">
        <v>252</v>
      </c>
      <c r="G2724">
        <v>7.0168999999999997</v>
      </c>
      <c r="H2724">
        <v>-76.753600000000006</v>
      </c>
      <c r="I2724" t="s">
        <v>2869</v>
      </c>
      <c r="J2724">
        <v>11</v>
      </c>
      <c r="M2724">
        <v>112</v>
      </c>
      <c r="N2724">
        <v>20</v>
      </c>
      <c r="O2724">
        <v>22</v>
      </c>
      <c r="P2724">
        <v>26</v>
      </c>
      <c r="Q2724">
        <v>21</v>
      </c>
      <c r="R2724">
        <v>27</v>
      </c>
    </row>
    <row r="2725" spans="1:18" x14ac:dyDescent="0.25">
      <c r="A2725" t="s">
        <v>2913</v>
      </c>
      <c r="B2725" t="s">
        <v>55</v>
      </c>
      <c r="C2725" t="s">
        <v>2867</v>
      </c>
      <c r="D2725" t="s">
        <v>2868</v>
      </c>
      <c r="E2725" t="s">
        <v>78</v>
      </c>
      <c r="F2725" t="s">
        <v>252</v>
      </c>
      <c r="G2725">
        <v>7.0168999999999997</v>
      </c>
      <c r="H2725">
        <v>-76.753600000000006</v>
      </c>
      <c r="I2725" t="s">
        <v>2869</v>
      </c>
      <c r="J2725">
        <v>11</v>
      </c>
      <c r="M2725">
        <v>105</v>
      </c>
      <c r="N2725">
        <v>49</v>
      </c>
      <c r="O2725">
        <v>10</v>
      </c>
      <c r="P2725">
        <v>22</v>
      </c>
      <c r="Q2725">
        <v>10</v>
      </c>
      <c r="R2725">
        <v>0</v>
      </c>
    </row>
    <row r="2726" spans="1:18" x14ac:dyDescent="0.25">
      <c r="A2726" t="s">
        <v>2914</v>
      </c>
      <c r="B2726" t="s">
        <v>55</v>
      </c>
      <c r="C2726" t="s">
        <v>2867</v>
      </c>
      <c r="D2726" t="s">
        <v>2868</v>
      </c>
      <c r="E2726" t="s">
        <v>78</v>
      </c>
      <c r="F2726" t="s">
        <v>252</v>
      </c>
      <c r="G2726">
        <v>7.0168999999999997</v>
      </c>
      <c r="H2726">
        <v>-76.753600000000006</v>
      </c>
      <c r="I2726" t="s">
        <v>2869</v>
      </c>
      <c r="J2726">
        <v>11</v>
      </c>
      <c r="M2726">
        <v>71</v>
      </c>
      <c r="N2726">
        <v>0</v>
      </c>
      <c r="O2726">
        <v>8</v>
      </c>
      <c r="P2726">
        <v>14</v>
      </c>
      <c r="Q2726">
        <v>22</v>
      </c>
      <c r="R2726">
        <v>51</v>
      </c>
    </row>
    <row r="2727" spans="1:18" x14ac:dyDescent="0.25">
      <c r="A2727" t="s">
        <v>2915</v>
      </c>
      <c r="B2727" t="s">
        <v>55</v>
      </c>
      <c r="C2727" t="s">
        <v>2916</v>
      </c>
      <c r="D2727" t="s">
        <v>2917</v>
      </c>
      <c r="E2727" t="s">
        <v>78</v>
      </c>
      <c r="F2727" t="s">
        <v>252</v>
      </c>
      <c r="G2727">
        <v>7.2432999999999996</v>
      </c>
      <c r="H2727">
        <v>-76.436099999999996</v>
      </c>
      <c r="I2727" t="s">
        <v>2918</v>
      </c>
      <c r="J2727">
        <v>11</v>
      </c>
      <c r="M2727">
        <v>244</v>
      </c>
      <c r="N2727">
        <v>44</v>
      </c>
      <c r="O2727">
        <v>30</v>
      </c>
      <c r="P2727">
        <v>70</v>
      </c>
      <c r="Q2727">
        <v>43</v>
      </c>
      <c r="R2727">
        <v>73</v>
      </c>
    </row>
    <row r="2728" spans="1:18" x14ac:dyDescent="0.25">
      <c r="A2728" t="s">
        <v>2919</v>
      </c>
      <c r="B2728" t="s">
        <v>55</v>
      </c>
      <c r="C2728" t="s">
        <v>2916</v>
      </c>
      <c r="D2728" t="s">
        <v>2917</v>
      </c>
      <c r="E2728" t="s">
        <v>78</v>
      </c>
      <c r="F2728" t="s">
        <v>252</v>
      </c>
      <c r="G2728">
        <v>7.2432999999999996</v>
      </c>
      <c r="H2728">
        <v>-76.436099999999996</v>
      </c>
      <c r="I2728" t="s">
        <v>2918</v>
      </c>
      <c r="J2728">
        <v>11</v>
      </c>
      <c r="M2728">
        <v>242</v>
      </c>
      <c r="N2728">
        <v>59</v>
      </c>
      <c r="O2728">
        <v>36</v>
      </c>
      <c r="P2728">
        <v>54</v>
      </c>
      <c r="Q2728">
        <v>45</v>
      </c>
      <c r="R2728">
        <v>49</v>
      </c>
    </row>
    <row r="2729" spans="1:18" x14ac:dyDescent="0.25">
      <c r="A2729" t="s">
        <v>2920</v>
      </c>
      <c r="B2729" t="s">
        <v>55</v>
      </c>
      <c r="C2729" t="s">
        <v>2916</v>
      </c>
      <c r="D2729" t="s">
        <v>2917</v>
      </c>
      <c r="E2729" t="s">
        <v>78</v>
      </c>
      <c r="F2729" t="s">
        <v>252</v>
      </c>
      <c r="G2729">
        <v>7.2432999999999996</v>
      </c>
      <c r="H2729">
        <v>-76.436099999999996</v>
      </c>
      <c r="I2729" t="s">
        <v>2918</v>
      </c>
      <c r="J2729">
        <v>11</v>
      </c>
      <c r="M2729">
        <v>236</v>
      </c>
      <c r="N2729">
        <v>51</v>
      </c>
      <c r="O2729">
        <v>32</v>
      </c>
      <c r="P2729">
        <v>64</v>
      </c>
      <c r="Q2729">
        <v>41</v>
      </c>
      <c r="R2729">
        <v>49</v>
      </c>
    </row>
    <row r="2730" spans="1:18" x14ac:dyDescent="0.25">
      <c r="A2730" t="s">
        <v>2921</v>
      </c>
      <c r="B2730" t="s">
        <v>55</v>
      </c>
      <c r="C2730" t="s">
        <v>2916</v>
      </c>
      <c r="D2730" t="s">
        <v>2917</v>
      </c>
      <c r="E2730" t="s">
        <v>78</v>
      </c>
      <c r="F2730" t="s">
        <v>252</v>
      </c>
      <c r="G2730">
        <v>7.2432999999999996</v>
      </c>
      <c r="H2730">
        <v>-76.436099999999996</v>
      </c>
      <c r="I2730" t="s">
        <v>2918</v>
      </c>
      <c r="J2730">
        <v>11</v>
      </c>
      <c r="M2730">
        <v>229</v>
      </c>
      <c r="N2730">
        <v>59</v>
      </c>
      <c r="O2730">
        <v>34</v>
      </c>
      <c r="P2730">
        <v>56</v>
      </c>
      <c r="Q2730">
        <v>34</v>
      </c>
      <c r="R2730">
        <v>47</v>
      </c>
    </row>
    <row r="2731" spans="1:18" x14ac:dyDescent="0.25">
      <c r="A2731" t="s">
        <v>2922</v>
      </c>
      <c r="B2731" t="s">
        <v>55</v>
      </c>
      <c r="C2731" t="s">
        <v>2916</v>
      </c>
      <c r="D2731" t="s">
        <v>2917</v>
      </c>
      <c r="E2731" t="s">
        <v>78</v>
      </c>
      <c r="F2731" t="s">
        <v>252</v>
      </c>
      <c r="G2731">
        <v>7.2432999999999996</v>
      </c>
      <c r="H2731">
        <v>-76.436099999999996</v>
      </c>
      <c r="I2731" t="s">
        <v>2918</v>
      </c>
      <c r="J2731">
        <v>11</v>
      </c>
      <c r="M2731">
        <v>227</v>
      </c>
      <c r="N2731">
        <v>59</v>
      </c>
      <c r="O2731">
        <v>30</v>
      </c>
      <c r="P2731">
        <v>66</v>
      </c>
      <c r="Q2731">
        <v>28</v>
      </c>
      <c r="R2731">
        <v>44</v>
      </c>
    </row>
    <row r="2732" spans="1:18" x14ac:dyDescent="0.25">
      <c r="A2732" t="s">
        <v>2923</v>
      </c>
      <c r="B2732" t="s">
        <v>55</v>
      </c>
      <c r="C2732" t="s">
        <v>2916</v>
      </c>
      <c r="D2732" t="s">
        <v>2917</v>
      </c>
      <c r="E2732" t="s">
        <v>78</v>
      </c>
      <c r="F2732" t="s">
        <v>252</v>
      </c>
      <c r="G2732">
        <v>7.2432999999999996</v>
      </c>
      <c r="H2732">
        <v>-76.436099999999996</v>
      </c>
      <c r="I2732" t="s">
        <v>2918</v>
      </c>
      <c r="J2732">
        <v>11</v>
      </c>
      <c r="M2732">
        <v>225</v>
      </c>
      <c r="N2732">
        <v>54</v>
      </c>
      <c r="O2732">
        <v>28</v>
      </c>
      <c r="P2732">
        <v>62</v>
      </c>
      <c r="Q2732">
        <v>41</v>
      </c>
      <c r="R2732">
        <v>31</v>
      </c>
    </row>
    <row r="2733" spans="1:18" x14ac:dyDescent="0.25">
      <c r="A2733" t="s">
        <v>2924</v>
      </c>
      <c r="B2733" t="s">
        <v>55</v>
      </c>
      <c r="C2733" t="s">
        <v>2916</v>
      </c>
      <c r="D2733" t="s">
        <v>2917</v>
      </c>
      <c r="E2733" t="s">
        <v>78</v>
      </c>
      <c r="F2733" t="s">
        <v>252</v>
      </c>
      <c r="G2733">
        <v>7.2432999999999996</v>
      </c>
      <c r="H2733">
        <v>-76.436099999999996</v>
      </c>
      <c r="I2733" t="s">
        <v>2918</v>
      </c>
      <c r="J2733">
        <v>11</v>
      </c>
      <c r="M2733">
        <v>224</v>
      </c>
      <c r="N2733">
        <v>68</v>
      </c>
      <c r="O2733">
        <v>24</v>
      </c>
      <c r="P2733">
        <v>56</v>
      </c>
      <c r="Q2733">
        <v>31</v>
      </c>
      <c r="R2733">
        <v>45</v>
      </c>
    </row>
    <row r="2734" spans="1:18" x14ac:dyDescent="0.25">
      <c r="A2734" t="s">
        <v>2925</v>
      </c>
      <c r="B2734" t="s">
        <v>55</v>
      </c>
      <c r="C2734" t="s">
        <v>2916</v>
      </c>
      <c r="D2734" t="s">
        <v>2917</v>
      </c>
      <c r="E2734" t="s">
        <v>78</v>
      </c>
      <c r="F2734" t="s">
        <v>252</v>
      </c>
      <c r="G2734">
        <v>7.2432999999999996</v>
      </c>
      <c r="H2734">
        <v>-76.436099999999996</v>
      </c>
      <c r="I2734" t="s">
        <v>2918</v>
      </c>
      <c r="J2734">
        <v>11</v>
      </c>
      <c r="M2734">
        <v>223</v>
      </c>
      <c r="N2734">
        <v>49</v>
      </c>
      <c r="O2734">
        <v>32</v>
      </c>
      <c r="P2734">
        <v>60</v>
      </c>
      <c r="Q2734">
        <v>31</v>
      </c>
      <c r="R2734">
        <v>65</v>
      </c>
    </row>
    <row r="2735" spans="1:18" x14ac:dyDescent="0.25">
      <c r="A2735" t="s">
        <v>2926</v>
      </c>
      <c r="B2735" t="s">
        <v>55</v>
      </c>
      <c r="C2735" t="s">
        <v>2916</v>
      </c>
      <c r="D2735" t="s">
        <v>2917</v>
      </c>
      <c r="E2735" t="s">
        <v>78</v>
      </c>
      <c r="F2735" t="s">
        <v>252</v>
      </c>
      <c r="G2735">
        <v>7.2432999999999996</v>
      </c>
      <c r="H2735">
        <v>-76.436099999999996</v>
      </c>
      <c r="I2735" t="s">
        <v>2918</v>
      </c>
      <c r="J2735">
        <v>11</v>
      </c>
      <c r="M2735">
        <v>223</v>
      </c>
      <c r="N2735">
        <v>46</v>
      </c>
      <c r="O2735">
        <v>32</v>
      </c>
      <c r="P2735">
        <v>56</v>
      </c>
      <c r="Q2735">
        <v>29</v>
      </c>
      <c r="R2735">
        <v>89</v>
      </c>
    </row>
    <row r="2736" spans="1:18" x14ac:dyDescent="0.25">
      <c r="A2736" t="s">
        <v>2927</v>
      </c>
      <c r="B2736" t="s">
        <v>55</v>
      </c>
      <c r="C2736" t="s">
        <v>2916</v>
      </c>
      <c r="D2736" t="s">
        <v>2917</v>
      </c>
      <c r="E2736" t="s">
        <v>78</v>
      </c>
      <c r="F2736" t="s">
        <v>252</v>
      </c>
      <c r="G2736">
        <v>7.2432999999999996</v>
      </c>
      <c r="H2736">
        <v>-76.436099999999996</v>
      </c>
      <c r="I2736" t="s">
        <v>2918</v>
      </c>
      <c r="J2736">
        <v>11</v>
      </c>
      <c r="M2736">
        <v>220</v>
      </c>
      <c r="N2736">
        <v>61</v>
      </c>
      <c r="O2736">
        <v>26</v>
      </c>
      <c r="P2736">
        <v>56</v>
      </c>
      <c r="Q2736">
        <v>29</v>
      </c>
      <c r="R2736">
        <v>55</v>
      </c>
    </row>
    <row r="2737" spans="1:18" x14ac:dyDescent="0.25">
      <c r="A2737" t="s">
        <v>2928</v>
      </c>
      <c r="B2737" t="s">
        <v>55</v>
      </c>
      <c r="C2737" t="s">
        <v>2916</v>
      </c>
      <c r="D2737" t="s">
        <v>2917</v>
      </c>
      <c r="E2737" t="s">
        <v>78</v>
      </c>
      <c r="F2737" t="s">
        <v>252</v>
      </c>
      <c r="G2737">
        <v>7.2432999999999996</v>
      </c>
      <c r="H2737">
        <v>-76.436099999999996</v>
      </c>
      <c r="I2737" t="s">
        <v>2918</v>
      </c>
      <c r="J2737">
        <v>11</v>
      </c>
      <c r="M2737">
        <v>220</v>
      </c>
      <c r="N2737">
        <v>49</v>
      </c>
      <c r="O2737">
        <v>36</v>
      </c>
      <c r="P2737">
        <v>54</v>
      </c>
      <c r="Q2737">
        <v>33</v>
      </c>
      <c r="R2737">
        <v>56</v>
      </c>
    </row>
    <row r="2738" spans="1:18" x14ac:dyDescent="0.25">
      <c r="A2738" t="s">
        <v>2929</v>
      </c>
      <c r="B2738" t="s">
        <v>55</v>
      </c>
      <c r="C2738" t="s">
        <v>2916</v>
      </c>
      <c r="D2738" t="s">
        <v>2917</v>
      </c>
      <c r="E2738" t="s">
        <v>78</v>
      </c>
      <c r="F2738" t="s">
        <v>252</v>
      </c>
      <c r="G2738">
        <v>7.2432999999999996</v>
      </c>
      <c r="H2738">
        <v>-76.436099999999996</v>
      </c>
      <c r="I2738" t="s">
        <v>2918</v>
      </c>
      <c r="J2738">
        <v>11</v>
      </c>
      <c r="M2738">
        <v>218</v>
      </c>
      <c r="N2738">
        <v>41</v>
      </c>
      <c r="O2738">
        <v>28</v>
      </c>
      <c r="P2738">
        <v>58</v>
      </c>
      <c r="Q2738">
        <v>43</v>
      </c>
      <c r="R2738">
        <v>55</v>
      </c>
    </row>
    <row r="2739" spans="1:18" x14ac:dyDescent="0.25">
      <c r="A2739" t="s">
        <v>2930</v>
      </c>
      <c r="B2739" t="s">
        <v>55</v>
      </c>
      <c r="C2739" t="s">
        <v>2916</v>
      </c>
      <c r="D2739" t="s">
        <v>2917</v>
      </c>
      <c r="E2739" t="s">
        <v>78</v>
      </c>
      <c r="F2739" t="s">
        <v>252</v>
      </c>
      <c r="G2739">
        <v>7.2432999999999996</v>
      </c>
      <c r="H2739">
        <v>-76.436099999999996</v>
      </c>
      <c r="I2739" t="s">
        <v>2918</v>
      </c>
      <c r="J2739">
        <v>11</v>
      </c>
      <c r="M2739">
        <v>209</v>
      </c>
      <c r="N2739">
        <v>46</v>
      </c>
      <c r="O2739">
        <v>40</v>
      </c>
      <c r="P2739">
        <v>58</v>
      </c>
      <c r="Q2739">
        <v>19</v>
      </c>
      <c r="R2739">
        <v>55</v>
      </c>
    </row>
    <row r="2740" spans="1:18" x14ac:dyDescent="0.25">
      <c r="A2740" t="s">
        <v>2931</v>
      </c>
      <c r="B2740" t="s">
        <v>55</v>
      </c>
      <c r="C2740" t="s">
        <v>2916</v>
      </c>
      <c r="D2740" t="s">
        <v>2917</v>
      </c>
      <c r="E2740" t="s">
        <v>78</v>
      </c>
      <c r="F2740" t="s">
        <v>252</v>
      </c>
      <c r="G2740">
        <v>7.2432999999999996</v>
      </c>
      <c r="H2740">
        <v>-76.436099999999996</v>
      </c>
      <c r="I2740" t="s">
        <v>2918</v>
      </c>
      <c r="J2740">
        <v>11</v>
      </c>
      <c r="M2740">
        <v>209</v>
      </c>
      <c r="N2740">
        <v>54</v>
      </c>
      <c r="O2740">
        <v>14</v>
      </c>
      <c r="P2740">
        <v>60</v>
      </c>
      <c r="Q2740">
        <v>36</v>
      </c>
      <c r="R2740">
        <v>51</v>
      </c>
    </row>
    <row r="2741" spans="1:18" x14ac:dyDescent="0.25">
      <c r="A2741" t="s">
        <v>2932</v>
      </c>
      <c r="B2741" t="s">
        <v>55</v>
      </c>
      <c r="C2741" t="s">
        <v>2916</v>
      </c>
      <c r="D2741" t="s">
        <v>2917</v>
      </c>
      <c r="E2741" t="s">
        <v>78</v>
      </c>
      <c r="F2741" t="s">
        <v>252</v>
      </c>
      <c r="G2741">
        <v>7.2432999999999996</v>
      </c>
      <c r="H2741">
        <v>-76.436099999999996</v>
      </c>
      <c r="I2741" t="s">
        <v>2918</v>
      </c>
      <c r="J2741">
        <v>11</v>
      </c>
      <c r="M2741">
        <v>206</v>
      </c>
      <c r="N2741">
        <v>51</v>
      </c>
      <c r="O2741">
        <v>28</v>
      </c>
      <c r="P2741">
        <v>60</v>
      </c>
      <c r="Q2741">
        <v>28</v>
      </c>
      <c r="R2741">
        <v>35</v>
      </c>
    </row>
    <row r="2742" spans="1:18" x14ac:dyDescent="0.25">
      <c r="A2742" t="s">
        <v>2933</v>
      </c>
      <c r="B2742" t="s">
        <v>55</v>
      </c>
      <c r="C2742" t="s">
        <v>2916</v>
      </c>
      <c r="D2742" t="s">
        <v>2917</v>
      </c>
      <c r="E2742" t="s">
        <v>78</v>
      </c>
      <c r="F2742" t="s">
        <v>252</v>
      </c>
      <c r="G2742">
        <v>7.2432999999999996</v>
      </c>
      <c r="H2742">
        <v>-76.436099999999996</v>
      </c>
      <c r="I2742" t="s">
        <v>2918</v>
      </c>
      <c r="J2742">
        <v>11</v>
      </c>
      <c r="M2742">
        <v>205</v>
      </c>
      <c r="N2742">
        <v>49</v>
      </c>
      <c r="O2742">
        <v>26</v>
      </c>
      <c r="P2742">
        <v>52</v>
      </c>
      <c r="Q2742">
        <v>40</v>
      </c>
      <c r="R2742">
        <v>33</v>
      </c>
    </row>
    <row r="2743" spans="1:18" x14ac:dyDescent="0.25">
      <c r="A2743" t="s">
        <v>2934</v>
      </c>
      <c r="B2743" t="s">
        <v>55</v>
      </c>
      <c r="C2743" t="s">
        <v>2916</v>
      </c>
      <c r="D2743" t="s">
        <v>2917</v>
      </c>
      <c r="E2743" t="s">
        <v>78</v>
      </c>
      <c r="F2743" t="s">
        <v>252</v>
      </c>
      <c r="G2743">
        <v>7.2432999999999996</v>
      </c>
      <c r="H2743">
        <v>-76.436099999999996</v>
      </c>
      <c r="I2743" t="s">
        <v>2918</v>
      </c>
      <c r="J2743">
        <v>11</v>
      </c>
      <c r="M2743">
        <v>204</v>
      </c>
      <c r="N2743">
        <v>41</v>
      </c>
      <c r="O2743">
        <v>24</v>
      </c>
      <c r="P2743">
        <v>56</v>
      </c>
      <c r="Q2743">
        <v>45</v>
      </c>
      <c r="R2743">
        <v>31</v>
      </c>
    </row>
    <row r="2744" spans="1:18" x14ac:dyDescent="0.25">
      <c r="A2744" t="s">
        <v>2935</v>
      </c>
      <c r="B2744" t="s">
        <v>55</v>
      </c>
      <c r="C2744" t="s">
        <v>2916</v>
      </c>
      <c r="D2744" t="s">
        <v>2917</v>
      </c>
      <c r="E2744" t="s">
        <v>78</v>
      </c>
      <c r="F2744" t="s">
        <v>252</v>
      </c>
      <c r="G2744">
        <v>7.2432999999999996</v>
      </c>
      <c r="H2744">
        <v>-76.436099999999996</v>
      </c>
      <c r="I2744" t="s">
        <v>2918</v>
      </c>
      <c r="J2744">
        <v>11</v>
      </c>
      <c r="M2744">
        <v>203</v>
      </c>
      <c r="N2744">
        <v>44</v>
      </c>
      <c r="O2744">
        <v>38</v>
      </c>
      <c r="P2744">
        <v>50</v>
      </c>
      <c r="Q2744">
        <v>31</v>
      </c>
      <c r="R2744">
        <v>40</v>
      </c>
    </row>
    <row r="2745" spans="1:18" x14ac:dyDescent="0.25">
      <c r="A2745" t="s">
        <v>2936</v>
      </c>
      <c r="B2745" t="s">
        <v>55</v>
      </c>
      <c r="C2745" t="s">
        <v>2916</v>
      </c>
      <c r="D2745" t="s">
        <v>2917</v>
      </c>
      <c r="E2745" t="s">
        <v>78</v>
      </c>
      <c r="F2745" t="s">
        <v>252</v>
      </c>
      <c r="G2745">
        <v>7.2432999999999996</v>
      </c>
      <c r="H2745">
        <v>-76.436099999999996</v>
      </c>
      <c r="I2745" t="s">
        <v>2918</v>
      </c>
      <c r="J2745">
        <v>11</v>
      </c>
      <c r="M2745">
        <v>199</v>
      </c>
      <c r="N2745">
        <v>51</v>
      </c>
      <c r="O2745">
        <v>28</v>
      </c>
      <c r="P2745">
        <v>48</v>
      </c>
      <c r="Q2745">
        <v>33</v>
      </c>
      <c r="R2745">
        <v>38</v>
      </c>
    </row>
    <row r="2746" spans="1:18" x14ac:dyDescent="0.25">
      <c r="A2746" t="s">
        <v>2937</v>
      </c>
      <c r="B2746" t="s">
        <v>55</v>
      </c>
      <c r="C2746" t="s">
        <v>2916</v>
      </c>
      <c r="D2746" t="s">
        <v>2917</v>
      </c>
      <c r="E2746" t="s">
        <v>78</v>
      </c>
      <c r="F2746" t="s">
        <v>252</v>
      </c>
      <c r="G2746">
        <v>7.2432999999999996</v>
      </c>
      <c r="H2746">
        <v>-76.436099999999996</v>
      </c>
      <c r="I2746" t="s">
        <v>2918</v>
      </c>
      <c r="J2746">
        <v>11</v>
      </c>
      <c r="M2746">
        <v>192</v>
      </c>
      <c r="N2746">
        <v>34</v>
      </c>
      <c r="O2746">
        <v>40</v>
      </c>
      <c r="P2746">
        <v>46</v>
      </c>
      <c r="Q2746">
        <v>33</v>
      </c>
      <c r="R2746">
        <v>40</v>
      </c>
    </row>
    <row r="2747" spans="1:18" x14ac:dyDescent="0.25">
      <c r="A2747" t="s">
        <v>2938</v>
      </c>
      <c r="B2747" t="s">
        <v>55</v>
      </c>
      <c r="C2747" t="s">
        <v>2916</v>
      </c>
      <c r="D2747" t="s">
        <v>2917</v>
      </c>
      <c r="E2747" t="s">
        <v>78</v>
      </c>
      <c r="F2747" t="s">
        <v>252</v>
      </c>
      <c r="G2747">
        <v>7.2432999999999996</v>
      </c>
      <c r="H2747">
        <v>-76.436099999999996</v>
      </c>
      <c r="I2747" t="s">
        <v>2918</v>
      </c>
      <c r="J2747">
        <v>11</v>
      </c>
      <c r="M2747">
        <v>191</v>
      </c>
      <c r="N2747">
        <v>46</v>
      </c>
      <c r="O2747">
        <v>32</v>
      </c>
      <c r="P2747">
        <v>60</v>
      </c>
      <c r="Q2747">
        <v>17</v>
      </c>
      <c r="R2747">
        <v>31</v>
      </c>
    </row>
    <row r="2748" spans="1:18" x14ac:dyDescent="0.25">
      <c r="A2748" t="s">
        <v>2939</v>
      </c>
      <c r="B2748" t="s">
        <v>55</v>
      </c>
      <c r="C2748" t="s">
        <v>2916</v>
      </c>
      <c r="D2748" t="s">
        <v>2917</v>
      </c>
      <c r="E2748" t="s">
        <v>78</v>
      </c>
      <c r="F2748" t="s">
        <v>252</v>
      </c>
      <c r="G2748">
        <v>7.2432999999999996</v>
      </c>
      <c r="H2748">
        <v>-76.436099999999996</v>
      </c>
      <c r="I2748" t="s">
        <v>2918</v>
      </c>
      <c r="J2748">
        <v>11</v>
      </c>
      <c r="M2748">
        <v>184</v>
      </c>
      <c r="N2748">
        <v>54</v>
      </c>
      <c r="O2748">
        <v>24</v>
      </c>
      <c r="P2748">
        <v>44</v>
      </c>
      <c r="Q2748">
        <v>26</v>
      </c>
      <c r="R2748">
        <v>36</v>
      </c>
    </row>
    <row r="2749" spans="1:18" x14ac:dyDescent="0.25">
      <c r="A2749" t="s">
        <v>2940</v>
      </c>
      <c r="B2749" t="s">
        <v>55</v>
      </c>
      <c r="C2749" t="s">
        <v>2916</v>
      </c>
      <c r="D2749" t="s">
        <v>2917</v>
      </c>
      <c r="E2749" t="s">
        <v>78</v>
      </c>
      <c r="F2749" t="s">
        <v>252</v>
      </c>
      <c r="G2749">
        <v>7.2432999999999996</v>
      </c>
      <c r="H2749">
        <v>-76.436099999999996</v>
      </c>
      <c r="I2749" t="s">
        <v>2918</v>
      </c>
      <c r="J2749">
        <v>11</v>
      </c>
      <c r="M2749">
        <v>184</v>
      </c>
      <c r="N2749">
        <v>39</v>
      </c>
      <c r="O2749">
        <v>32</v>
      </c>
      <c r="P2749">
        <v>50</v>
      </c>
      <c r="Q2749">
        <v>21</v>
      </c>
      <c r="R2749">
        <v>53</v>
      </c>
    </row>
    <row r="2750" spans="1:18" x14ac:dyDescent="0.25">
      <c r="A2750" t="s">
        <v>2941</v>
      </c>
      <c r="B2750" t="s">
        <v>55</v>
      </c>
      <c r="C2750" t="s">
        <v>2916</v>
      </c>
      <c r="D2750" t="s">
        <v>2917</v>
      </c>
      <c r="E2750" t="s">
        <v>78</v>
      </c>
      <c r="F2750" t="s">
        <v>252</v>
      </c>
      <c r="G2750">
        <v>7.2432999999999996</v>
      </c>
      <c r="H2750">
        <v>-76.436099999999996</v>
      </c>
      <c r="I2750" t="s">
        <v>2918</v>
      </c>
      <c r="J2750">
        <v>11</v>
      </c>
      <c r="M2750">
        <v>176</v>
      </c>
      <c r="N2750">
        <v>44</v>
      </c>
      <c r="O2750">
        <v>22</v>
      </c>
      <c r="P2750">
        <v>52</v>
      </c>
      <c r="Q2750">
        <v>22</v>
      </c>
      <c r="R2750">
        <v>36</v>
      </c>
    </row>
    <row r="2751" spans="1:18" x14ac:dyDescent="0.25">
      <c r="A2751" t="s">
        <v>2942</v>
      </c>
      <c r="B2751" t="s">
        <v>55</v>
      </c>
      <c r="C2751" t="s">
        <v>2916</v>
      </c>
      <c r="D2751" t="s">
        <v>2917</v>
      </c>
      <c r="E2751" t="s">
        <v>78</v>
      </c>
      <c r="F2751" t="s">
        <v>252</v>
      </c>
      <c r="G2751">
        <v>7.2432999999999996</v>
      </c>
      <c r="H2751">
        <v>-76.436099999999996</v>
      </c>
      <c r="I2751" t="s">
        <v>2918</v>
      </c>
      <c r="J2751">
        <v>11</v>
      </c>
      <c r="M2751">
        <v>176</v>
      </c>
      <c r="N2751">
        <v>44</v>
      </c>
      <c r="O2751">
        <v>22</v>
      </c>
      <c r="P2751">
        <v>42</v>
      </c>
      <c r="Q2751">
        <v>31</v>
      </c>
      <c r="R2751">
        <v>40</v>
      </c>
    </row>
    <row r="2752" spans="1:18" x14ac:dyDescent="0.25">
      <c r="A2752" t="s">
        <v>2943</v>
      </c>
      <c r="B2752" t="s">
        <v>55</v>
      </c>
      <c r="C2752" t="s">
        <v>2916</v>
      </c>
      <c r="D2752" t="s">
        <v>2917</v>
      </c>
      <c r="E2752" t="s">
        <v>78</v>
      </c>
      <c r="F2752" t="s">
        <v>252</v>
      </c>
      <c r="G2752">
        <v>7.2432999999999996</v>
      </c>
      <c r="H2752">
        <v>-76.436099999999996</v>
      </c>
      <c r="I2752" t="s">
        <v>2918</v>
      </c>
      <c r="J2752">
        <v>11</v>
      </c>
      <c r="M2752">
        <v>174</v>
      </c>
      <c r="N2752">
        <v>44</v>
      </c>
      <c r="O2752">
        <v>22</v>
      </c>
      <c r="P2752">
        <v>46</v>
      </c>
      <c r="Q2752">
        <v>28</v>
      </c>
      <c r="R2752">
        <v>35</v>
      </c>
    </row>
    <row r="2753" spans="1:18" x14ac:dyDescent="0.25">
      <c r="A2753" t="s">
        <v>2944</v>
      </c>
      <c r="B2753" t="s">
        <v>55</v>
      </c>
      <c r="C2753" t="s">
        <v>2916</v>
      </c>
      <c r="D2753" t="s">
        <v>2917</v>
      </c>
      <c r="E2753" t="s">
        <v>78</v>
      </c>
      <c r="F2753" t="s">
        <v>252</v>
      </c>
      <c r="G2753">
        <v>7.2432999999999996</v>
      </c>
      <c r="H2753">
        <v>-76.436099999999996</v>
      </c>
      <c r="I2753" t="s">
        <v>2918</v>
      </c>
      <c r="J2753">
        <v>11</v>
      </c>
      <c r="M2753">
        <v>174</v>
      </c>
      <c r="N2753">
        <v>37</v>
      </c>
      <c r="O2753">
        <v>20</v>
      </c>
      <c r="P2753">
        <v>58</v>
      </c>
      <c r="Q2753">
        <v>26</v>
      </c>
      <c r="R2753">
        <v>31</v>
      </c>
    </row>
    <row r="2754" spans="1:18" x14ac:dyDescent="0.25">
      <c r="A2754" t="s">
        <v>2945</v>
      </c>
      <c r="B2754" t="s">
        <v>55</v>
      </c>
      <c r="C2754" t="s">
        <v>2916</v>
      </c>
      <c r="D2754" t="s">
        <v>2917</v>
      </c>
      <c r="E2754" t="s">
        <v>78</v>
      </c>
      <c r="F2754" t="s">
        <v>252</v>
      </c>
      <c r="G2754">
        <v>7.2432999999999996</v>
      </c>
      <c r="H2754">
        <v>-76.436099999999996</v>
      </c>
      <c r="I2754" t="s">
        <v>2918</v>
      </c>
      <c r="J2754">
        <v>11</v>
      </c>
      <c r="M2754">
        <v>168</v>
      </c>
      <c r="N2754">
        <v>44</v>
      </c>
      <c r="O2754">
        <v>26</v>
      </c>
      <c r="P2754">
        <v>40</v>
      </c>
      <c r="Q2754">
        <v>24</v>
      </c>
      <c r="R2754">
        <v>35</v>
      </c>
    </row>
    <row r="2755" spans="1:18" x14ac:dyDescent="0.25">
      <c r="A2755" t="s">
        <v>2946</v>
      </c>
      <c r="B2755" t="s">
        <v>55</v>
      </c>
      <c r="C2755" t="s">
        <v>2916</v>
      </c>
      <c r="D2755" t="s">
        <v>2917</v>
      </c>
      <c r="E2755" t="s">
        <v>78</v>
      </c>
      <c r="F2755" t="s">
        <v>252</v>
      </c>
      <c r="G2755">
        <v>7.2432999999999996</v>
      </c>
      <c r="H2755">
        <v>-76.436099999999996</v>
      </c>
      <c r="I2755" t="s">
        <v>2918</v>
      </c>
      <c r="J2755">
        <v>11</v>
      </c>
      <c r="M2755">
        <v>167</v>
      </c>
      <c r="N2755">
        <v>34</v>
      </c>
      <c r="O2755">
        <v>28</v>
      </c>
      <c r="P2755">
        <v>48</v>
      </c>
      <c r="Q2755">
        <v>21</v>
      </c>
      <c r="R2755">
        <v>42</v>
      </c>
    </row>
    <row r="2756" spans="1:18" x14ac:dyDescent="0.25">
      <c r="A2756" t="s">
        <v>2947</v>
      </c>
      <c r="B2756" t="s">
        <v>55</v>
      </c>
      <c r="C2756" t="s">
        <v>2916</v>
      </c>
      <c r="D2756" t="s">
        <v>2917</v>
      </c>
      <c r="E2756" t="s">
        <v>78</v>
      </c>
      <c r="F2756" t="s">
        <v>252</v>
      </c>
      <c r="G2756">
        <v>7.2432999999999996</v>
      </c>
      <c r="H2756">
        <v>-76.436099999999996</v>
      </c>
      <c r="I2756" t="s">
        <v>2918</v>
      </c>
      <c r="J2756">
        <v>11</v>
      </c>
      <c r="M2756">
        <v>165</v>
      </c>
      <c r="N2756">
        <v>39</v>
      </c>
      <c r="O2756">
        <v>26</v>
      </c>
      <c r="P2756">
        <v>34</v>
      </c>
      <c r="Q2756">
        <v>31</v>
      </c>
      <c r="R2756">
        <v>40</v>
      </c>
    </row>
    <row r="2757" spans="1:18" x14ac:dyDescent="0.25">
      <c r="A2757" t="s">
        <v>2948</v>
      </c>
      <c r="B2757" t="s">
        <v>55</v>
      </c>
      <c r="C2757" t="s">
        <v>2916</v>
      </c>
      <c r="D2757" t="s">
        <v>2917</v>
      </c>
      <c r="E2757" t="s">
        <v>78</v>
      </c>
      <c r="F2757" t="s">
        <v>252</v>
      </c>
      <c r="G2757">
        <v>7.2432999999999996</v>
      </c>
      <c r="H2757">
        <v>-76.436099999999996</v>
      </c>
      <c r="I2757" t="s">
        <v>2918</v>
      </c>
      <c r="J2757">
        <v>11</v>
      </c>
      <c r="M2757">
        <v>164</v>
      </c>
      <c r="N2757">
        <v>34</v>
      </c>
      <c r="O2757">
        <v>20</v>
      </c>
      <c r="P2757">
        <v>44</v>
      </c>
      <c r="Q2757">
        <v>31</v>
      </c>
      <c r="R2757">
        <v>40</v>
      </c>
    </row>
    <row r="2758" spans="1:18" x14ac:dyDescent="0.25">
      <c r="A2758" t="s">
        <v>2949</v>
      </c>
      <c r="B2758" t="s">
        <v>55</v>
      </c>
      <c r="C2758" t="s">
        <v>2916</v>
      </c>
      <c r="D2758" t="s">
        <v>2917</v>
      </c>
      <c r="E2758" t="s">
        <v>78</v>
      </c>
      <c r="F2758" t="s">
        <v>252</v>
      </c>
      <c r="G2758">
        <v>7.2432999999999996</v>
      </c>
      <c r="H2758">
        <v>-76.436099999999996</v>
      </c>
      <c r="I2758" t="s">
        <v>2918</v>
      </c>
      <c r="J2758">
        <v>11</v>
      </c>
      <c r="M2758">
        <v>164</v>
      </c>
      <c r="N2758">
        <v>39</v>
      </c>
      <c r="O2758">
        <v>22</v>
      </c>
      <c r="P2758">
        <v>34</v>
      </c>
      <c r="Q2758">
        <v>34</v>
      </c>
      <c r="R2758">
        <v>38</v>
      </c>
    </row>
    <row r="2759" spans="1:18" x14ac:dyDescent="0.25">
      <c r="A2759" t="s">
        <v>2950</v>
      </c>
      <c r="B2759" t="s">
        <v>55</v>
      </c>
      <c r="C2759" t="s">
        <v>2916</v>
      </c>
      <c r="D2759" t="s">
        <v>2917</v>
      </c>
      <c r="E2759" t="s">
        <v>78</v>
      </c>
      <c r="F2759" t="s">
        <v>252</v>
      </c>
      <c r="G2759">
        <v>7.2432999999999996</v>
      </c>
      <c r="H2759">
        <v>-76.436099999999996</v>
      </c>
      <c r="I2759" t="s">
        <v>2918</v>
      </c>
      <c r="J2759">
        <v>11</v>
      </c>
      <c r="M2759">
        <v>159</v>
      </c>
      <c r="N2759">
        <v>46</v>
      </c>
      <c r="O2759">
        <v>26</v>
      </c>
      <c r="P2759">
        <v>36</v>
      </c>
      <c r="Q2759">
        <v>19</v>
      </c>
      <c r="R2759">
        <v>33</v>
      </c>
    </row>
    <row r="2760" spans="1:18" x14ac:dyDescent="0.25">
      <c r="A2760" t="s">
        <v>2951</v>
      </c>
      <c r="B2760" t="s">
        <v>55</v>
      </c>
      <c r="C2760" t="s">
        <v>2916</v>
      </c>
      <c r="D2760" t="s">
        <v>2917</v>
      </c>
      <c r="E2760" t="s">
        <v>78</v>
      </c>
      <c r="F2760" t="s">
        <v>252</v>
      </c>
      <c r="G2760">
        <v>7.2432999999999996</v>
      </c>
      <c r="H2760">
        <v>-76.436099999999996</v>
      </c>
      <c r="I2760" t="s">
        <v>2918</v>
      </c>
      <c r="J2760">
        <v>11</v>
      </c>
      <c r="M2760">
        <v>158</v>
      </c>
      <c r="N2760">
        <v>37</v>
      </c>
      <c r="O2760">
        <v>26</v>
      </c>
      <c r="P2760">
        <v>32</v>
      </c>
      <c r="Q2760">
        <v>29</v>
      </c>
      <c r="R2760">
        <v>38</v>
      </c>
    </row>
    <row r="2761" spans="1:18" x14ac:dyDescent="0.25">
      <c r="A2761" t="s">
        <v>2952</v>
      </c>
      <c r="B2761" t="s">
        <v>55</v>
      </c>
      <c r="C2761" t="s">
        <v>2916</v>
      </c>
      <c r="D2761" t="s">
        <v>2917</v>
      </c>
      <c r="E2761" t="s">
        <v>78</v>
      </c>
      <c r="F2761" t="s">
        <v>252</v>
      </c>
      <c r="G2761">
        <v>7.2432999999999996</v>
      </c>
      <c r="H2761">
        <v>-76.436099999999996</v>
      </c>
      <c r="I2761" t="s">
        <v>2918</v>
      </c>
      <c r="J2761">
        <v>11</v>
      </c>
      <c r="M2761">
        <v>156</v>
      </c>
      <c r="N2761">
        <v>34</v>
      </c>
      <c r="O2761">
        <v>30</v>
      </c>
      <c r="P2761">
        <v>38</v>
      </c>
      <c r="Q2761">
        <v>22</v>
      </c>
      <c r="R2761">
        <v>31</v>
      </c>
    </row>
    <row r="2762" spans="1:18" x14ac:dyDescent="0.25">
      <c r="A2762" t="s">
        <v>2953</v>
      </c>
      <c r="B2762" t="s">
        <v>55</v>
      </c>
      <c r="C2762" t="s">
        <v>2916</v>
      </c>
      <c r="D2762" t="s">
        <v>2917</v>
      </c>
      <c r="E2762" t="s">
        <v>78</v>
      </c>
      <c r="F2762" t="s">
        <v>252</v>
      </c>
      <c r="G2762">
        <v>7.2432999999999996</v>
      </c>
      <c r="H2762">
        <v>-76.436099999999996</v>
      </c>
      <c r="I2762" t="s">
        <v>2918</v>
      </c>
      <c r="J2762">
        <v>11</v>
      </c>
      <c r="M2762">
        <v>155</v>
      </c>
      <c r="N2762">
        <v>32</v>
      </c>
      <c r="O2762">
        <v>24</v>
      </c>
      <c r="P2762">
        <v>36</v>
      </c>
      <c r="Q2762">
        <v>34</v>
      </c>
      <c r="R2762">
        <v>25</v>
      </c>
    </row>
    <row r="2763" spans="1:18" x14ac:dyDescent="0.25">
      <c r="A2763" t="s">
        <v>2954</v>
      </c>
      <c r="B2763" t="s">
        <v>55</v>
      </c>
      <c r="C2763" t="s">
        <v>2916</v>
      </c>
      <c r="D2763" t="s">
        <v>2917</v>
      </c>
      <c r="E2763" t="s">
        <v>78</v>
      </c>
      <c r="F2763" t="s">
        <v>252</v>
      </c>
      <c r="G2763">
        <v>7.2432999999999996</v>
      </c>
      <c r="H2763">
        <v>-76.436099999999996</v>
      </c>
      <c r="I2763" t="s">
        <v>2918</v>
      </c>
      <c r="J2763">
        <v>11</v>
      </c>
      <c r="M2763">
        <v>153</v>
      </c>
      <c r="N2763">
        <v>27</v>
      </c>
      <c r="O2763">
        <v>24</v>
      </c>
      <c r="P2763">
        <v>40</v>
      </c>
      <c r="Q2763">
        <v>31</v>
      </c>
      <c r="R2763">
        <v>31</v>
      </c>
    </row>
    <row r="2764" spans="1:18" x14ac:dyDescent="0.25">
      <c r="A2764" t="s">
        <v>2955</v>
      </c>
      <c r="B2764" t="s">
        <v>55</v>
      </c>
      <c r="C2764" t="s">
        <v>2916</v>
      </c>
      <c r="D2764" t="s">
        <v>2917</v>
      </c>
      <c r="E2764" t="s">
        <v>78</v>
      </c>
      <c r="F2764" t="s">
        <v>252</v>
      </c>
      <c r="G2764">
        <v>7.2432999999999996</v>
      </c>
      <c r="H2764">
        <v>-76.436099999999996</v>
      </c>
      <c r="I2764" t="s">
        <v>2918</v>
      </c>
      <c r="J2764">
        <v>11</v>
      </c>
      <c r="M2764">
        <v>152</v>
      </c>
      <c r="N2764">
        <v>34</v>
      </c>
      <c r="O2764">
        <v>16</v>
      </c>
      <c r="P2764">
        <v>44</v>
      </c>
      <c r="Q2764">
        <v>24</v>
      </c>
      <c r="R2764">
        <v>40</v>
      </c>
    </row>
    <row r="2765" spans="1:18" x14ac:dyDescent="0.25">
      <c r="A2765" t="s">
        <v>2956</v>
      </c>
      <c r="B2765" t="s">
        <v>55</v>
      </c>
      <c r="C2765" t="s">
        <v>2916</v>
      </c>
      <c r="D2765" t="s">
        <v>2917</v>
      </c>
      <c r="E2765" t="s">
        <v>78</v>
      </c>
      <c r="F2765" t="s">
        <v>252</v>
      </c>
      <c r="G2765">
        <v>7.2432999999999996</v>
      </c>
      <c r="H2765">
        <v>-76.436099999999996</v>
      </c>
      <c r="I2765" t="s">
        <v>2918</v>
      </c>
      <c r="J2765">
        <v>11</v>
      </c>
      <c r="M2765">
        <v>151</v>
      </c>
      <c r="N2765">
        <v>39</v>
      </c>
      <c r="O2765">
        <v>18</v>
      </c>
      <c r="P2765">
        <v>38</v>
      </c>
      <c r="Q2765">
        <v>24</v>
      </c>
      <c r="R2765">
        <v>35</v>
      </c>
    </row>
    <row r="2766" spans="1:18" x14ac:dyDescent="0.25">
      <c r="A2766" t="s">
        <v>2957</v>
      </c>
      <c r="B2766" t="s">
        <v>55</v>
      </c>
      <c r="C2766" t="s">
        <v>2916</v>
      </c>
      <c r="D2766" t="s">
        <v>2917</v>
      </c>
      <c r="E2766" t="s">
        <v>78</v>
      </c>
      <c r="F2766" t="s">
        <v>252</v>
      </c>
      <c r="G2766">
        <v>7.2432999999999996</v>
      </c>
      <c r="H2766">
        <v>-76.436099999999996</v>
      </c>
      <c r="I2766" t="s">
        <v>2918</v>
      </c>
      <c r="J2766">
        <v>11</v>
      </c>
      <c r="M2766">
        <v>148</v>
      </c>
      <c r="N2766">
        <v>37</v>
      </c>
      <c r="O2766">
        <v>16</v>
      </c>
      <c r="P2766">
        <v>36</v>
      </c>
      <c r="Q2766">
        <v>26</v>
      </c>
      <c r="R2766">
        <v>42</v>
      </c>
    </row>
    <row r="2767" spans="1:18" x14ac:dyDescent="0.25">
      <c r="A2767" t="s">
        <v>2958</v>
      </c>
      <c r="B2767" t="s">
        <v>55</v>
      </c>
      <c r="C2767" t="s">
        <v>2916</v>
      </c>
      <c r="D2767" t="s">
        <v>2917</v>
      </c>
      <c r="E2767" t="s">
        <v>78</v>
      </c>
      <c r="F2767" t="s">
        <v>252</v>
      </c>
      <c r="G2767">
        <v>7.2432999999999996</v>
      </c>
      <c r="H2767">
        <v>-76.436099999999996</v>
      </c>
      <c r="I2767" t="s">
        <v>2918</v>
      </c>
      <c r="J2767">
        <v>11</v>
      </c>
      <c r="M2767">
        <v>148</v>
      </c>
      <c r="N2767">
        <v>44</v>
      </c>
      <c r="O2767">
        <v>26</v>
      </c>
      <c r="P2767">
        <v>30</v>
      </c>
      <c r="Q2767">
        <v>16</v>
      </c>
      <c r="R2767">
        <v>38</v>
      </c>
    </row>
    <row r="2768" spans="1:18" x14ac:dyDescent="0.25">
      <c r="A2768" t="s">
        <v>2959</v>
      </c>
      <c r="B2768" t="s">
        <v>55</v>
      </c>
      <c r="C2768" t="s">
        <v>2916</v>
      </c>
      <c r="D2768" t="s">
        <v>2917</v>
      </c>
      <c r="E2768" t="s">
        <v>78</v>
      </c>
      <c r="F2768" t="s">
        <v>252</v>
      </c>
      <c r="G2768">
        <v>7.2432999999999996</v>
      </c>
      <c r="H2768">
        <v>-76.436099999999996</v>
      </c>
      <c r="I2768" t="s">
        <v>2918</v>
      </c>
      <c r="J2768">
        <v>11</v>
      </c>
      <c r="M2768">
        <v>147</v>
      </c>
      <c r="N2768">
        <v>37</v>
      </c>
      <c r="O2768">
        <v>34</v>
      </c>
      <c r="P2768">
        <v>30</v>
      </c>
      <c r="Q2768">
        <v>16</v>
      </c>
      <c r="R2768">
        <v>33</v>
      </c>
    </row>
    <row r="2769" spans="1:18" x14ac:dyDescent="0.25">
      <c r="A2769" t="s">
        <v>2960</v>
      </c>
      <c r="B2769" t="s">
        <v>55</v>
      </c>
      <c r="C2769" t="s">
        <v>2916</v>
      </c>
      <c r="D2769" t="s">
        <v>2917</v>
      </c>
      <c r="E2769" t="s">
        <v>78</v>
      </c>
      <c r="F2769" t="s">
        <v>252</v>
      </c>
      <c r="G2769">
        <v>7.2432999999999996</v>
      </c>
      <c r="H2769">
        <v>-76.436099999999996</v>
      </c>
      <c r="I2769" t="s">
        <v>2918</v>
      </c>
      <c r="J2769">
        <v>11</v>
      </c>
      <c r="M2769">
        <v>146</v>
      </c>
      <c r="N2769">
        <v>29</v>
      </c>
      <c r="O2769">
        <v>30</v>
      </c>
      <c r="P2769">
        <v>32</v>
      </c>
      <c r="Q2769">
        <v>22</v>
      </c>
      <c r="R2769">
        <v>38</v>
      </c>
    </row>
    <row r="2770" spans="1:18" x14ac:dyDescent="0.25">
      <c r="A2770" t="s">
        <v>2961</v>
      </c>
      <c r="B2770" t="s">
        <v>55</v>
      </c>
      <c r="C2770" t="s">
        <v>2916</v>
      </c>
      <c r="D2770" t="s">
        <v>2917</v>
      </c>
      <c r="E2770" t="s">
        <v>78</v>
      </c>
      <c r="F2770" t="s">
        <v>252</v>
      </c>
      <c r="G2770">
        <v>7.2432999999999996</v>
      </c>
      <c r="H2770">
        <v>-76.436099999999996</v>
      </c>
      <c r="I2770" t="s">
        <v>2918</v>
      </c>
      <c r="J2770">
        <v>11</v>
      </c>
      <c r="M2770">
        <v>144</v>
      </c>
      <c r="N2770">
        <v>29</v>
      </c>
      <c r="O2770">
        <v>24</v>
      </c>
      <c r="P2770">
        <v>40</v>
      </c>
      <c r="Q2770">
        <v>21</v>
      </c>
      <c r="R2770">
        <v>33</v>
      </c>
    </row>
    <row r="2771" spans="1:18" x14ac:dyDescent="0.25">
      <c r="A2771" t="s">
        <v>2962</v>
      </c>
      <c r="B2771" t="s">
        <v>55</v>
      </c>
      <c r="C2771" t="s">
        <v>2916</v>
      </c>
      <c r="D2771" t="s">
        <v>2917</v>
      </c>
      <c r="E2771" t="s">
        <v>78</v>
      </c>
      <c r="F2771" t="s">
        <v>252</v>
      </c>
      <c r="G2771">
        <v>7.2432999999999996</v>
      </c>
      <c r="H2771">
        <v>-76.436099999999996</v>
      </c>
      <c r="I2771" t="s">
        <v>2918</v>
      </c>
      <c r="J2771">
        <v>11</v>
      </c>
      <c r="M2771">
        <v>142</v>
      </c>
      <c r="N2771">
        <v>29</v>
      </c>
      <c r="O2771">
        <v>18</v>
      </c>
      <c r="P2771">
        <v>30</v>
      </c>
      <c r="Q2771">
        <v>34</v>
      </c>
      <c r="R2771">
        <v>35</v>
      </c>
    </row>
    <row r="2772" spans="1:18" x14ac:dyDescent="0.25">
      <c r="A2772" t="s">
        <v>2963</v>
      </c>
      <c r="B2772" t="s">
        <v>55</v>
      </c>
      <c r="C2772" t="s">
        <v>2916</v>
      </c>
      <c r="D2772" t="s">
        <v>2917</v>
      </c>
      <c r="E2772" t="s">
        <v>78</v>
      </c>
      <c r="F2772" t="s">
        <v>252</v>
      </c>
      <c r="G2772">
        <v>7.2432999999999996</v>
      </c>
      <c r="H2772">
        <v>-76.436099999999996</v>
      </c>
      <c r="I2772" t="s">
        <v>2918</v>
      </c>
      <c r="J2772">
        <v>11</v>
      </c>
      <c r="M2772">
        <v>140</v>
      </c>
      <c r="N2772">
        <v>24</v>
      </c>
      <c r="O2772">
        <v>22</v>
      </c>
      <c r="P2772">
        <v>46</v>
      </c>
      <c r="Q2772">
        <v>21</v>
      </c>
      <c r="R2772">
        <v>24</v>
      </c>
    </row>
    <row r="2773" spans="1:18" x14ac:dyDescent="0.25">
      <c r="A2773" t="s">
        <v>2964</v>
      </c>
      <c r="B2773" t="s">
        <v>55</v>
      </c>
      <c r="C2773" t="s">
        <v>2916</v>
      </c>
      <c r="D2773" t="s">
        <v>2917</v>
      </c>
      <c r="E2773" t="s">
        <v>78</v>
      </c>
      <c r="F2773" t="s">
        <v>252</v>
      </c>
      <c r="G2773">
        <v>7.2432999999999996</v>
      </c>
      <c r="H2773">
        <v>-76.436099999999996</v>
      </c>
      <c r="I2773" t="s">
        <v>2918</v>
      </c>
      <c r="J2773">
        <v>11</v>
      </c>
      <c r="M2773">
        <v>138</v>
      </c>
      <c r="N2773">
        <v>27</v>
      </c>
      <c r="O2773">
        <v>18</v>
      </c>
      <c r="P2773">
        <v>48</v>
      </c>
      <c r="Q2773">
        <v>16</v>
      </c>
      <c r="R2773">
        <v>35</v>
      </c>
    </row>
    <row r="2774" spans="1:18" x14ac:dyDescent="0.25">
      <c r="A2774" t="s">
        <v>2965</v>
      </c>
      <c r="B2774" t="s">
        <v>55</v>
      </c>
      <c r="C2774" t="s">
        <v>2916</v>
      </c>
      <c r="D2774" t="s">
        <v>2917</v>
      </c>
      <c r="E2774" t="s">
        <v>78</v>
      </c>
      <c r="F2774" t="s">
        <v>252</v>
      </c>
      <c r="G2774">
        <v>7.2432999999999996</v>
      </c>
      <c r="H2774">
        <v>-76.436099999999996</v>
      </c>
      <c r="I2774" t="s">
        <v>2918</v>
      </c>
      <c r="J2774">
        <v>11</v>
      </c>
      <c r="M2774">
        <v>137</v>
      </c>
      <c r="N2774">
        <v>24</v>
      </c>
      <c r="O2774">
        <v>28</v>
      </c>
      <c r="P2774">
        <v>34</v>
      </c>
      <c r="Q2774">
        <v>17</v>
      </c>
      <c r="R2774">
        <v>45</v>
      </c>
    </row>
    <row r="2775" spans="1:18" x14ac:dyDescent="0.25">
      <c r="A2775" t="s">
        <v>2966</v>
      </c>
      <c r="B2775" t="s">
        <v>55</v>
      </c>
      <c r="C2775" t="s">
        <v>2916</v>
      </c>
      <c r="D2775" t="s">
        <v>2917</v>
      </c>
      <c r="E2775" t="s">
        <v>78</v>
      </c>
      <c r="F2775" t="s">
        <v>252</v>
      </c>
      <c r="G2775">
        <v>7.2432999999999996</v>
      </c>
      <c r="H2775">
        <v>-76.436099999999996</v>
      </c>
      <c r="I2775" t="s">
        <v>2918</v>
      </c>
      <c r="J2775">
        <v>11</v>
      </c>
      <c r="M2775">
        <v>135</v>
      </c>
      <c r="N2775">
        <v>39</v>
      </c>
      <c r="O2775">
        <v>18</v>
      </c>
      <c r="P2775">
        <v>34</v>
      </c>
      <c r="Q2775">
        <v>16</v>
      </c>
      <c r="R2775">
        <v>31</v>
      </c>
    </row>
    <row r="2776" spans="1:18" x14ac:dyDescent="0.25">
      <c r="A2776" t="s">
        <v>2967</v>
      </c>
      <c r="B2776" t="s">
        <v>55</v>
      </c>
      <c r="C2776" t="s">
        <v>2916</v>
      </c>
      <c r="D2776" t="s">
        <v>2917</v>
      </c>
      <c r="E2776" t="s">
        <v>78</v>
      </c>
      <c r="F2776" t="s">
        <v>252</v>
      </c>
      <c r="G2776">
        <v>7.2432999999999996</v>
      </c>
      <c r="H2776">
        <v>-76.436099999999996</v>
      </c>
      <c r="I2776" t="s">
        <v>2918</v>
      </c>
      <c r="J2776">
        <v>11</v>
      </c>
      <c r="M2776">
        <v>127</v>
      </c>
      <c r="N2776">
        <v>20</v>
      </c>
      <c r="O2776">
        <v>16</v>
      </c>
      <c r="P2776">
        <v>38</v>
      </c>
      <c r="Q2776">
        <v>31</v>
      </c>
      <c r="R2776">
        <v>16</v>
      </c>
    </row>
    <row r="2777" spans="1:18" x14ac:dyDescent="0.25">
      <c r="A2777" t="s">
        <v>2968</v>
      </c>
      <c r="B2777" t="s">
        <v>55</v>
      </c>
      <c r="C2777" t="s">
        <v>2916</v>
      </c>
      <c r="D2777" t="s">
        <v>2917</v>
      </c>
      <c r="E2777" t="s">
        <v>78</v>
      </c>
      <c r="F2777" t="s">
        <v>252</v>
      </c>
      <c r="G2777">
        <v>7.2432999999999996</v>
      </c>
      <c r="H2777">
        <v>-76.436099999999996</v>
      </c>
      <c r="I2777" t="s">
        <v>2918</v>
      </c>
      <c r="J2777">
        <v>11</v>
      </c>
      <c r="M2777">
        <v>119</v>
      </c>
      <c r="N2777">
        <v>27</v>
      </c>
      <c r="O2777">
        <v>22</v>
      </c>
      <c r="P2777">
        <v>18</v>
      </c>
      <c r="Q2777">
        <v>24</v>
      </c>
      <c r="R2777">
        <v>36</v>
      </c>
    </row>
    <row r="2778" spans="1:18" x14ac:dyDescent="0.25">
      <c r="A2778" t="s">
        <v>2969</v>
      </c>
      <c r="B2778" t="s">
        <v>55</v>
      </c>
      <c r="C2778" t="s">
        <v>2916</v>
      </c>
      <c r="D2778" t="s">
        <v>2917</v>
      </c>
      <c r="E2778" t="s">
        <v>78</v>
      </c>
      <c r="F2778" t="s">
        <v>252</v>
      </c>
      <c r="G2778">
        <v>7.2432999999999996</v>
      </c>
      <c r="H2778">
        <v>-76.436099999999996</v>
      </c>
      <c r="I2778" t="s">
        <v>2918</v>
      </c>
      <c r="J2778">
        <v>11</v>
      </c>
      <c r="M2778">
        <v>119</v>
      </c>
      <c r="N2778">
        <v>37</v>
      </c>
      <c r="O2778">
        <v>14</v>
      </c>
      <c r="P2778">
        <v>12</v>
      </c>
      <c r="Q2778">
        <v>29</v>
      </c>
      <c r="R2778">
        <v>33</v>
      </c>
    </row>
    <row r="2779" spans="1:18" x14ac:dyDescent="0.25">
      <c r="A2779" t="s">
        <v>2970</v>
      </c>
      <c r="B2779" t="s">
        <v>55</v>
      </c>
      <c r="C2779" t="s">
        <v>2916</v>
      </c>
      <c r="D2779" t="s">
        <v>2917</v>
      </c>
      <c r="E2779" t="s">
        <v>78</v>
      </c>
      <c r="F2779" t="s">
        <v>252</v>
      </c>
      <c r="G2779">
        <v>7.2432999999999996</v>
      </c>
      <c r="H2779">
        <v>-76.436099999999996</v>
      </c>
      <c r="I2779" t="s">
        <v>2918</v>
      </c>
      <c r="J2779">
        <v>11</v>
      </c>
      <c r="M2779">
        <v>116</v>
      </c>
      <c r="N2779">
        <v>32</v>
      </c>
      <c r="O2779">
        <v>16</v>
      </c>
      <c r="P2779">
        <v>20</v>
      </c>
      <c r="Q2779">
        <v>17</v>
      </c>
      <c r="R2779">
        <v>45</v>
      </c>
    </row>
    <row r="2780" spans="1:18" x14ac:dyDescent="0.25">
      <c r="A2780" t="s">
        <v>2971</v>
      </c>
      <c r="B2780" t="s">
        <v>55</v>
      </c>
      <c r="C2780" t="s">
        <v>2916</v>
      </c>
      <c r="D2780" t="s">
        <v>2917</v>
      </c>
      <c r="E2780" t="s">
        <v>78</v>
      </c>
      <c r="F2780" t="s">
        <v>252</v>
      </c>
      <c r="G2780">
        <v>7.2432999999999996</v>
      </c>
      <c r="H2780">
        <v>-76.436099999999996</v>
      </c>
      <c r="I2780" t="s">
        <v>2918</v>
      </c>
      <c r="J2780">
        <v>11</v>
      </c>
      <c r="M2780">
        <v>98</v>
      </c>
      <c r="N2780">
        <v>22</v>
      </c>
      <c r="O2780">
        <v>20</v>
      </c>
      <c r="P2780">
        <v>14</v>
      </c>
      <c r="Q2780">
        <v>19</v>
      </c>
      <c r="R2780">
        <v>29</v>
      </c>
    </row>
    <row r="2781" spans="1:18" x14ac:dyDescent="0.25">
      <c r="A2781" t="s">
        <v>2972</v>
      </c>
      <c r="B2781" t="s">
        <v>55</v>
      </c>
      <c r="C2781" t="s">
        <v>2916</v>
      </c>
      <c r="D2781" t="s">
        <v>2917</v>
      </c>
      <c r="E2781" t="s">
        <v>78</v>
      </c>
      <c r="F2781" t="s">
        <v>252</v>
      </c>
      <c r="G2781">
        <v>7.2432999999999996</v>
      </c>
      <c r="H2781">
        <v>-76.436099999999996</v>
      </c>
      <c r="I2781" t="s">
        <v>2918</v>
      </c>
      <c r="J2781">
        <v>11</v>
      </c>
      <c r="M2781">
        <v>90</v>
      </c>
      <c r="N2781">
        <v>20</v>
      </c>
      <c r="O2781">
        <v>16</v>
      </c>
      <c r="P2781">
        <v>22</v>
      </c>
      <c r="Q2781">
        <v>7</v>
      </c>
      <c r="R2781">
        <v>40</v>
      </c>
    </row>
    <row r="2782" spans="1:18" x14ac:dyDescent="0.25">
      <c r="A2782" t="s">
        <v>2973</v>
      </c>
      <c r="B2782" t="s">
        <v>55</v>
      </c>
      <c r="C2782" t="s">
        <v>2974</v>
      </c>
      <c r="D2782" t="s">
        <v>2975</v>
      </c>
      <c r="E2782" t="s">
        <v>78</v>
      </c>
      <c r="F2782" t="s">
        <v>252</v>
      </c>
      <c r="G2782">
        <v>6.9786000000000001</v>
      </c>
      <c r="H2782">
        <v>-75.296099999999996</v>
      </c>
      <c r="I2782" t="s">
        <v>2976</v>
      </c>
      <c r="J2782">
        <v>11</v>
      </c>
      <c r="M2782">
        <v>262</v>
      </c>
      <c r="N2782">
        <v>66</v>
      </c>
      <c r="O2782">
        <v>34</v>
      </c>
      <c r="P2782">
        <v>60</v>
      </c>
      <c r="Q2782">
        <v>38</v>
      </c>
      <c r="R2782">
        <v>87</v>
      </c>
    </row>
    <row r="2783" spans="1:18" x14ac:dyDescent="0.25">
      <c r="A2783" t="s">
        <v>2977</v>
      </c>
      <c r="B2783" t="s">
        <v>55</v>
      </c>
      <c r="C2783" t="s">
        <v>2974</v>
      </c>
      <c r="D2783" t="s">
        <v>2975</v>
      </c>
      <c r="E2783" t="s">
        <v>78</v>
      </c>
      <c r="F2783" t="s">
        <v>252</v>
      </c>
      <c r="G2783">
        <v>6.9786000000000001</v>
      </c>
      <c r="H2783">
        <v>-75.296099999999996</v>
      </c>
      <c r="I2783" t="s">
        <v>2976</v>
      </c>
      <c r="J2783">
        <v>11</v>
      </c>
      <c r="M2783">
        <v>220</v>
      </c>
      <c r="N2783">
        <v>61</v>
      </c>
      <c r="O2783">
        <v>28</v>
      </c>
      <c r="P2783">
        <v>52</v>
      </c>
      <c r="Q2783">
        <v>31</v>
      </c>
      <c r="R2783">
        <v>56</v>
      </c>
    </row>
    <row r="2784" spans="1:18" x14ac:dyDescent="0.25">
      <c r="A2784" t="s">
        <v>2978</v>
      </c>
      <c r="B2784" t="s">
        <v>55</v>
      </c>
      <c r="C2784" t="s">
        <v>2974</v>
      </c>
      <c r="D2784" t="s">
        <v>2975</v>
      </c>
      <c r="E2784" t="s">
        <v>78</v>
      </c>
      <c r="F2784" t="s">
        <v>252</v>
      </c>
      <c r="G2784">
        <v>6.9786000000000001</v>
      </c>
      <c r="H2784">
        <v>-75.296099999999996</v>
      </c>
      <c r="I2784" t="s">
        <v>2976</v>
      </c>
      <c r="J2784">
        <v>11</v>
      </c>
      <c r="M2784">
        <v>211</v>
      </c>
      <c r="N2784">
        <v>49</v>
      </c>
      <c r="O2784">
        <v>26</v>
      </c>
      <c r="P2784">
        <v>60</v>
      </c>
      <c r="Q2784">
        <v>28</v>
      </c>
      <c r="R2784">
        <v>62</v>
      </c>
    </row>
    <row r="2785" spans="1:18" x14ac:dyDescent="0.25">
      <c r="A2785" t="s">
        <v>2979</v>
      </c>
      <c r="B2785" t="s">
        <v>55</v>
      </c>
      <c r="C2785" t="s">
        <v>2974</v>
      </c>
      <c r="D2785" t="s">
        <v>2975</v>
      </c>
      <c r="E2785" t="s">
        <v>78</v>
      </c>
      <c r="F2785" t="s">
        <v>252</v>
      </c>
      <c r="G2785">
        <v>6.9786000000000001</v>
      </c>
      <c r="H2785">
        <v>-75.296099999999996</v>
      </c>
      <c r="I2785" t="s">
        <v>2976</v>
      </c>
      <c r="J2785">
        <v>11</v>
      </c>
      <c r="M2785">
        <v>200</v>
      </c>
      <c r="N2785">
        <v>46</v>
      </c>
      <c r="O2785">
        <v>28</v>
      </c>
      <c r="P2785">
        <v>56</v>
      </c>
      <c r="Q2785">
        <v>29</v>
      </c>
      <c r="R2785">
        <v>42</v>
      </c>
    </row>
    <row r="2786" spans="1:18" x14ac:dyDescent="0.25">
      <c r="A2786" t="s">
        <v>2980</v>
      </c>
      <c r="B2786" t="s">
        <v>55</v>
      </c>
      <c r="C2786" t="s">
        <v>2974</v>
      </c>
      <c r="D2786" t="s">
        <v>2975</v>
      </c>
      <c r="E2786" t="s">
        <v>78</v>
      </c>
      <c r="F2786" t="s">
        <v>252</v>
      </c>
      <c r="G2786">
        <v>6.9786000000000001</v>
      </c>
      <c r="H2786">
        <v>-75.296099999999996</v>
      </c>
      <c r="I2786" t="s">
        <v>2976</v>
      </c>
      <c r="J2786">
        <v>11</v>
      </c>
      <c r="M2786">
        <v>200</v>
      </c>
      <c r="N2786">
        <v>51</v>
      </c>
      <c r="O2786">
        <v>30</v>
      </c>
      <c r="P2786">
        <v>52</v>
      </c>
      <c r="Q2786">
        <v>28</v>
      </c>
      <c r="R2786">
        <v>38</v>
      </c>
    </row>
    <row r="2787" spans="1:18" x14ac:dyDescent="0.25">
      <c r="A2787" t="s">
        <v>2981</v>
      </c>
      <c r="B2787" t="s">
        <v>55</v>
      </c>
      <c r="C2787" t="s">
        <v>2974</v>
      </c>
      <c r="D2787" t="s">
        <v>2975</v>
      </c>
      <c r="E2787" t="s">
        <v>78</v>
      </c>
      <c r="F2787" t="s">
        <v>252</v>
      </c>
      <c r="G2787">
        <v>6.9786000000000001</v>
      </c>
      <c r="H2787">
        <v>-75.296099999999996</v>
      </c>
      <c r="I2787" t="s">
        <v>2976</v>
      </c>
      <c r="J2787">
        <v>11</v>
      </c>
      <c r="M2787">
        <v>197</v>
      </c>
      <c r="N2787">
        <v>41</v>
      </c>
      <c r="O2787">
        <v>26</v>
      </c>
      <c r="P2787">
        <v>60</v>
      </c>
      <c r="Q2787">
        <v>24</v>
      </c>
      <c r="R2787">
        <v>58</v>
      </c>
    </row>
    <row r="2788" spans="1:18" x14ac:dyDescent="0.25">
      <c r="A2788" t="s">
        <v>2982</v>
      </c>
      <c r="B2788" t="s">
        <v>55</v>
      </c>
      <c r="C2788" t="s">
        <v>2974</v>
      </c>
      <c r="D2788" t="s">
        <v>2975</v>
      </c>
      <c r="E2788" t="s">
        <v>78</v>
      </c>
      <c r="F2788" t="s">
        <v>252</v>
      </c>
      <c r="G2788">
        <v>6.9786000000000001</v>
      </c>
      <c r="H2788">
        <v>-75.296099999999996</v>
      </c>
      <c r="I2788" t="s">
        <v>2976</v>
      </c>
      <c r="J2788">
        <v>11</v>
      </c>
      <c r="M2788">
        <v>193</v>
      </c>
      <c r="N2788">
        <v>46</v>
      </c>
      <c r="O2788">
        <v>32</v>
      </c>
      <c r="P2788">
        <v>44</v>
      </c>
      <c r="Q2788">
        <v>33</v>
      </c>
      <c r="R2788">
        <v>36</v>
      </c>
    </row>
    <row r="2789" spans="1:18" x14ac:dyDescent="0.25">
      <c r="A2789" t="s">
        <v>2983</v>
      </c>
      <c r="B2789" t="s">
        <v>55</v>
      </c>
      <c r="C2789" t="s">
        <v>2974</v>
      </c>
      <c r="D2789" t="s">
        <v>2975</v>
      </c>
      <c r="E2789" t="s">
        <v>78</v>
      </c>
      <c r="F2789" t="s">
        <v>252</v>
      </c>
      <c r="G2789">
        <v>6.9786000000000001</v>
      </c>
      <c r="H2789">
        <v>-75.296099999999996</v>
      </c>
      <c r="I2789" t="s">
        <v>2976</v>
      </c>
      <c r="J2789">
        <v>11</v>
      </c>
      <c r="M2789">
        <v>192</v>
      </c>
      <c r="N2789">
        <v>39</v>
      </c>
      <c r="O2789">
        <v>22</v>
      </c>
      <c r="P2789">
        <v>60</v>
      </c>
      <c r="Q2789">
        <v>24</v>
      </c>
      <c r="R2789">
        <v>64</v>
      </c>
    </row>
    <row r="2790" spans="1:18" x14ac:dyDescent="0.25">
      <c r="A2790" t="s">
        <v>2984</v>
      </c>
      <c r="B2790" t="s">
        <v>55</v>
      </c>
      <c r="C2790" t="s">
        <v>2974</v>
      </c>
      <c r="D2790" t="s">
        <v>2975</v>
      </c>
      <c r="E2790" t="s">
        <v>78</v>
      </c>
      <c r="F2790" t="s">
        <v>252</v>
      </c>
      <c r="G2790">
        <v>6.9786000000000001</v>
      </c>
      <c r="H2790">
        <v>-75.296099999999996</v>
      </c>
      <c r="I2790" t="s">
        <v>2976</v>
      </c>
      <c r="J2790">
        <v>11</v>
      </c>
      <c r="M2790">
        <v>186</v>
      </c>
      <c r="N2790">
        <v>44</v>
      </c>
      <c r="O2790">
        <v>20</v>
      </c>
      <c r="P2790">
        <v>56</v>
      </c>
      <c r="Q2790">
        <v>24</v>
      </c>
      <c r="R2790">
        <v>53</v>
      </c>
    </row>
    <row r="2791" spans="1:18" x14ac:dyDescent="0.25">
      <c r="A2791" t="s">
        <v>2985</v>
      </c>
      <c r="B2791" t="s">
        <v>55</v>
      </c>
      <c r="C2791" t="s">
        <v>2974</v>
      </c>
      <c r="D2791" t="s">
        <v>2975</v>
      </c>
      <c r="E2791" t="s">
        <v>78</v>
      </c>
      <c r="F2791" t="s">
        <v>252</v>
      </c>
      <c r="G2791">
        <v>6.9786000000000001</v>
      </c>
      <c r="H2791">
        <v>-75.296099999999996</v>
      </c>
      <c r="I2791" t="s">
        <v>2976</v>
      </c>
      <c r="J2791">
        <v>11</v>
      </c>
      <c r="M2791">
        <v>186</v>
      </c>
      <c r="N2791">
        <v>54</v>
      </c>
      <c r="O2791">
        <v>18</v>
      </c>
      <c r="P2791">
        <v>42</v>
      </c>
      <c r="Q2791">
        <v>24</v>
      </c>
      <c r="R2791">
        <v>71</v>
      </c>
    </row>
    <row r="2792" spans="1:18" x14ac:dyDescent="0.25">
      <c r="A2792" t="s">
        <v>2986</v>
      </c>
      <c r="B2792" t="s">
        <v>55</v>
      </c>
      <c r="C2792" t="s">
        <v>2974</v>
      </c>
      <c r="D2792" t="s">
        <v>2975</v>
      </c>
      <c r="E2792" t="s">
        <v>78</v>
      </c>
      <c r="F2792" t="s">
        <v>252</v>
      </c>
      <c r="G2792">
        <v>6.9786000000000001</v>
      </c>
      <c r="H2792">
        <v>-75.296099999999996</v>
      </c>
      <c r="I2792" t="s">
        <v>2976</v>
      </c>
      <c r="J2792">
        <v>11</v>
      </c>
      <c r="M2792">
        <v>181</v>
      </c>
      <c r="N2792">
        <v>49</v>
      </c>
      <c r="O2792">
        <v>24</v>
      </c>
      <c r="P2792">
        <v>28</v>
      </c>
      <c r="Q2792">
        <v>41</v>
      </c>
      <c r="R2792">
        <v>44</v>
      </c>
    </row>
    <row r="2793" spans="1:18" x14ac:dyDescent="0.25">
      <c r="A2793" t="s">
        <v>2987</v>
      </c>
      <c r="B2793" t="s">
        <v>55</v>
      </c>
      <c r="C2793" t="s">
        <v>2974</v>
      </c>
      <c r="D2793" t="s">
        <v>2975</v>
      </c>
      <c r="E2793" t="s">
        <v>78</v>
      </c>
      <c r="F2793" t="s">
        <v>252</v>
      </c>
      <c r="G2793">
        <v>6.9786000000000001</v>
      </c>
      <c r="H2793">
        <v>-75.296099999999996</v>
      </c>
      <c r="I2793" t="s">
        <v>2976</v>
      </c>
      <c r="J2793">
        <v>11</v>
      </c>
      <c r="M2793">
        <v>179</v>
      </c>
      <c r="N2793">
        <v>41</v>
      </c>
      <c r="O2793">
        <v>30</v>
      </c>
      <c r="P2793">
        <v>44</v>
      </c>
      <c r="Q2793">
        <v>28</v>
      </c>
      <c r="R2793">
        <v>36</v>
      </c>
    </row>
    <row r="2794" spans="1:18" x14ac:dyDescent="0.25">
      <c r="A2794" t="s">
        <v>2988</v>
      </c>
      <c r="B2794" t="s">
        <v>55</v>
      </c>
      <c r="C2794" t="s">
        <v>2974</v>
      </c>
      <c r="D2794" t="s">
        <v>2975</v>
      </c>
      <c r="E2794" t="s">
        <v>78</v>
      </c>
      <c r="F2794" t="s">
        <v>252</v>
      </c>
      <c r="G2794">
        <v>6.9786000000000001</v>
      </c>
      <c r="H2794">
        <v>-75.296099999999996</v>
      </c>
      <c r="I2794" t="s">
        <v>2976</v>
      </c>
      <c r="J2794">
        <v>11</v>
      </c>
      <c r="M2794">
        <v>177</v>
      </c>
      <c r="N2794">
        <v>49</v>
      </c>
      <c r="O2794">
        <v>26</v>
      </c>
      <c r="P2794">
        <v>42</v>
      </c>
      <c r="Q2794">
        <v>22</v>
      </c>
      <c r="R2794">
        <v>44</v>
      </c>
    </row>
    <row r="2795" spans="1:18" x14ac:dyDescent="0.25">
      <c r="A2795" t="s">
        <v>2989</v>
      </c>
      <c r="B2795" t="s">
        <v>55</v>
      </c>
      <c r="C2795" t="s">
        <v>2974</v>
      </c>
      <c r="D2795" t="s">
        <v>2975</v>
      </c>
      <c r="E2795" t="s">
        <v>78</v>
      </c>
      <c r="F2795" t="s">
        <v>252</v>
      </c>
      <c r="G2795">
        <v>6.9786000000000001</v>
      </c>
      <c r="H2795">
        <v>-75.296099999999996</v>
      </c>
      <c r="I2795" t="s">
        <v>2976</v>
      </c>
      <c r="J2795">
        <v>11</v>
      </c>
      <c r="M2795">
        <v>175</v>
      </c>
      <c r="N2795">
        <v>34</v>
      </c>
      <c r="O2795">
        <v>24</v>
      </c>
      <c r="P2795">
        <v>38</v>
      </c>
      <c r="Q2795">
        <v>33</v>
      </c>
      <c r="R2795">
        <v>67</v>
      </c>
    </row>
    <row r="2796" spans="1:18" x14ac:dyDescent="0.25">
      <c r="A2796" t="s">
        <v>2990</v>
      </c>
      <c r="B2796" t="s">
        <v>55</v>
      </c>
      <c r="C2796" t="s">
        <v>2974</v>
      </c>
      <c r="D2796" t="s">
        <v>2975</v>
      </c>
      <c r="E2796" t="s">
        <v>78</v>
      </c>
      <c r="F2796" t="s">
        <v>252</v>
      </c>
      <c r="G2796">
        <v>6.9786000000000001</v>
      </c>
      <c r="H2796">
        <v>-75.296099999999996</v>
      </c>
      <c r="I2796" t="s">
        <v>2976</v>
      </c>
      <c r="J2796">
        <v>11</v>
      </c>
      <c r="M2796">
        <v>169</v>
      </c>
      <c r="N2796">
        <v>46</v>
      </c>
      <c r="O2796">
        <v>16</v>
      </c>
      <c r="P2796">
        <v>54</v>
      </c>
      <c r="Q2796">
        <v>10</v>
      </c>
      <c r="R2796">
        <v>60</v>
      </c>
    </row>
    <row r="2797" spans="1:18" x14ac:dyDescent="0.25">
      <c r="A2797" t="s">
        <v>2991</v>
      </c>
      <c r="B2797" t="s">
        <v>55</v>
      </c>
      <c r="C2797" t="s">
        <v>2974</v>
      </c>
      <c r="D2797" t="s">
        <v>2975</v>
      </c>
      <c r="E2797" t="s">
        <v>78</v>
      </c>
      <c r="F2797" t="s">
        <v>252</v>
      </c>
      <c r="G2797">
        <v>6.9786000000000001</v>
      </c>
      <c r="H2797">
        <v>-75.296099999999996</v>
      </c>
      <c r="I2797" t="s">
        <v>2976</v>
      </c>
      <c r="J2797">
        <v>11</v>
      </c>
      <c r="M2797">
        <v>166</v>
      </c>
      <c r="N2797">
        <v>37</v>
      </c>
      <c r="O2797">
        <v>28</v>
      </c>
      <c r="P2797">
        <v>40</v>
      </c>
      <c r="Q2797">
        <v>28</v>
      </c>
      <c r="R2797">
        <v>36</v>
      </c>
    </row>
    <row r="2798" spans="1:18" x14ac:dyDescent="0.25">
      <c r="A2798" t="s">
        <v>2992</v>
      </c>
      <c r="B2798" t="s">
        <v>55</v>
      </c>
      <c r="C2798" t="s">
        <v>2974</v>
      </c>
      <c r="D2798" t="s">
        <v>2975</v>
      </c>
      <c r="E2798" t="s">
        <v>78</v>
      </c>
      <c r="F2798" t="s">
        <v>252</v>
      </c>
      <c r="G2798">
        <v>6.9786000000000001</v>
      </c>
      <c r="H2798">
        <v>-75.296099999999996</v>
      </c>
      <c r="I2798" t="s">
        <v>2976</v>
      </c>
      <c r="J2798">
        <v>11</v>
      </c>
      <c r="M2798">
        <v>166</v>
      </c>
      <c r="N2798">
        <v>41</v>
      </c>
      <c r="O2798">
        <v>20</v>
      </c>
      <c r="P2798">
        <v>38</v>
      </c>
      <c r="Q2798">
        <v>28</v>
      </c>
      <c r="R2798">
        <v>51</v>
      </c>
    </row>
    <row r="2799" spans="1:18" x14ac:dyDescent="0.25">
      <c r="A2799" t="s">
        <v>2993</v>
      </c>
      <c r="B2799" t="s">
        <v>55</v>
      </c>
      <c r="C2799" t="s">
        <v>2974</v>
      </c>
      <c r="D2799" t="s">
        <v>2975</v>
      </c>
      <c r="E2799" t="s">
        <v>78</v>
      </c>
      <c r="F2799" t="s">
        <v>252</v>
      </c>
      <c r="G2799">
        <v>6.9786000000000001</v>
      </c>
      <c r="H2799">
        <v>-75.296099999999996</v>
      </c>
      <c r="I2799" t="s">
        <v>2976</v>
      </c>
      <c r="J2799">
        <v>11</v>
      </c>
      <c r="M2799">
        <v>166</v>
      </c>
      <c r="N2799">
        <v>34</v>
      </c>
      <c r="O2799">
        <v>24</v>
      </c>
      <c r="P2799">
        <v>52</v>
      </c>
      <c r="Q2799">
        <v>22</v>
      </c>
      <c r="R2799">
        <v>33</v>
      </c>
    </row>
    <row r="2800" spans="1:18" x14ac:dyDescent="0.25">
      <c r="A2800" t="s">
        <v>2994</v>
      </c>
      <c r="B2800" t="s">
        <v>55</v>
      </c>
      <c r="C2800" t="s">
        <v>2974</v>
      </c>
      <c r="D2800" t="s">
        <v>2975</v>
      </c>
      <c r="E2800" t="s">
        <v>78</v>
      </c>
      <c r="F2800" t="s">
        <v>252</v>
      </c>
      <c r="G2800">
        <v>6.9786000000000001</v>
      </c>
      <c r="H2800">
        <v>-75.296099999999996</v>
      </c>
      <c r="I2800" t="s">
        <v>2976</v>
      </c>
      <c r="J2800">
        <v>11</v>
      </c>
      <c r="M2800">
        <v>160</v>
      </c>
      <c r="N2800">
        <v>34</v>
      </c>
      <c r="O2800">
        <v>16</v>
      </c>
      <c r="P2800">
        <v>42</v>
      </c>
      <c r="Q2800">
        <v>29</v>
      </c>
      <c r="R2800">
        <v>51</v>
      </c>
    </row>
    <row r="2801" spans="1:18" x14ac:dyDescent="0.25">
      <c r="A2801" t="s">
        <v>2995</v>
      </c>
      <c r="B2801" t="s">
        <v>55</v>
      </c>
      <c r="C2801" t="s">
        <v>2974</v>
      </c>
      <c r="D2801" t="s">
        <v>2975</v>
      </c>
      <c r="E2801" t="s">
        <v>78</v>
      </c>
      <c r="F2801" t="s">
        <v>252</v>
      </c>
      <c r="G2801">
        <v>6.9786000000000001</v>
      </c>
      <c r="H2801">
        <v>-75.296099999999996</v>
      </c>
      <c r="I2801" t="s">
        <v>2976</v>
      </c>
      <c r="J2801">
        <v>11</v>
      </c>
      <c r="M2801">
        <v>146</v>
      </c>
      <c r="N2801">
        <v>34</v>
      </c>
      <c r="O2801">
        <v>20</v>
      </c>
      <c r="P2801">
        <v>36</v>
      </c>
      <c r="Q2801">
        <v>22</v>
      </c>
      <c r="R2801">
        <v>42</v>
      </c>
    </row>
    <row r="2802" spans="1:18" x14ac:dyDescent="0.25">
      <c r="A2802" t="s">
        <v>2996</v>
      </c>
      <c r="B2802" t="s">
        <v>55</v>
      </c>
      <c r="C2802" t="s">
        <v>2974</v>
      </c>
      <c r="D2802" t="s">
        <v>2975</v>
      </c>
      <c r="E2802" t="s">
        <v>78</v>
      </c>
      <c r="F2802" t="s">
        <v>252</v>
      </c>
      <c r="G2802">
        <v>6.9786000000000001</v>
      </c>
      <c r="H2802">
        <v>-75.296099999999996</v>
      </c>
      <c r="I2802" t="s">
        <v>2976</v>
      </c>
      <c r="J2802">
        <v>11</v>
      </c>
      <c r="M2802">
        <v>145</v>
      </c>
      <c r="N2802">
        <v>39</v>
      </c>
      <c r="O2802">
        <v>24</v>
      </c>
      <c r="P2802">
        <v>26</v>
      </c>
      <c r="Q2802">
        <v>29</v>
      </c>
      <c r="R2802">
        <v>22</v>
      </c>
    </row>
    <row r="2803" spans="1:18" x14ac:dyDescent="0.25">
      <c r="A2803" t="s">
        <v>2997</v>
      </c>
      <c r="B2803" t="s">
        <v>55</v>
      </c>
      <c r="C2803" t="s">
        <v>2974</v>
      </c>
      <c r="D2803" t="s">
        <v>2975</v>
      </c>
      <c r="E2803" t="s">
        <v>78</v>
      </c>
      <c r="F2803" t="s">
        <v>252</v>
      </c>
      <c r="G2803">
        <v>6.9786000000000001</v>
      </c>
      <c r="H2803">
        <v>-75.296099999999996</v>
      </c>
      <c r="I2803" t="s">
        <v>2976</v>
      </c>
      <c r="J2803">
        <v>11</v>
      </c>
      <c r="M2803">
        <v>141</v>
      </c>
      <c r="N2803">
        <v>39</v>
      </c>
      <c r="O2803">
        <v>22</v>
      </c>
      <c r="P2803">
        <v>28</v>
      </c>
      <c r="Q2803">
        <v>24</v>
      </c>
      <c r="R2803">
        <v>27</v>
      </c>
    </row>
    <row r="2804" spans="1:18" x14ac:dyDescent="0.25">
      <c r="A2804" t="s">
        <v>2998</v>
      </c>
      <c r="B2804" t="s">
        <v>55</v>
      </c>
      <c r="C2804" t="s">
        <v>2974</v>
      </c>
      <c r="D2804" t="s">
        <v>2975</v>
      </c>
      <c r="E2804" t="s">
        <v>78</v>
      </c>
      <c r="F2804" t="s">
        <v>252</v>
      </c>
      <c r="G2804">
        <v>6.9786000000000001</v>
      </c>
      <c r="H2804">
        <v>-75.296099999999996</v>
      </c>
      <c r="I2804" t="s">
        <v>2976</v>
      </c>
      <c r="J2804">
        <v>11</v>
      </c>
      <c r="M2804">
        <v>140</v>
      </c>
      <c r="N2804">
        <v>41</v>
      </c>
      <c r="O2804">
        <v>20</v>
      </c>
      <c r="P2804">
        <v>38</v>
      </c>
      <c r="Q2804">
        <v>14</v>
      </c>
      <c r="R2804">
        <v>25</v>
      </c>
    </row>
    <row r="2805" spans="1:18" x14ac:dyDescent="0.25">
      <c r="A2805" t="s">
        <v>2999</v>
      </c>
      <c r="B2805" t="s">
        <v>55</v>
      </c>
      <c r="C2805" t="s">
        <v>2974</v>
      </c>
      <c r="D2805" t="s">
        <v>2975</v>
      </c>
      <c r="E2805" t="s">
        <v>78</v>
      </c>
      <c r="F2805" t="s">
        <v>252</v>
      </c>
      <c r="G2805">
        <v>6.9786000000000001</v>
      </c>
      <c r="H2805">
        <v>-75.296099999999996</v>
      </c>
      <c r="I2805" t="s">
        <v>2976</v>
      </c>
      <c r="J2805">
        <v>11</v>
      </c>
      <c r="M2805">
        <v>127</v>
      </c>
      <c r="N2805">
        <v>39</v>
      </c>
      <c r="O2805">
        <v>18</v>
      </c>
      <c r="P2805">
        <v>28</v>
      </c>
      <c r="Q2805">
        <v>17</v>
      </c>
      <c r="R2805">
        <v>24</v>
      </c>
    </row>
    <row r="2806" spans="1:18" x14ac:dyDescent="0.25">
      <c r="A2806" t="s">
        <v>3000</v>
      </c>
      <c r="B2806" t="s">
        <v>55</v>
      </c>
      <c r="C2806" t="s">
        <v>2974</v>
      </c>
      <c r="D2806" t="s">
        <v>2975</v>
      </c>
      <c r="E2806" t="s">
        <v>78</v>
      </c>
      <c r="F2806" t="s">
        <v>252</v>
      </c>
      <c r="G2806">
        <v>6.9786000000000001</v>
      </c>
      <c r="H2806">
        <v>-75.296099999999996</v>
      </c>
      <c r="I2806" t="s">
        <v>2976</v>
      </c>
      <c r="J2806">
        <v>11</v>
      </c>
      <c r="M2806">
        <v>121</v>
      </c>
      <c r="N2806">
        <v>29</v>
      </c>
      <c r="O2806">
        <v>12</v>
      </c>
      <c r="P2806">
        <v>30</v>
      </c>
      <c r="Q2806">
        <v>21</v>
      </c>
      <c r="R2806">
        <v>38</v>
      </c>
    </row>
    <row r="2807" spans="1:18" x14ac:dyDescent="0.25">
      <c r="A2807" t="s">
        <v>3001</v>
      </c>
      <c r="B2807" t="s">
        <v>55</v>
      </c>
      <c r="C2807" t="s">
        <v>2974</v>
      </c>
      <c r="D2807" t="s">
        <v>2975</v>
      </c>
      <c r="E2807" t="s">
        <v>78</v>
      </c>
      <c r="F2807" t="s">
        <v>252</v>
      </c>
      <c r="G2807">
        <v>6.9786000000000001</v>
      </c>
      <c r="H2807">
        <v>-75.296099999999996</v>
      </c>
      <c r="I2807" t="s">
        <v>2976</v>
      </c>
      <c r="J2807">
        <v>11</v>
      </c>
      <c r="M2807">
        <v>87</v>
      </c>
      <c r="N2807">
        <v>20</v>
      </c>
      <c r="O2807">
        <v>8</v>
      </c>
      <c r="P2807">
        <v>34</v>
      </c>
      <c r="Q2807">
        <v>14</v>
      </c>
      <c r="R2807">
        <v>0</v>
      </c>
    </row>
    <row r="2808" spans="1:18" x14ac:dyDescent="0.25">
      <c r="A2808" t="s">
        <v>3002</v>
      </c>
      <c r="B2808" t="s">
        <v>55</v>
      </c>
      <c r="C2808" t="s">
        <v>3003</v>
      </c>
      <c r="D2808" t="s">
        <v>3004</v>
      </c>
      <c r="E2808" t="s">
        <v>78</v>
      </c>
      <c r="F2808" t="s">
        <v>252</v>
      </c>
      <c r="G2808">
        <v>5.9625000000000004</v>
      </c>
      <c r="H2808">
        <v>-75.735799999999998</v>
      </c>
      <c r="I2808" t="s">
        <v>3005</v>
      </c>
      <c r="J2808">
        <v>11</v>
      </c>
      <c r="M2808">
        <v>232</v>
      </c>
      <c r="N2808">
        <v>61</v>
      </c>
      <c r="O2808">
        <v>26</v>
      </c>
      <c r="P2808">
        <v>54</v>
      </c>
      <c r="Q2808">
        <v>33</v>
      </c>
      <c r="R2808">
        <v>82</v>
      </c>
    </row>
    <row r="2809" spans="1:18" x14ac:dyDescent="0.25">
      <c r="A2809" t="s">
        <v>3006</v>
      </c>
      <c r="B2809" t="s">
        <v>55</v>
      </c>
      <c r="C2809" t="s">
        <v>3003</v>
      </c>
      <c r="D2809" t="s">
        <v>3004</v>
      </c>
      <c r="E2809" t="s">
        <v>78</v>
      </c>
      <c r="F2809" t="s">
        <v>252</v>
      </c>
      <c r="G2809">
        <v>5.9625000000000004</v>
      </c>
      <c r="H2809">
        <v>-75.735799999999998</v>
      </c>
      <c r="I2809" t="s">
        <v>3005</v>
      </c>
      <c r="J2809">
        <v>11</v>
      </c>
      <c r="M2809">
        <v>227</v>
      </c>
      <c r="N2809">
        <v>68</v>
      </c>
      <c r="O2809">
        <v>30</v>
      </c>
      <c r="P2809">
        <v>52</v>
      </c>
      <c r="Q2809">
        <v>34</v>
      </c>
      <c r="R2809">
        <v>36</v>
      </c>
    </row>
    <row r="2810" spans="1:18" x14ac:dyDescent="0.25">
      <c r="A2810" t="s">
        <v>3007</v>
      </c>
      <c r="B2810" t="s">
        <v>55</v>
      </c>
      <c r="C2810" t="s">
        <v>3003</v>
      </c>
      <c r="D2810" t="s">
        <v>3004</v>
      </c>
      <c r="E2810" t="s">
        <v>78</v>
      </c>
      <c r="F2810" t="s">
        <v>252</v>
      </c>
      <c r="G2810">
        <v>5.9625000000000004</v>
      </c>
      <c r="H2810">
        <v>-75.735799999999998</v>
      </c>
      <c r="I2810" t="s">
        <v>3005</v>
      </c>
      <c r="J2810">
        <v>11</v>
      </c>
      <c r="M2810">
        <v>225</v>
      </c>
      <c r="N2810">
        <v>59</v>
      </c>
      <c r="O2810">
        <v>20</v>
      </c>
      <c r="P2810">
        <v>64</v>
      </c>
      <c r="Q2810">
        <v>34</v>
      </c>
      <c r="R2810">
        <v>55</v>
      </c>
    </row>
    <row r="2811" spans="1:18" x14ac:dyDescent="0.25">
      <c r="A2811" t="s">
        <v>3008</v>
      </c>
      <c r="B2811" t="s">
        <v>55</v>
      </c>
      <c r="C2811" t="s">
        <v>3003</v>
      </c>
      <c r="D2811" t="s">
        <v>3004</v>
      </c>
      <c r="E2811" t="s">
        <v>78</v>
      </c>
      <c r="F2811" t="s">
        <v>252</v>
      </c>
      <c r="G2811">
        <v>5.9625000000000004</v>
      </c>
      <c r="H2811">
        <v>-75.735799999999998</v>
      </c>
      <c r="I2811" t="s">
        <v>3005</v>
      </c>
      <c r="J2811">
        <v>11</v>
      </c>
      <c r="M2811">
        <v>205</v>
      </c>
      <c r="N2811">
        <v>39</v>
      </c>
      <c r="O2811">
        <v>14</v>
      </c>
      <c r="P2811">
        <v>60</v>
      </c>
      <c r="Q2811">
        <v>45</v>
      </c>
      <c r="R2811">
        <v>60</v>
      </c>
    </row>
    <row r="2812" spans="1:18" x14ac:dyDescent="0.25">
      <c r="A2812" t="s">
        <v>3009</v>
      </c>
      <c r="B2812" t="s">
        <v>55</v>
      </c>
      <c r="C2812" t="s">
        <v>3003</v>
      </c>
      <c r="D2812" t="s">
        <v>3004</v>
      </c>
      <c r="E2812" t="s">
        <v>78</v>
      </c>
      <c r="F2812" t="s">
        <v>252</v>
      </c>
      <c r="G2812">
        <v>5.9625000000000004</v>
      </c>
      <c r="H2812">
        <v>-75.735799999999998</v>
      </c>
      <c r="I2812" t="s">
        <v>3005</v>
      </c>
      <c r="J2812">
        <v>11</v>
      </c>
      <c r="M2812">
        <v>185</v>
      </c>
      <c r="N2812">
        <v>37</v>
      </c>
      <c r="O2812">
        <v>12</v>
      </c>
      <c r="P2812">
        <v>60</v>
      </c>
      <c r="Q2812">
        <v>38</v>
      </c>
      <c r="R2812">
        <v>42</v>
      </c>
    </row>
    <row r="2813" spans="1:18" x14ac:dyDescent="0.25">
      <c r="A2813" t="s">
        <v>3010</v>
      </c>
      <c r="B2813" t="s">
        <v>55</v>
      </c>
      <c r="C2813" t="s">
        <v>3003</v>
      </c>
      <c r="D2813" t="s">
        <v>3004</v>
      </c>
      <c r="E2813" t="s">
        <v>78</v>
      </c>
      <c r="F2813" t="s">
        <v>252</v>
      </c>
      <c r="G2813">
        <v>5.9625000000000004</v>
      </c>
      <c r="H2813">
        <v>-75.735799999999998</v>
      </c>
      <c r="I2813" t="s">
        <v>3005</v>
      </c>
      <c r="J2813">
        <v>11</v>
      </c>
      <c r="M2813">
        <v>184</v>
      </c>
      <c r="N2813">
        <v>39</v>
      </c>
      <c r="O2813">
        <v>28</v>
      </c>
      <c r="P2813">
        <v>54</v>
      </c>
      <c r="Q2813">
        <v>22</v>
      </c>
      <c r="R2813">
        <v>47</v>
      </c>
    </row>
    <row r="2814" spans="1:18" x14ac:dyDescent="0.25">
      <c r="A2814" t="s">
        <v>3011</v>
      </c>
      <c r="B2814" t="s">
        <v>55</v>
      </c>
      <c r="C2814" t="s">
        <v>3003</v>
      </c>
      <c r="D2814" t="s">
        <v>3004</v>
      </c>
      <c r="E2814" t="s">
        <v>78</v>
      </c>
      <c r="F2814" t="s">
        <v>252</v>
      </c>
      <c r="G2814">
        <v>5.9625000000000004</v>
      </c>
      <c r="H2814">
        <v>-75.735799999999998</v>
      </c>
      <c r="I2814" t="s">
        <v>3005</v>
      </c>
      <c r="J2814">
        <v>11</v>
      </c>
      <c r="M2814">
        <v>177</v>
      </c>
      <c r="N2814">
        <v>41</v>
      </c>
      <c r="O2814">
        <v>24</v>
      </c>
      <c r="P2814">
        <v>46</v>
      </c>
      <c r="Q2814">
        <v>31</v>
      </c>
      <c r="R2814">
        <v>33</v>
      </c>
    </row>
    <row r="2815" spans="1:18" x14ac:dyDescent="0.25">
      <c r="A2815" t="s">
        <v>3012</v>
      </c>
      <c r="B2815" t="s">
        <v>55</v>
      </c>
      <c r="C2815" t="s">
        <v>3003</v>
      </c>
      <c r="D2815" t="s">
        <v>3004</v>
      </c>
      <c r="E2815" t="s">
        <v>78</v>
      </c>
      <c r="F2815" t="s">
        <v>252</v>
      </c>
      <c r="G2815">
        <v>5.9625000000000004</v>
      </c>
      <c r="H2815">
        <v>-75.735799999999998</v>
      </c>
      <c r="I2815" t="s">
        <v>3005</v>
      </c>
      <c r="J2815">
        <v>11</v>
      </c>
      <c r="M2815">
        <v>177</v>
      </c>
      <c r="N2815">
        <v>46</v>
      </c>
      <c r="O2815">
        <v>30</v>
      </c>
      <c r="P2815">
        <v>40</v>
      </c>
      <c r="Q2815">
        <v>26</v>
      </c>
      <c r="R2815">
        <v>33</v>
      </c>
    </row>
    <row r="2816" spans="1:18" x14ac:dyDescent="0.25">
      <c r="A2816" t="s">
        <v>3013</v>
      </c>
      <c r="B2816" t="s">
        <v>55</v>
      </c>
      <c r="C2816" t="s">
        <v>3003</v>
      </c>
      <c r="D2816" t="s">
        <v>3004</v>
      </c>
      <c r="E2816" t="s">
        <v>78</v>
      </c>
      <c r="F2816" t="s">
        <v>252</v>
      </c>
      <c r="G2816">
        <v>5.9625000000000004</v>
      </c>
      <c r="H2816">
        <v>-75.735799999999998</v>
      </c>
      <c r="I2816" t="s">
        <v>3005</v>
      </c>
      <c r="J2816">
        <v>11</v>
      </c>
      <c r="M2816">
        <v>175</v>
      </c>
      <c r="N2816">
        <v>32</v>
      </c>
      <c r="O2816">
        <v>24</v>
      </c>
      <c r="P2816">
        <v>48</v>
      </c>
      <c r="Q2816">
        <v>38</v>
      </c>
      <c r="R2816">
        <v>31</v>
      </c>
    </row>
    <row r="2817" spans="1:18" x14ac:dyDescent="0.25">
      <c r="A2817" t="s">
        <v>3014</v>
      </c>
      <c r="B2817" t="s">
        <v>55</v>
      </c>
      <c r="C2817" t="s">
        <v>3003</v>
      </c>
      <c r="D2817" t="s">
        <v>3004</v>
      </c>
      <c r="E2817" t="s">
        <v>78</v>
      </c>
      <c r="F2817" t="s">
        <v>252</v>
      </c>
      <c r="G2817">
        <v>5.9625000000000004</v>
      </c>
      <c r="H2817">
        <v>-75.735799999999998</v>
      </c>
      <c r="I2817" t="s">
        <v>3005</v>
      </c>
      <c r="J2817">
        <v>11</v>
      </c>
      <c r="M2817">
        <v>174</v>
      </c>
      <c r="N2817">
        <v>54</v>
      </c>
      <c r="O2817">
        <v>24</v>
      </c>
      <c r="P2817">
        <v>34</v>
      </c>
      <c r="Q2817">
        <v>22</v>
      </c>
      <c r="R2817">
        <v>51</v>
      </c>
    </row>
    <row r="2818" spans="1:18" x14ac:dyDescent="0.25">
      <c r="A2818" t="s">
        <v>3015</v>
      </c>
      <c r="B2818" t="s">
        <v>55</v>
      </c>
      <c r="C2818" t="s">
        <v>3003</v>
      </c>
      <c r="D2818" t="s">
        <v>3004</v>
      </c>
      <c r="E2818" t="s">
        <v>78</v>
      </c>
      <c r="F2818" t="s">
        <v>252</v>
      </c>
      <c r="G2818">
        <v>5.9625000000000004</v>
      </c>
      <c r="H2818">
        <v>-75.735799999999998</v>
      </c>
      <c r="I2818" t="s">
        <v>3005</v>
      </c>
      <c r="J2818">
        <v>11</v>
      </c>
      <c r="M2818">
        <v>168</v>
      </c>
      <c r="N2818">
        <v>44</v>
      </c>
      <c r="O2818">
        <v>20</v>
      </c>
      <c r="P2818">
        <v>40</v>
      </c>
      <c r="Q2818">
        <v>28</v>
      </c>
      <c r="R2818">
        <v>42</v>
      </c>
    </row>
    <row r="2819" spans="1:18" x14ac:dyDescent="0.25">
      <c r="A2819" t="s">
        <v>3016</v>
      </c>
      <c r="B2819" t="s">
        <v>55</v>
      </c>
      <c r="C2819" t="s">
        <v>3003</v>
      </c>
      <c r="D2819" t="s">
        <v>3004</v>
      </c>
      <c r="E2819" t="s">
        <v>78</v>
      </c>
      <c r="F2819" t="s">
        <v>252</v>
      </c>
      <c r="G2819">
        <v>5.9625000000000004</v>
      </c>
      <c r="H2819">
        <v>-75.735799999999998</v>
      </c>
      <c r="I2819" t="s">
        <v>3005</v>
      </c>
      <c r="J2819">
        <v>11</v>
      </c>
      <c r="M2819">
        <v>165</v>
      </c>
      <c r="N2819">
        <v>32</v>
      </c>
      <c r="O2819">
        <v>22</v>
      </c>
      <c r="P2819">
        <v>50</v>
      </c>
      <c r="Q2819">
        <v>26</v>
      </c>
      <c r="R2819">
        <v>40</v>
      </c>
    </row>
    <row r="2820" spans="1:18" x14ac:dyDescent="0.25">
      <c r="A2820" t="s">
        <v>3017</v>
      </c>
      <c r="B2820" t="s">
        <v>55</v>
      </c>
      <c r="C2820" t="s">
        <v>3003</v>
      </c>
      <c r="D2820" t="s">
        <v>3004</v>
      </c>
      <c r="E2820" t="s">
        <v>78</v>
      </c>
      <c r="F2820" t="s">
        <v>252</v>
      </c>
      <c r="G2820">
        <v>5.9625000000000004</v>
      </c>
      <c r="H2820">
        <v>-75.735799999999998</v>
      </c>
      <c r="I2820" t="s">
        <v>3005</v>
      </c>
      <c r="J2820">
        <v>11</v>
      </c>
      <c r="M2820">
        <v>164</v>
      </c>
      <c r="N2820">
        <v>51</v>
      </c>
      <c r="O2820">
        <v>24</v>
      </c>
      <c r="P2820">
        <v>34</v>
      </c>
      <c r="Q2820">
        <v>22</v>
      </c>
      <c r="R2820">
        <v>33</v>
      </c>
    </row>
    <row r="2821" spans="1:18" x14ac:dyDescent="0.25">
      <c r="A2821" t="s">
        <v>3018</v>
      </c>
      <c r="B2821" t="s">
        <v>55</v>
      </c>
      <c r="C2821" t="s">
        <v>3003</v>
      </c>
      <c r="D2821" t="s">
        <v>3004</v>
      </c>
      <c r="E2821" t="s">
        <v>78</v>
      </c>
      <c r="F2821" t="s">
        <v>252</v>
      </c>
      <c r="G2821">
        <v>5.9625000000000004</v>
      </c>
      <c r="H2821">
        <v>-75.735799999999998</v>
      </c>
      <c r="I2821" t="s">
        <v>3005</v>
      </c>
      <c r="J2821">
        <v>11</v>
      </c>
      <c r="M2821">
        <v>161</v>
      </c>
      <c r="N2821">
        <v>37</v>
      </c>
      <c r="O2821">
        <v>22</v>
      </c>
      <c r="P2821">
        <v>36</v>
      </c>
      <c r="Q2821">
        <v>34</v>
      </c>
      <c r="R2821">
        <v>31</v>
      </c>
    </row>
    <row r="2822" spans="1:18" x14ac:dyDescent="0.25">
      <c r="A2822" t="s">
        <v>3019</v>
      </c>
      <c r="B2822" t="s">
        <v>55</v>
      </c>
      <c r="C2822" t="s">
        <v>3003</v>
      </c>
      <c r="D2822" t="s">
        <v>3004</v>
      </c>
      <c r="E2822" t="s">
        <v>78</v>
      </c>
      <c r="F2822" t="s">
        <v>252</v>
      </c>
      <c r="G2822">
        <v>5.9625000000000004</v>
      </c>
      <c r="H2822">
        <v>-75.735799999999998</v>
      </c>
      <c r="I2822" t="s">
        <v>3005</v>
      </c>
      <c r="J2822">
        <v>11</v>
      </c>
      <c r="M2822">
        <v>151</v>
      </c>
      <c r="N2822">
        <v>29</v>
      </c>
      <c r="O2822">
        <v>20</v>
      </c>
      <c r="P2822">
        <v>36</v>
      </c>
      <c r="Q2822">
        <v>34</v>
      </c>
      <c r="R2822">
        <v>35</v>
      </c>
    </row>
    <row r="2823" spans="1:18" x14ac:dyDescent="0.25">
      <c r="A2823" t="s">
        <v>3020</v>
      </c>
      <c r="B2823" t="s">
        <v>55</v>
      </c>
      <c r="C2823" t="s">
        <v>3003</v>
      </c>
      <c r="D2823" t="s">
        <v>3004</v>
      </c>
      <c r="E2823" t="s">
        <v>78</v>
      </c>
      <c r="F2823" t="s">
        <v>252</v>
      </c>
      <c r="G2823">
        <v>5.9625000000000004</v>
      </c>
      <c r="H2823">
        <v>-75.735799999999998</v>
      </c>
      <c r="I2823" t="s">
        <v>3005</v>
      </c>
      <c r="J2823">
        <v>11</v>
      </c>
      <c r="M2823">
        <v>147</v>
      </c>
      <c r="N2823">
        <v>41</v>
      </c>
      <c r="O2823">
        <v>22</v>
      </c>
      <c r="P2823">
        <v>24</v>
      </c>
      <c r="Q2823">
        <v>28</v>
      </c>
      <c r="R2823">
        <v>38</v>
      </c>
    </row>
    <row r="2824" spans="1:18" x14ac:dyDescent="0.25">
      <c r="A2824" t="s">
        <v>3021</v>
      </c>
      <c r="B2824" t="s">
        <v>55</v>
      </c>
      <c r="C2824" t="s">
        <v>3003</v>
      </c>
      <c r="D2824" t="s">
        <v>3004</v>
      </c>
      <c r="E2824" t="s">
        <v>78</v>
      </c>
      <c r="F2824" t="s">
        <v>252</v>
      </c>
      <c r="G2824">
        <v>5.9625000000000004</v>
      </c>
      <c r="H2824">
        <v>-75.735799999999998</v>
      </c>
      <c r="I2824" t="s">
        <v>3005</v>
      </c>
      <c r="J2824">
        <v>11</v>
      </c>
      <c r="M2824">
        <v>143</v>
      </c>
      <c r="N2824">
        <v>34</v>
      </c>
      <c r="O2824">
        <v>22</v>
      </c>
      <c r="P2824">
        <v>32</v>
      </c>
      <c r="Q2824">
        <v>24</v>
      </c>
      <c r="R2824">
        <v>35</v>
      </c>
    </row>
    <row r="2825" spans="1:18" x14ac:dyDescent="0.25">
      <c r="A2825" t="s">
        <v>3022</v>
      </c>
      <c r="B2825" t="s">
        <v>55</v>
      </c>
      <c r="C2825" t="s">
        <v>3003</v>
      </c>
      <c r="D2825" t="s">
        <v>3004</v>
      </c>
      <c r="E2825" t="s">
        <v>78</v>
      </c>
      <c r="F2825" t="s">
        <v>252</v>
      </c>
      <c r="G2825">
        <v>5.9625000000000004</v>
      </c>
      <c r="H2825">
        <v>-75.735799999999998</v>
      </c>
      <c r="I2825" t="s">
        <v>3005</v>
      </c>
      <c r="J2825">
        <v>11</v>
      </c>
      <c r="M2825">
        <v>138</v>
      </c>
      <c r="N2825">
        <v>37</v>
      </c>
      <c r="O2825">
        <v>22</v>
      </c>
      <c r="P2825">
        <v>32</v>
      </c>
      <c r="Q2825">
        <v>19</v>
      </c>
      <c r="R2825">
        <v>31</v>
      </c>
    </row>
    <row r="2826" spans="1:18" x14ac:dyDescent="0.25">
      <c r="A2826" t="s">
        <v>3023</v>
      </c>
      <c r="B2826" t="s">
        <v>55</v>
      </c>
      <c r="C2826" t="s">
        <v>3003</v>
      </c>
      <c r="D2826" t="s">
        <v>3004</v>
      </c>
      <c r="E2826" t="s">
        <v>78</v>
      </c>
      <c r="F2826" t="s">
        <v>252</v>
      </c>
      <c r="G2826">
        <v>5.9625000000000004</v>
      </c>
      <c r="H2826">
        <v>-75.735799999999998</v>
      </c>
      <c r="I2826" t="s">
        <v>3005</v>
      </c>
      <c r="J2826">
        <v>11</v>
      </c>
      <c r="M2826">
        <v>113</v>
      </c>
      <c r="N2826">
        <v>20</v>
      </c>
      <c r="O2826">
        <v>16</v>
      </c>
      <c r="P2826">
        <v>34</v>
      </c>
      <c r="Q2826">
        <v>19</v>
      </c>
      <c r="R2826">
        <v>27</v>
      </c>
    </row>
    <row r="2827" spans="1:18" x14ac:dyDescent="0.25">
      <c r="A2827" t="s">
        <v>3024</v>
      </c>
      <c r="B2827" t="s">
        <v>55</v>
      </c>
      <c r="C2827" t="s">
        <v>3025</v>
      </c>
      <c r="D2827" t="s">
        <v>3026</v>
      </c>
      <c r="E2827" t="s">
        <v>78</v>
      </c>
      <c r="F2827" t="s">
        <v>252</v>
      </c>
      <c r="G2827">
        <v>6.0328999999999997</v>
      </c>
      <c r="H2827">
        <v>-75.707999999999998</v>
      </c>
      <c r="I2827" t="s">
        <v>80</v>
      </c>
      <c r="J2827">
        <v>11</v>
      </c>
      <c r="M2827">
        <v>265</v>
      </c>
      <c r="N2827">
        <v>56</v>
      </c>
      <c r="O2827">
        <v>40</v>
      </c>
      <c r="P2827">
        <v>66</v>
      </c>
      <c r="Q2827">
        <v>45</v>
      </c>
      <c r="R2827">
        <v>69</v>
      </c>
    </row>
    <row r="2828" spans="1:18" x14ac:dyDescent="0.25">
      <c r="A2828" t="s">
        <v>3027</v>
      </c>
      <c r="B2828" t="s">
        <v>55</v>
      </c>
      <c r="C2828" t="s">
        <v>3025</v>
      </c>
      <c r="D2828" t="s">
        <v>3026</v>
      </c>
      <c r="E2828" t="s">
        <v>78</v>
      </c>
      <c r="F2828" t="s">
        <v>252</v>
      </c>
      <c r="G2828">
        <v>6.0328999999999997</v>
      </c>
      <c r="H2828">
        <v>-75.707999999999998</v>
      </c>
      <c r="I2828" t="s">
        <v>80</v>
      </c>
      <c r="J2828">
        <v>11</v>
      </c>
      <c r="M2828">
        <v>259</v>
      </c>
      <c r="N2828">
        <v>68</v>
      </c>
      <c r="O2828">
        <v>32</v>
      </c>
      <c r="P2828">
        <v>72</v>
      </c>
      <c r="Q2828">
        <v>34</v>
      </c>
      <c r="R2828">
        <v>53</v>
      </c>
    </row>
    <row r="2829" spans="1:18" x14ac:dyDescent="0.25">
      <c r="A2829" t="s">
        <v>3028</v>
      </c>
      <c r="B2829" t="s">
        <v>55</v>
      </c>
      <c r="C2829" t="s">
        <v>3025</v>
      </c>
      <c r="D2829" t="s">
        <v>3026</v>
      </c>
      <c r="E2829" t="s">
        <v>78</v>
      </c>
      <c r="F2829" t="s">
        <v>252</v>
      </c>
      <c r="G2829">
        <v>6.0328999999999997</v>
      </c>
      <c r="H2829">
        <v>-75.707999999999998</v>
      </c>
      <c r="I2829" t="s">
        <v>80</v>
      </c>
      <c r="J2829">
        <v>11</v>
      </c>
      <c r="M2829">
        <v>244</v>
      </c>
      <c r="N2829">
        <v>63</v>
      </c>
      <c r="O2829">
        <v>30</v>
      </c>
      <c r="P2829">
        <v>54</v>
      </c>
      <c r="Q2829">
        <v>47</v>
      </c>
      <c r="R2829">
        <v>53</v>
      </c>
    </row>
    <row r="2830" spans="1:18" x14ac:dyDescent="0.25">
      <c r="A2830" t="s">
        <v>3029</v>
      </c>
      <c r="B2830" t="s">
        <v>55</v>
      </c>
      <c r="C2830" t="s">
        <v>3025</v>
      </c>
      <c r="D2830" t="s">
        <v>3026</v>
      </c>
      <c r="E2830" t="s">
        <v>78</v>
      </c>
      <c r="F2830" t="s">
        <v>252</v>
      </c>
      <c r="G2830">
        <v>6.0328999999999997</v>
      </c>
      <c r="H2830">
        <v>-75.707999999999998</v>
      </c>
      <c r="I2830" t="s">
        <v>80</v>
      </c>
      <c r="J2830">
        <v>11</v>
      </c>
      <c r="M2830">
        <v>221</v>
      </c>
      <c r="N2830">
        <v>59</v>
      </c>
      <c r="O2830">
        <v>32</v>
      </c>
      <c r="P2830">
        <v>56</v>
      </c>
      <c r="Q2830">
        <v>28</v>
      </c>
      <c r="R2830">
        <v>53</v>
      </c>
    </row>
    <row r="2831" spans="1:18" x14ac:dyDescent="0.25">
      <c r="A2831" t="s">
        <v>3030</v>
      </c>
      <c r="B2831" t="s">
        <v>55</v>
      </c>
      <c r="C2831" t="s">
        <v>3025</v>
      </c>
      <c r="D2831" t="s">
        <v>3026</v>
      </c>
      <c r="E2831" t="s">
        <v>78</v>
      </c>
      <c r="F2831" t="s">
        <v>252</v>
      </c>
      <c r="G2831">
        <v>6.0328999999999997</v>
      </c>
      <c r="H2831">
        <v>-75.707999999999998</v>
      </c>
      <c r="I2831" t="s">
        <v>80</v>
      </c>
      <c r="J2831">
        <v>11</v>
      </c>
      <c r="M2831">
        <v>220</v>
      </c>
      <c r="N2831">
        <v>54</v>
      </c>
      <c r="O2831">
        <v>30</v>
      </c>
      <c r="P2831">
        <v>60</v>
      </c>
      <c r="Q2831">
        <v>31</v>
      </c>
      <c r="R2831">
        <v>49</v>
      </c>
    </row>
    <row r="2832" spans="1:18" x14ac:dyDescent="0.25">
      <c r="A2832" t="s">
        <v>3031</v>
      </c>
      <c r="B2832" t="s">
        <v>55</v>
      </c>
      <c r="C2832" t="s">
        <v>3025</v>
      </c>
      <c r="D2832" t="s">
        <v>3026</v>
      </c>
      <c r="E2832" t="s">
        <v>78</v>
      </c>
      <c r="F2832" t="s">
        <v>252</v>
      </c>
      <c r="G2832">
        <v>6.0328999999999997</v>
      </c>
      <c r="H2832">
        <v>-75.707999999999998</v>
      </c>
      <c r="I2832" t="s">
        <v>80</v>
      </c>
      <c r="J2832">
        <v>11</v>
      </c>
      <c r="M2832">
        <v>219</v>
      </c>
      <c r="N2832">
        <v>54</v>
      </c>
      <c r="O2832">
        <v>22</v>
      </c>
      <c r="P2832">
        <v>58</v>
      </c>
      <c r="Q2832">
        <v>34</v>
      </c>
      <c r="R2832">
        <v>65</v>
      </c>
    </row>
    <row r="2833" spans="1:18" x14ac:dyDescent="0.25">
      <c r="A2833" t="s">
        <v>3032</v>
      </c>
      <c r="B2833" t="s">
        <v>55</v>
      </c>
      <c r="C2833" t="s">
        <v>3025</v>
      </c>
      <c r="D2833" t="s">
        <v>3026</v>
      </c>
      <c r="E2833" t="s">
        <v>78</v>
      </c>
      <c r="F2833" t="s">
        <v>252</v>
      </c>
      <c r="G2833">
        <v>6.0328999999999997</v>
      </c>
      <c r="H2833">
        <v>-75.707999999999998</v>
      </c>
      <c r="I2833" t="s">
        <v>80</v>
      </c>
      <c r="J2833">
        <v>11</v>
      </c>
      <c r="M2833">
        <v>206</v>
      </c>
      <c r="N2833">
        <v>46</v>
      </c>
      <c r="O2833">
        <v>32</v>
      </c>
      <c r="P2833">
        <v>50</v>
      </c>
      <c r="Q2833">
        <v>31</v>
      </c>
      <c r="R2833">
        <v>56</v>
      </c>
    </row>
    <row r="2834" spans="1:18" x14ac:dyDescent="0.25">
      <c r="A2834" t="s">
        <v>3033</v>
      </c>
      <c r="B2834" t="s">
        <v>55</v>
      </c>
      <c r="C2834" t="s">
        <v>3025</v>
      </c>
      <c r="D2834" t="s">
        <v>3026</v>
      </c>
      <c r="E2834" t="s">
        <v>78</v>
      </c>
      <c r="F2834" t="s">
        <v>252</v>
      </c>
      <c r="G2834">
        <v>6.0328999999999997</v>
      </c>
      <c r="H2834">
        <v>-75.707999999999998</v>
      </c>
      <c r="I2834" t="s">
        <v>80</v>
      </c>
      <c r="J2834">
        <v>11</v>
      </c>
      <c r="M2834">
        <v>194</v>
      </c>
      <c r="N2834">
        <v>61</v>
      </c>
      <c r="O2834">
        <v>26</v>
      </c>
      <c r="P2834">
        <v>46</v>
      </c>
      <c r="Q2834">
        <v>24</v>
      </c>
      <c r="R2834">
        <v>33</v>
      </c>
    </row>
    <row r="2835" spans="1:18" x14ac:dyDescent="0.25">
      <c r="A2835" t="s">
        <v>3034</v>
      </c>
      <c r="B2835" t="s">
        <v>55</v>
      </c>
      <c r="C2835" t="s">
        <v>3025</v>
      </c>
      <c r="D2835" t="s">
        <v>3026</v>
      </c>
      <c r="E2835" t="s">
        <v>78</v>
      </c>
      <c r="F2835" t="s">
        <v>252</v>
      </c>
      <c r="G2835">
        <v>6.0328999999999997</v>
      </c>
      <c r="H2835">
        <v>-75.707999999999998</v>
      </c>
      <c r="I2835" t="s">
        <v>80</v>
      </c>
      <c r="J2835">
        <v>11</v>
      </c>
      <c r="M2835">
        <v>190</v>
      </c>
      <c r="N2835">
        <v>41</v>
      </c>
      <c r="O2835">
        <v>16</v>
      </c>
      <c r="P2835">
        <v>60</v>
      </c>
      <c r="Q2835">
        <v>31</v>
      </c>
      <c r="R2835">
        <v>49</v>
      </c>
    </row>
    <row r="2836" spans="1:18" x14ac:dyDescent="0.25">
      <c r="A2836" t="s">
        <v>3035</v>
      </c>
      <c r="B2836" t="s">
        <v>55</v>
      </c>
      <c r="C2836" t="s">
        <v>3025</v>
      </c>
      <c r="D2836" t="s">
        <v>3026</v>
      </c>
      <c r="E2836" t="s">
        <v>78</v>
      </c>
      <c r="F2836" t="s">
        <v>252</v>
      </c>
      <c r="G2836">
        <v>6.0328999999999997</v>
      </c>
      <c r="H2836">
        <v>-75.707999999999998</v>
      </c>
      <c r="I2836" t="s">
        <v>80</v>
      </c>
      <c r="J2836">
        <v>11</v>
      </c>
      <c r="M2836">
        <v>187</v>
      </c>
      <c r="N2836">
        <v>56</v>
      </c>
      <c r="O2836">
        <v>16</v>
      </c>
      <c r="P2836">
        <v>44</v>
      </c>
      <c r="Q2836">
        <v>31</v>
      </c>
      <c r="R2836">
        <v>44</v>
      </c>
    </row>
    <row r="2837" spans="1:18" x14ac:dyDescent="0.25">
      <c r="A2837" t="s">
        <v>3036</v>
      </c>
      <c r="B2837" t="s">
        <v>55</v>
      </c>
      <c r="C2837" t="s">
        <v>3025</v>
      </c>
      <c r="D2837" t="s">
        <v>3026</v>
      </c>
      <c r="E2837" t="s">
        <v>78</v>
      </c>
      <c r="F2837" t="s">
        <v>252</v>
      </c>
      <c r="G2837">
        <v>6.0328999999999997</v>
      </c>
      <c r="H2837">
        <v>-75.707999999999998</v>
      </c>
      <c r="I2837" t="s">
        <v>80</v>
      </c>
      <c r="J2837">
        <v>11</v>
      </c>
      <c r="M2837">
        <v>182</v>
      </c>
      <c r="N2837">
        <v>44</v>
      </c>
      <c r="O2837">
        <v>22</v>
      </c>
      <c r="P2837">
        <v>54</v>
      </c>
      <c r="Q2837">
        <v>24</v>
      </c>
      <c r="R2837">
        <v>42</v>
      </c>
    </row>
    <row r="2838" spans="1:18" x14ac:dyDescent="0.25">
      <c r="A2838" t="s">
        <v>3037</v>
      </c>
      <c r="B2838" t="s">
        <v>55</v>
      </c>
      <c r="C2838" t="s">
        <v>3025</v>
      </c>
      <c r="D2838" t="s">
        <v>3026</v>
      </c>
      <c r="E2838" t="s">
        <v>78</v>
      </c>
      <c r="F2838" t="s">
        <v>252</v>
      </c>
      <c r="G2838">
        <v>6.0328999999999997</v>
      </c>
      <c r="H2838">
        <v>-75.707999999999998</v>
      </c>
      <c r="I2838" t="s">
        <v>80</v>
      </c>
      <c r="J2838">
        <v>11</v>
      </c>
      <c r="M2838">
        <v>177</v>
      </c>
      <c r="N2838">
        <v>41</v>
      </c>
      <c r="O2838">
        <v>22</v>
      </c>
      <c r="P2838">
        <v>42</v>
      </c>
      <c r="Q2838">
        <v>31</v>
      </c>
      <c r="R2838">
        <v>51</v>
      </c>
    </row>
    <row r="2839" spans="1:18" x14ac:dyDescent="0.25">
      <c r="A2839" t="s">
        <v>3038</v>
      </c>
      <c r="B2839" t="s">
        <v>55</v>
      </c>
      <c r="C2839" t="s">
        <v>3025</v>
      </c>
      <c r="D2839" t="s">
        <v>3026</v>
      </c>
      <c r="E2839" t="s">
        <v>78</v>
      </c>
      <c r="F2839" t="s">
        <v>252</v>
      </c>
      <c r="G2839">
        <v>6.0328999999999997</v>
      </c>
      <c r="H2839">
        <v>-75.707999999999998</v>
      </c>
      <c r="I2839" t="s">
        <v>80</v>
      </c>
      <c r="J2839">
        <v>11</v>
      </c>
      <c r="M2839">
        <v>173</v>
      </c>
      <c r="N2839">
        <v>44</v>
      </c>
      <c r="O2839">
        <v>20</v>
      </c>
      <c r="P2839">
        <v>42</v>
      </c>
      <c r="Q2839">
        <v>31</v>
      </c>
      <c r="R2839">
        <v>40</v>
      </c>
    </row>
    <row r="2840" spans="1:18" x14ac:dyDescent="0.25">
      <c r="A2840" t="s">
        <v>3039</v>
      </c>
      <c r="B2840" t="s">
        <v>55</v>
      </c>
      <c r="C2840" t="s">
        <v>3025</v>
      </c>
      <c r="D2840" t="s">
        <v>3026</v>
      </c>
      <c r="E2840" t="s">
        <v>78</v>
      </c>
      <c r="F2840" t="s">
        <v>252</v>
      </c>
      <c r="G2840">
        <v>6.0328999999999997</v>
      </c>
      <c r="H2840">
        <v>-75.707999999999998</v>
      </c>
      <c r="I2840" t="s">
        <v>80</v>
      </c>
      <c r="J2840">
        <v>11</v>
      </c>
      <c r="M2840">
        <v>173</v>
      </c>
      <c r="N2840">
        <v>46</v>
      </c>
      <c r="O2840">
        <v>30</v>
      </c>
      <c r="P2840">
        <v>46</v>
      </c>
      <c r="Q2840">
        <v>17</v>
      </c>
      <c r="R2840">
        <v>31</v>
      </c>
    </row>
    <row r="2841" spans="1:18" x14ac:dyDescent="0.25">
      <c r="A2841" t="s">
        <v>3040</v>
      </c>
      <c r="B2841" t="s">
        <v>55</v>
      </c>
      <c r="C2841" t="s">
        <v>3025</v>
      </c>
      <c r="D2841" t="s">
        <v>3026</v>
      </c>
      <c r="E2841" t="s">
        <v>78</v>
      </c>
      <c r="F2841" t="s">
        <v>252</v>
      </c>
      <c r="G2841">
        <v>6.0328999999999997</v>
      </c>
      <c r="H2841">
        <v>-75.707999999999998</v>
      </c>
      <c r="I2841" t="s">
        <v>80</v>
      </c>
      <c r="J2841">
        <v>11</v>
      </c>
      <c r="M2841">
        <v>165</v>
      </c>
      <c r="N2841">
        <v>24</v>
      </c>
      <c r="O2841">
        <v>38</v>
      </c>
      <c r="P2841">
        <v>38</v>
      </c>
      <c r="Q2841">
        <v>29</v>
      </c>
      <c r="R2841">
        <v>40</v>
      </c>
    </row>
    <row r="2842" spans="1:18" x14ac:dyDescent="0.25">
      <c r="A2842" t="s">
        <v>3041</v>
      </c>
      <c r="B2842" t="s">
        <v>55</v>
      </c>
      <c r="C2842" t="s">
        <v>3025</v>
      </c>
      <c r="D2842" t="s">
        <v>3026</v>
      </c>
      <c r="E2842" t="s">
        <v>78</v>
      </c>
      <c r="F2842" t="s">
        <v>252</v>
      </c>
      <c r="G2842">
        <v>6.0328999999999997</v>
      </c>
      <c r="H2842">
        <v>-75.707999999999998</v>
      </c>
      <c r="I2842" t="s">
        <v>80</v>
      </c>
      <c r="J2842">
        <v>11</v>
      </c>
      <c r="M2842">
        <v>163</v>
      </c>
      <c r="N2842">
        <v>34</v>
      </c>
      <c r="O2842">
        <v>28</v>
      </c>
      <c r="P2842">
        <v>38</v>
      </c>
      <c r="Q2842">
        <v>31</v>
      </c>
      <c r="R2842">
        <v>31</v>
      </c>
    </row>
    <row r="2843" spans="1:18" x14ac:dyDescent="0.25">
      <c r="A2843" t="s">
        <v>3042</v>
      </c>
      <c r="B2843" t="s">
        <v>55</v>
      </c>
      <c r="C2843" t="s">
        <v>3025</v>
      </c>
      <c r="D2843" t="s">
        <v>3026</v>
      </c>
      <c r="E2843" t="s">
        <v>78</v>
      </c>
      <c r="F2843" t="s">
        <v>252</v>
      </c>
      <c r="G2843">
        <v>6.0328999999999997</v>
      </c>
      <c r="H2843">
        <v>-75.707999999999998</v>
      </c>
      <c r="I2843" t="s">
        <v>80</v>
      </c>
      <c r="J2843">
        <v>11</v>
      </c>
      <c r="M2843">
        <v>160</v>
      </c>
      <c r="N2843">
        <v>29</v>
      </c>
      <c r="O2843">
        <v>26</v>
      </c>
      <c r="P2843">
        <v>38</v>
      </c>
      <c r="Q2843">
        <v>34</v>
      </c>
      <c r="R2843">
        <v>33</v>
      </c>
    </row>
    <row r="2844" spans="1:18" x14ac:dyDescent="0.25">
      <c r="A2844" t="s">
        <v>3043</v>
      </c>
      <c r="B2844" t="s">
        <v>55</v>
      </c>
      <c r="C2844" t="s">
        <v>3025</v>
      </c>
      <c r="D2844" t="s">
        <v>3026</v>
      </c>
      <c r="E2844" t="s">
        <v>78</v>
      </c>
      <c r="F2844" t="s">
        <v>252</v>
      </c>
      <c r="G2844">
        <v>6.0328999999999997</v>
      </c>
      <c r="H2844">
        <v>-75.707999999999998</v>
      </c>
      <c r="I2844" t="s">
        <v>80</v>
      </c>
      <c r="J2844">
        <v>11</v>
      </c>
      <c r="M2844">
        <v>159</v>
      </c>
      <c r="N2844">
        <v>46</v>
      </c>
      <c r="O2844">
        <v>20</v>
      </c>
      <c r="P2844">
        <v>32</v>
      </c>
      <c r="Q2844">
        <v>28</v>
      </c>
      <c r="R2844">
        <v>35</v>
      </c>
    </row>
    <row r="2845" spans="1:18" x14ac:dyDescent="0.25">
      <c r="A2845" t="s">
        <v>3044</v>
      </c>
      <c r="B2845" t="s">
        <v>55</v>
      </c>
      <c r="C2845" t="s">
        <v>3025</v>
      </c>
      <c r="D2845" t="s">
        <v>3026</v>
      </c>
      <c r="E2845" t="s">
        <v>78</v>
      </c>
      <c r="F2845" t="s">
        <v>252</v>
      </c>
      <c r="G2845">
        <v>6.0328999999999997</v>
      </c>
      <c r="H2845">
        <v>-75.707999999999998</v>
      </c>
      <c r="I2845" t="s">
        <v>80</v>
      </c>
      <c r="J2845">
        <v>11</v>
      </c>
      <c r="M2845">
        <v>157</v>
      </c>
      <c r="N2845">
        <v>32</v>
      </c>
      <c r="O2845">
        <v>28</v>
      </c>
      <c r="P2845">
        <v>40</v>
      </c>
      <c r="Q2845">
        <v>26</v>
      </c>
      <c r="R2845">
        <v>31</v>
      </c>
    </row>
    <row r="2846" spans="1:18" x14ac:dyDescent="0.25">
      <c r="A2846" t="s">
        <v>3045</v>
      </c>
      <c r="B2846" t="s">
        <v>55</v>
      </c>
      <c r="C2846" t="s">
        <v>3025</v>
      </c>
      <c r="D2846" t="s">
        <v>3026</v>
      </c>
      <c r="E2846" t="s">
        <v>78</v>
      </c>
      <c r="F2846" t="s">
        <v>252</v>
      </c>
      <c r="G2846">
        <v>6.0328999999999997</v>
      </c>
      <c r="H2846">
        <v>-75.707999999999998</v>
      </c>
      <c r="I2846" t="s">
        <v>80</v>
      </c>
      <c r="J2846">
        <v>11</v>
      </c>
      <c r="M2846">
        <v>156</v>
      </c>
      <c r="N2846">
        <v>37</v>
      </c>
      <c r="O2846">
        <v>24</v>
      </c>
      <c r="P2846">
        <v>40</v>
      </c>
      <c r="Q2846">
        <v>22</v>
      </c>
      <c r="R2846">
        <v>36</v>
      </c>
    </row>
    <row r="2847" spans="1:18" x14ac:dyDescent="0.25">
      <c r="A2847" t="s">
        <v>3046</v>
      </c>
      <c r="B2847" t="s">
        <v>55</v>
      </c>
      <c r="C2847" t="s">
        <v>3025</v>
      </c>
      <c r="D2847" t="s">
        <v>3026</v>
      </c>
      <c r="E2847" t="s">
        <v>78</v>
      </c>
      <c r="F2847" t="s">
        <v>252</v>
      </c>
      <c r="G2847">
        <v>6.0328999999999997</v>
      </c>
      <c r="H2847">
        <v>-75.707999999999998</v>
      </c>
      <c r="I2847" t="s">
        <v>80</v>
      </c>
      <c r="J2847">
        <v>11</v>
      </c>
      <c r="M2847">
        <v>155</v>
      </c>
      <c r="N2847">
        <v>39</v>
      </c>
      <c r="O2847">
        <v>22</v>
      </c>
      <c r="P2847">
        <v>34</v>
      </c>
      <c r="Q2847">
        <v>29</v>
      </c>
      <c r="R2847">
        <v>29</v>
      </c>
    </row>
    <row r="2848" spans="1:18" x14ac:dyDescent="0.25">
      <c r="A2848" t="s">
        <v>3047</v>
      </c>
      <c r="B2848" t="s">
        <v>55</v>
      </c>
      <c r="C2848" t="s">
        <v>3025</v>
      </c>
      <c r="D2848" t="s">
        <v>3026</v>
      </c>
      <c r="E2848" t="s">
        <v>78</v>
      </c>
      <c r="F2848" t="s">
        <v>252</v>
      </c>
      <c r="G2848">
        <v>6.0328999999999997</v>
      </c>
      <c r="H2848">
        <v>-75.707999999999998</v>
      </c>
      <c r="I2848" t="s">
        <v>80</v>
      </c>
      <c r="J2848">
        <v>11</v>
      </c>
      <c r="M2848">
        <v>150</v>
      </c>
      <c r="N2848">
        <v>34</v>
      </c>
      <c r="O2848">
        <v>26</v>
      </c>
      <c r="P2848">
        <v>44</v>
      </c>
      <c r="Q2848">
        <v>19</v>
      </c>
      <c r="R2848">
        <v>22</v>
      </c>
    </row>
    <row r="2849" spans="1:18" x14ac:dyDescent="0.25">
      <c r="A2849" t="s">
        <v>3048</v>
      </c>
      <c r="B2849" t="s">
        <v>55</v>
      </c>
      <c r="C2849" t="s">
        <v>3025</v>
      </c>
      <c r="D2849" t="s">
        <v>3026</v>
      </c>
      <c r="E2849" t="s">
        <v>78</v>
      </c>
      <c r="F2849" t="s">
        <v>252</v>
      </c>
      <c r="G2849">
        <v>6.0328999999999997</v>
      </c>
      <c r="H2849">
        <v>-75.707999999999998</v>
      </c>
      <c r="I2849" t="s">
        <v>80</v>
      </c>
      <c r="J2849">
        <v>11</v>
      </c>
      <c r="M2849">
        <v>149</v>
      </c>
      <c r="N2849">
        <v>34</v>
      </c>
      <c r="O2849">
        <v>26</v>
      </c>
      <c r="P2849">
        <v>32</v>
      </c>
      <c r="Q2849">
        <v>26</v>
      </c>
      <c r="R2849">
        <v>33</v>
      </c>
    </row>
    <row r="2850" spans="1:18" x14ac:dyDescent="0.25">
      <c r="A2850" t="s">
        <v>3049</v>
      </c>
      <c r="B2850" t="s">
        <v>55</v>
      </c>
      <c r="C2850" t="s">
        <v>3025</v>
      </c>
      <c r="D2850" t="s">
        <v>3026</v>
      </c>
      <c r="E2850" t="s">
        <v>78</v>
      </c>
      <c r="F2850" t="s">
        <v>252</v>
      </c>
      <c r="G2850">
        <v>6.0328999999999997</v>
      </c>
      <c r="H2850">
        <v>-75.707999999999998</v>
      </c>
      <c r="I2850" t="s">
        <v>80</v>
      </c>
      <c r="J2850">
        <v>11</v>
      </c>
      <c r="M2850">
        <v>149</v>
      </c>
      <c r="N2850">
        <v>22</v>
      </c>
      <c r="O2850">
        <v>20</v>
      </c>
      <c r="P2850">
        <v>36</v>
      </c>
      <c r="Q2850">
        <v>36</v>
      </c>
      <c r="R2850">
        <v>44</v>
      </c>
    </row>
    <row r="2851" spans="1:18" x14ac:dyDescent="0.25">
      <c r="A2851" t="s">
        <v>3050</v>
      </c>
      <c r="B2851" t="s">
        <v>55</v>
      </c>
      <c r="C2851" t="s">
        <v>3025</v>
      </c>
      <c r="D2851" t="s">
        <v>3026</v>
      </c>
      <c r="E2851" t="s">
        <v>78</v>
      </c>
      <c r="F2851" t="s">
        <v>252</v>
      </c>
      <c r="G2851">
        <v>6.0328999999999997</v>
      </c>
      <c r="H2851">
        <v>-75.707999999999998</v>
      </c>
      <c r="I2851" t="s">
        <v>80</v>
      </c>
      <c r="J2851">
        <v>11</v>
      </c>
      <c r="M2851">
        <v>147</v>
      </c>
      <c r="N2851">
        <v>46</v>
      </c>
      <c r="O2851">
        <v>14</v>
      </c>
      <c r="P2851">
        <v>40</v>
      </c>
      <c r="Q2851">
        <v>17</v>
      </c>
      <c r="R2851">
        <v>29</v>
      </c>
    </row>
    <row r="2852" spans="1:18" x14ac:dyDescent="0.25">
      <c r="A2852" t="s">
        <v>3051</v>
      </c>
      <c r="B2852" t="s">
        <v>55</v>
      </c>
      <c r="C2852" t="s">
        <v>3025</v>
      </c>
      <c r="D2852" t="s">
        <v>3026</v>
      </c>
      <c r="E2852" t="s">
        <v>78</v>
      </c>
      <c r="F2852" t="s">
        <v>252</v>
      </c>
      <c r="G2852">
        <v>6.0328999999999997</v>
      </c>
      <c r="H2852">
        <v>-75.707999999999998</v>
      </c>
      <c r="I2852" t="s">
        <v>80</v>
      </c>
      <c r="J2852">
        <v>11</v>
      </c>
      <c r="M2852">
        <v>144</v>
      </c>
      <c r="N2852">
        <v>27</v>
      </c>
      <c r="O2852">
        <v>40</v>
      </c>
      <c r="P2852">
        <v>20</v>
      </c>
      <c r="Q2852">
        <v>26</v>
      </c>
      <c r="R2852">
        <v>36</v>
      </c>
    </row>
    <row r="2853" spans="1:18" x14ac:dyDescent="0.25">
      <c r="A2853" t="s">
        <v>3052</v>
      </c>
      <c r="B2853" t="s">
        <v>55</v>
      </c>
      <c r="C2853" t="s">
        <v>3025</v>
      </c>
      <c r="D2853" t="s">
        <v>3026</v>
      </c>
      <c r="E2853" t="s">
        <v>78</v>
      </c>
      <c r="F2853" t="s">
        <v>252</v>
      </c>
      <c r="G2853">
        <v>6.0328999999999997</v>
      </c>
      <c r="H2853">
        <v>-75.707999999999998</v>
      </c>
      <c r="I2853" t="s">
        <v>80</v>
      </c>
      <c r="J2853">
        <v>11</v>
      </c>
      <c r="M2853">
        <v>139</v>
      </c>
      <c r="N2853">
        <v>44</v>
      </c>
      <c r="O2853">
        <v>22</v>
      </c>
      <c r="P2853">
        <v>24</v>
      </c>
      <c r="Q2853">
        <v>22</v>
      </c>
      <c r="R2853">
        <v>24</v>
      </c>
    </row>
    <row r="2854" spans="1:18" x14ac:dyDescent="0.25">
      <c r="A2854" t="s">
        <v>3053</v>
      </c>
      <c r="B2854" t="s">
        <v>55</v>
      </c>
      <c r="C2854" t="s">
        <v>3025</v>
      </c>
      <c r="D2854" t="s">
        <v>3026</v>
      </c>
      <c r="E2854" t="s">
        <v>78</v>
      </c>
      <c r="F2854" t="s">
        <v>252</v>
      </c>
      <c r="G2854">
        <v>6.0328999999999997</v>
      </c>
      <c r="H2854">
        <v>-75.707999999999998</v>
      </c>
      <c r="I2854" t="s">
        <v>80</v>
      </c>
      <c r="J2854">
        <v>11</v>
      </c>
      <c r="M2854">
        <v>134</v>
      </c>
      <c r="N2854">
        <v>17</v>
      </c>
      <c r="O2854">
        <v>30</v>
      </c>
      <c r="P2854">
        <v>26</v>
      </c>
      <c r="Q2854">
        <v>33</v>
      </c>
      <c r="R2854">
        <v>31</v>
      </c>
    </row>
    <row r="2855" spans="1:18" x14ac:dyDescent="0.25">
      <c r="A2855" t="s">
        <v>3054</v>
      </c>
      <c r="B2855" t="s">
        <v>55</v>
      </c>
      <c r="C2855" t="s">
        <v>3025</v>
      </c>
      <c r="D2855" t="s">
        <v>3026</v>
      </c>
      <c r="E2855" t="s">
        <v>78</v>
      </c>
      <c r="F2855" t="s">
        <v>252</v>
      </c>
      <c r="G2855">
        <v>6.0328999999999997</v>
      </c>
      <c r="H2855">
        <v>-75.707999999999998</v>
      </c>
      <c r="I2855" t="s">
        <v>80</v>
      </c>
      <c r="J2855">
        <v>11</v>
      </c>
      <c r="M2855">
        <v>130</v>
      </c>
      <c r="N2855">
        <v>34</v>
      </c>
      <c r="O2855">
        <v>20</v>
      </c>
      <c r="P2855">
        <v>36</v>
      </c>
      <c r="Q2855">
        <v>14</v>
      </c>
      <c r="R2855">
        <v>25</v>
      </c>
    </row>
    <row r="2856" spans="1:18" x14ac:dyDescent="0.25">
      <c r="A2856" t="s">
        <v>3055</v>
      </c>
      <c r="B2856" t="s">
        <v>55</v>
      </c>
      <c r="C2856" t="s">
        <v>3025</v>
      </c>
      <c r="D2856" t="s">
        <v>3026</v>
      </c>
      <c r="E2856" t="s">
        <v>78</v>
      </c>
      <c r="F2856" t="s">
        <v>252</v>
      </c>
      <c r="G2856">
        <v>6.0328999999999997</v>
      </c>
      <c r="H2856">
        <v>-75.707999999999998</v>
      </c>
      <c r="I2856" t="s">
        <v>80</v>
      </c>
      <c r="J2856">
        <v>11</v>
      </c>
      <c r="M2856">
        <v>116</v>
      </c>
      <c r="N2856">
        <v>24</v>
      </c>
      <c r="O2856">
        <v>20</v>
      </c>
      <c r="P2856">
        <v>16</v>
      </c>
      <c r="Q2856">
        <v>22</v>
      </c>
      <c r="R2856">
        <v>53</v>
      </c>
    </row>
    <row r="2857" spans="1:18" x14ac:dyDescent="0.25">
      <c r="A2857" t="s">
        <v>3056</v>
      </c>
      <c r="B2857" t="s">
        <v>55</v>
      </c>
      <c r="C2857" t="s">
        <v>3025</v>
      </c>
      <c r="D2857" t="s">
        <v>3026</v>
      </c>
      <c r="E2857" t="s">
        <v>78</v>
      </c>
      <c r="F2857" t="s">
        <v>252</v>
      </c>
      <c r="G2857">
        <v>6.0328999999999997</v>
      </c>
      <c r="H2857">
        <v>-75.707999999999998</v>
      </c>
      <c r="I2857" t="s">
        <v>80</v>
      </c>
      <c r="J2857">
        <v>11</v>
      </c>
      <c r="M2857">
        <v>110</v>
      </c>
      <c r="N2857">
        <v>27</v>
      </c>
      <c r="O2857">
        <v>20</v>
      </c>
      <c r="P2857">
        <v>22</v>
      </c>
      <c r="Q2857">
        <v>19</v>
      </c>
      <c r="R2857">
        <v>22</v>
      </c>
    </row>
    <row r="2858" spans="1:18" x14ac:dyDescent="0.25">
      <c r="A2858" t="s">
        <v>3057</v>
      </c>
      <c r="B2858" t="s">
        <v>55</v>
      </c>
      <c r="C2858" t="s">
        <v>3025</v>
      </c>
      <c r="D2858" t="s">
        <v>3026</v>
      </c>
      <c r="E2858" t="s">
        <v>78</v>
      </c>
      <c r="F2858" t="s">
        <v>252</v>
      </c>
      <c r="G2858">
        <v>6.0328999999999997</v>
      </c>
      <c r="H2858">
        <v>-75.707999999999998</v>
      </c>
      <c r="I2858" t="s">
        <v>80</v>
      </c>
      <c r="J2858">
        <v>11</v>
      </c>
      <c r="M2858">
        <v>62</v>
      </c>
      <c r="N2858">
        <v>0</v>
      </c>
      <c r="O2858">
        <v>6</v>
      </c>
      <c r="P2858">
        <v>22</v>
      </c>
      <c r="Q2858">
        <v>12</v>
      </c>
      <c r="R2858">
        <v>42</v>
      </c>
    </row>
    <row r="2859" spans="1:18" x14ac:dyDescent="0.25">
      <c r="A2859" t="s">
        <v>3058</v>
      </c>
      <c r="B2859" t="s">
        <v>55</v>
      </c>
      <c r="C2859" t="s">
        <v>3059</v>
      </c>
      <c r="D2859" t="s">
        <v>3060</v>
      </c>
      <c r="E2859" t="s">
        <v>78</v>
      </c>
      <c r="F2859" t="s">
        <v>252</v>
      </c>
      <c r="G2859">
        <v>6.6047000000000002</v>
      </c>
      <c r="H2859">
        <v>-75.666399999999996</v>
      </c>
      <c r="I2859" t="s">
        <v>3061</v>
      </c>
      <c r="J2859">
        <v>11</v>
      </c>
      <c r="M2859">
        <v>256</v>
      </c>
      <c r="N2859">
        <v>54</v>
      </c>
      <c r="O2859">
        <v>38</v>
      </c>
      <c r="P2859">
        <v>68</v>
      </c>
      <c r="Q2859">
        <v>45</v>
      </c>
      <c r="R2859">
        <v>51</v>
      </c>
    </row>
    <row r="2860" spans="1:18" x14ac:dyDescent="0.25">
      <c r="A2860" t="s">
        <v>3062</v>
      </c>
      <c r="B2860" t="s">
        <v>55</v>
      </c>
      <c r="C2860" t="s">
        <v>3059</v>
      </c>
      <c r="D2860" t="s">
        <v>3060</v>
      </c>
      <c r="E2860" t="s">
        <v>78</v>
      </c>
      <c r="F2860" t="s">
        <v>252</v>
      </c>
      <c r="G2860">
        <v>6.6047000000000002</v>
      </c>
      <c r="H2860">
        <v>-75.666399999999996</v>
      </c>
      <c r="I2860" t="s">
        <v>3061</v>
      </c>
      <c r="J2860">
        <v>11</v>
      </c>
      <c r="M2860">
        <v>228</v>
      </c>
      <c r="N2860">
        <v>54</v>
      </c>
      <c r="O2860">
        <v>30</v>
      </c>
      <c r="P2860">
        <v>54</v>
      </c>
      <c r="Q2860">
        <v>41</v>
      </c>
      <c r="R2860">
        <v>56</v>
      </c>
    </row>
    <row r="2861" spans="1:18" x14ac:dyDescent="0.25">
      <c r="A2861" t="s">
        <v>3063</v>
      </c>
      <c r="B2861" t="s">
        <v>55</v>
      </c>
      <c r="C2861" t="s">
        <v>3059</v>
      </c>
      <c r="D2861" t="s">
        <v>3060</v>
      </c>
      <c r="E2861" t="s">
        <v>78</v>
      </c>
      <c r="F2861" t="s">
        <v>252</v>
      </c>
      <c r="G2861">
        <v>6.6047000000000002</v>
      </c>
      <c r="H2861">
        <v>-75.666399999999996</v>
      </c>
      <c r="I2861" t="s">
        <v>3061</v>
      </c>
      <c r="J2861">
        <v>11</v>
      </c>
      <c r="M2861">
        <v>228</v>
      </c>
      <c r="N2861">
        <v>63</v>
      </c>
      <c r="O2861">
        <v>28</v>
      </c>
      <c r="P2861">
        <v>54</v>
      </c>
      <c r="Q2861">
        <v>28</v>
      </c>
      <c r="R2861">
        <v>73</v>
      </c>
    </row>
    <row r="2862" spans="1:18" x14ac:dyDescent="0.25">
      <c r="A2862" t="s">
        <v>3064</v>
      </c>
      <c r="B2862" t="s">
        <v>55</v>
      </c>
      <c r="C2862" t="s">
        <v>3059</v>
      </c>
      <c r="D2862" t="s">
        <v>3060</v>
      </c>
      <c r="E2862" t="s">
        <v>78</v>
      </c>
      <c r="F2862" t="s">
        <v>252</v>
      </c>
      <c r="G2862">
        <v>6.6047000000000002</v>
      </c>
      <c r="H2862">
        <v>-75.666399999999996</v>
      </c>
      <c r="I2862" t="s">
        <v>3061</v>
      </c>
      <c r="J2862">
        <v>11</v>
      </c>
      <c r="M2862">
        <v>222</v>
      </c>
      <c r="N2862">
        <v>66</v>
      </c>
      <c r="O2862">
        <v>26</v>
      </c>
      <c r="P2862">
        <v>52</v>
      </c>
      <c r="Q2862">
        <v>36</v>
      </c>
      <c r="R2862">
        <v>36</v>
      </c>
    </row>
    <row r="2863" spans="1:18" x14ac:dyDescent="0.25">
      <c r="A2863" t="s">
        <v>3065</v>
      </c>
      <c r="B2863" t="s">
        <v>55</v>
      </c>
      <c r="C2863" t="s">
        <v>3059</v>
      </c>
      <c r="D2863" t="s">
        <v>3060</v>
      </c>
      <c r="E2863" t="s">
        <v>78</v>
      </c>
      <c r="F2863" t="s">
        <v>252</v>
      </c>
      <c r="G2863">
        <v>6.6047000000000002</v>
      </c>
      <c r="H2863">
        <v>-75.666399999999996</v>
      </c>
      <c r="I2863" t="s">
        <v>3061</v>
      </c>
      <c r="J2863">
        <v>11</v>
      </c>
      <c r="M2863">
        <v>213</v>
      </c>
      <c r="N2863">
        <v>61</v>
      </c>
      <c r="O2863">
        <v>26</v>
      </c>
      <c r="P2863">
        <v>54</v>
      </c>
      <c r="Q2863">
        <v>29</v>
      </c>
      <c r="R2863">
        <v>42</v>
      </c>
    </row>
    <row r="2864" spans="1:18" x14ac:dyDescent="0.25">
      <c r="A2864" t="s">
        <v>3066</v>
      </c>
      <c r="B2864" t="s">
        <v>55</v>
      </c>
      <c r="C2864" t="s">
        <v>3059</v>
      </c>
      <c r="D2864" t="s">
        <v>3060</v>
      </c>
      <c r="E2864" t="s">
        <v>78</v>
      </c>
      <c r="F2864" t="s">
        <v>252</v>
      </c>
      <c r="G2864">
        <v>6.6047000000000002</v>
      </c>
      <c r="H2864">
        <v>-75.666399999999996</v>
      </c>
      <c r="I2864" t="s">
        <v>3061</v>
      </c>
      <c r="J2864">
        <v>11</v>
      </c>
      <c r="M2864">
        <v>211</v>
      </c>
      <c r="N2864">
        <v>49</v>
      </c>
      <c r="O2864">
        <v>30</v>
      </c>
      <c r="P2864">
        <v>56</v>
      </c>
      <c r="Q2864">
        <v>33</v>
      </c>
      <c r="R2864">
        <v>45</v>
      </c>
    </row>
    <row r="2865" spans="1:18" x14ac:dyDescent="0.25">
      <c r="A2865" t="s">
        <v>3067</v>
      </c>
      <c r="B2865" t="s">
        <v>55</v>
      </c>
      <c r="C2865" t="s">
        <v>3059</v>
      </c>
      <c r="D2865" t="s">
        <v>3060</v>
      </c>
      <c r="E2865" t="s">
        <v>78</v>
      </c>
      <c r="F2865" t="s">
        <v>252</v>
      </c>
      <c r="G2865">
        <v>6.6047000000000002</v>
      </c>
      <c r="H2865">
        <v>-75.666399999999996</v>
      </c>
      <c r="I2865" t="s">
        <v>3061</v>
      </c>
      <c r="J2865">
        <v>11</v>
      </c>
      <c r="M2865">
        <v>209</v>
      </c>
      <c r="N2865">
        <v>46</v>
      </c>
      <c r="O2865">
        <v>32</v>
      </c>
      <c r="P2865">
        <v>54</v>
      </c>
      <c r="Q2865">
        <v>33</v>
      </c>
      <c r="R2865">
        <v>49</v>
      </c>
    </row>
    <row r="2866" spans="1:18" x14ac:dyDescent="0.25">
      <c r="A2866" t="s">
        <v>3068</v>
      </c>
      <c r="B2866" t="s">
        <v>55</v>
      </c>
      <c r="C2866" t="s">
        <v>3059</v>
      </c>
      <c r="D2866" t="s">
        <v>3060</v>
      </c>
      <c r="E2866" t="s">
        <v>78</v>
      </c>
      <c r="F2866" t="s">
        <v>252</v>
      </c>
      <c r="G2866">
        <v>6.6047000000000002</v>
      </c>
      <c r="H2866">
        <v>-75.666399999999996</v>
      </c>
      <c r="I2866" t="s">
        <v>3061</v>
      </c>
      <c r="J2866">
        <v>11</v>
      </c>
      <c r="M2866">
        <v>208</v>
      </c>
      <c r="N2866">
        <v>51</v>
      </c>
      <c r="O2866">
        <v>28</v>
      </c>
      <c r="P2866">
        <v>50</v>
      </c>
      <c r="Q2866">
        <v>34</v>
      </c>
      <c r="R2866">
        <v>51</v>
      </c>
    </row>
    <row r="2867" spans="1:18" x14ac:dyDescent="0.25">
      <c r="A2867" t="s">
        <v>3069</v>
      </c>
      <c r="B2867" t="s">
        <v>55</v>
      </c>
      <c r="C2867" t="s">
        <v>3059</v>
      </c>
      <c r="D2867" t="s">
        <v>3060</v>
      </c>
      <c r="E2867" t="s">
        <v>78</v>
      </c>
      <c r="F2867" t="s">
        <v>252</v>
      </c>
      <c r="G2867">
        <v>6.6047000000000002</v>
      </c>
      <c r="H2867">
        <v>-75.666399999999996</v>
      </c>
      <c r="I2867" t="s">
        <v>3061</v>
      </c>
      <c r="J2867">
        <v>11</v>
      </c>
      <c r="M2867">
        <v>201</v>
      </c>
      <c r="N2867">
        <v>44</v>
      </c>
      <c r="O2867">
        <v>26</v>
      </c>
      <c r="P2867">
        <v>48</v>
      </c>
      <c r="Q2867">
        <v>36</v>
      </c>
      <c r="R2867">
        <v>60</v>
      </c>
    </row>
    <row r="2868" spans="1:18" x14ac:dyDescent="0.25">
      <c r="A2868" t="s">
        <v>3070</v>
      </c>
      <c r="B2868" t="s">
        <v>55</v>
      </c>
      <c r="C2868" t="s">
        <v>3059</v>
      </c>
      <c r="D2868" t="s">
        <v>3060</v>
      </c>
      <c r="E2868" t="s">
        <v>78</v>
      </c>
      <c r="F2868" t="s">
        <v>252</v>
      </c>
      <c r="G2868">
        <v>6.6047000000000002</v>
      </c>
      <c r="H2868">
        <v>-75.666399999999996</v>
      </c>
      <c r="I2868" t="s">
        <v>3061</v>
      </c>
      <c r="J2868">
        <v>11</v>
      </c>
      <c r="M2868">
        <v>201</v>
      </c>
      <c r="N2868">
        <v>46</v>
      </c>
      <c r="O2868">
        <v>18</v>
      </c>
      <c r="P2868">
        <v>56</v>
      </c>
      <c r="Q2868">
        <v>38</v>
      </c>
      <c r="R2868">
        <v>47</v>
      </c>
    </row>
    <row r="2869" spans="1:18" x14ac:dyDescent="0.25">
      <c r="A2869" t="s">
        <v>3071</v>
      </c>
      <c r="B2869" t="s">
        <v>55</v>
      </c>
      <c r="C2869" t="s">
        <v>3059</v>
      </c>
      <c r="D2869" t="s">
        <v>3060</v>
      </c>
      <c r="E2869" t="s">
        <v>78</v>
      </c>
      <c r="F2869" t="s">
        <v>252</v>
      </c>
      <c r="G2869">
        <v>6.6047000000000002</v>
      </c>
      <c r="H2869">
        <v>-75.666399999999996</v>
      </c>
      <c r="I2869" t="s">
        <v>3061</v>
      </c>
      <c r="J2869">
        <v>11</v>
      </c>
      <c r="M2869">
        <v>196</v>
      </c>
      <c r="N2869">
        <v>41</v>
      </c>
      <c r="O2869">
        <v>30</v>
      </c>
      <c r="P2869">
        <v>56</v>
      </c>
      <c r="Q2869">
        <v>28</v>
      </c>
      <c r="R2869">
        <v>44</v>
      </c>
    </row>
    <row r="2870" spans="1:18" x14ac:dyDescent="0.25">
      <c r="A2870" t="s">
        <v>3072</v>
      </c>
      <c r="B2870" t="s">
        <v>55</v>
      </c>
      <c r="C2870" t="s">
        <v>3059</v>
      </c>
      <c r="D2870" t="s">
        <v>3060</v>
      </c>
      <c r="E2870" t="s">
        <v>78</v>
      </c>
      <c r="F2870" t="s">
        <v>252</v>
      </c>
      <c r="G2870">
        <v>6.6047000000000002</v>
      </c>
      <c r="H2870">
        <v>-75.666399999999996</v>
      </c>
      <c r="I2870" t="s">
        <v>3061</v>
      </c>
      <c r="J2870">
        <v>11</v>
      </c>
      <c r="M2870">
        <v>187</v>
      </c>
      <c r="N2870">
        <v>49</v>
      </c>
      <c r="O2870">
        <v>26</v>
      </c>
      <c r="P2870">
        <v>48</v>
      </c>
      <c r="Q2870">
        <v>24</v>
      </c>
      <c r="R2870">
        <v>45</v>
      </c>
    </row>
    <row r="2871" spans="1:18" x14ac:dyDescent="0.25">
      <c r="A2871" t="s">
        <v>3073</v>
      </c>
      <c r="B2871" t="s">
        <v>55</v>
      </c>
      <c r="C2871" t="s">
        <v>3059</v>
      </c>
      <c r="D2871" t="s">
        <v>3060</v>
      </c>
      <c r="E2871" t="s">
        <v>78</v>
      </c>
      <c r="F2871" t="s">
        <v>252</v>
      </c>
      <c r="G2871">
        <v>6.6047000000000002</v>
      </c>
      <c r="H2871">
        <v>-75.666399999999996</v>
      </c>
      <c r="I2871" t="s">
        <v>3061</v>
      </c>
      <c r="J2871">
        <v>11</v>
      </c>
      <c r="M2871">
        <v>183</v>
      </c>
      <c r="N2871">
        <v>37</v>
      </c>
      <c r="O2871">
        <v>18</v>
      </c>
      <c r="P2871">
        <v>50</v>
      </c>
      <c r="Q2871">
        <v>36</v>
      </c>
      <c r="R2871">
        <v>55</v>
      </c>
    </row>
    <row r="2872" spans="1:18" x14ac:dyDescent="0.25">
      <c r="A2872" t="s">
        <v>3074</v>
      </c>
      <c r="B2872" t="s">
        <v>55</v>
      </c>
      <c r="C2872" t="s">
        <v>3059</v>
      </c>
      <c r="D2872" t="s">
        <v>3060</v>
      </c>
      <c r="E2872" t="s">
        <v>78</v>
      </c>
      <c r="F2872" t="s">
        <v>252</v>
      </c>
      <c r="G2872">
        <v>6.6047000000000002</v>
      </c>
      <c r="H2872">
        <v>-75.666399999999996</v>
      </c>
      <c r="I2872" t="s">
        <v>3061</v>
      </c>
      <c r="J2872">
        <v>11</v>
      </c>
      <c r="M2872">
        <v>183</v>
      </c>
      <c r="N2872">
        <v>39</v>
      </c>
      <c r="O2872">
        <v>22</v>
      </c>
      <c r="P2872">
        <v>48</v>
      </c>
      <c r="Q2872">
        <v>33</v>
      </c>
      <c r="R2872">
        <v>51</v>
      </c>
    </row>
    <row r="2873" spans="1:18" x14ac:dyDescent="0.25">
      <c r="A2873" t="s">
        <v>3075</v>
      </c>
      <c r="B2873" t="s">
        <v>55</v>
      </c>
      <c r="C2873" t="s">
        <v>3059</v>
      </c>
      <c r="D2873" t="s">
        <v>3060</v>
      </c>
      <c r="E2873" t="s">
        <v>78</v>
      </c>
      <c r="F2873" t="s">
        <v>252</v>
      </c>
      <c r="G2873">
        <v>6.6047000000000002</v>
      </c>
      <c r="H2873">
        <v>-75.666399999999996</v>
      </c>
      <c r="I2873" t="s">
        <v>3061</v>
      </c>
      <c r="J2873">
        <v>11</v>
      </c>
      <c r="M2873">
        <v>181</v>
      </c>
      <c r="N2873">
        <v>49</v>
      </c>
      <c r="O2873">
        <v>22</v>
      </c>
      <c r="P2873">
        <v>36</v>
      </c>
      <c r="Q2873">
        <v>34</v>
      </c>
      <c r="R2873">
        <v>47</v>
      </c>
    </row>
    <row r="2874" spans="1:18" x14ac:dyDescent="0.25">
      <c r="A2874" t="s">
        <v>3076</v>
      </c>
      <c r="B2874" t="s">
        <v>55</v>
      </c>
      <c r="C2874" t="s">
        <v>3059</v>
      </c>
      <c r="D2874" t="s">
        <v>3060</v>
      </c>
      <c r="E2874" t="s">
        <v>78</v>
      </c>
      <c r="F2874" t="s">
        <v>252</v>
      </c>
      <c r="G2874">
        <v>6.6047000000000002</v>
      </c>
      <c r="H2874">
        <v>-75.666399999999996</v>
      </c>
      <c r="I2874" t="s">
        <v>3061</v>
      </c>
      <c r="J2874">
        <v>11</v>
      </c>
      <c r="M2874">
        <v>181</v>
      </c>
      <c r="N2874">
        <v>41</v>
      </c>
      <c r="O2874">
        <v>26</v>
      </c>
      <c r="P2874">
        <v>42</v>
      </c>
      <c r="Q2874">
        <v>34</v>
      </c>
      <c r="R2874">
        <v>38</v>
      </c>
    </row>
    <row r="2875" spans="1:18" x14ac:dyDescent="0.25">
      <c r="A2875" t="s">
        <v>3077</v>
      </c>
      <c r="B2875" t="s">
        <v>55</v>
      </c>
      <c r="C2875" t="s">
        <v>3059</v>
      </c>
      <c r="D2875" t="s">
        <v>3060</v>
      </c>
      <c r="E2875" t="s">
        <v>78</v>
      </c>
      <c r="F2875" t="s">
        <v>252</v>
      </c>
      <c r="G2875">
        <v>6.6047000000000002</v>
      </c>
      <c r="H2875">
        <v>-75.666399999999996</v>
      </c>
      <c r="I2875" t="s">
        <v>3061</v>
      </c>
      <c r="J2875">
        <v>11</v>
      </c>
      <c r="M2875">
        <v>180</v>
      </c>
      <c r="N2875">
        <v>41</v>
      </c>
      <c r="O2875">
        <v>22</v>
      </c>
      <c r="P2875">
        <v>54</v>
      </c>
      <c r="Q2875">
        <v>28</v>
      </c>
      <c r="R2875">
        <v>33</v>
      </c>
    </row>
    <row r="2876" spans="1:18" x14ac:dyDescent="0.25">
      <c r="A2876" t="s">
        <v>3078</v>
      </c>
      <c r="B2876" t="s">
        <v>55</v>
      </c>
      <c r="C2876" t="s">
        <v>3059</v>
      </c>
      <c r="D2876" t="s">
        <v>3060</v>
      </c>
      <c r="E2876" t="s">
        <v>78</v>
      </c>
      <c r="F2876" t="s">
        <v>252</v>
      </c>
      <c r="G2876">
        <v>6.6047000000000002</v>
      </c>
      <c r="H2876">
        <v>-75.666399999999996</v>
      </c>
      <c r="I2876" t="s">
        <v>3061</v>
      </c>
      <c r="J2876">
        <v>11</v>
      </c>
      <c r="M2876">
        <v>179</v>
      </c>
      <c r="N2876">
        <v>51</v>
      </c>
      <c r="O2876">
        <v>18</v>
      </c>
      <c r="P2876">
        <v>46</v>
      </c>
      <c r="Q2876">
        <v>29</v>
      </c>
      <c r="R2876">
        <v>31</v>
      </c>
    </row>
    <row r="2877" spans="1:18" x14ac:dyDescent="0.25">
      <c r="A2877" t="s">
        <v>3079</v>
      </c>
      <c r="B2877" t="s">
        <v>55</v>
      </c>
      <c r="C2877" t="s">
        <v>3059</v>
      </c>
      <c r="D2877" t="s">
        <v>3060</v>
      </c>
      <c r="E2877" t="s">
        <v>78</v>
      </c>
      <c r="F2877" t="s">
        <v>252</v>
      </c>
      <c r="G2877">
        <v>6.6047000000000002</v>
      </c>
      <c r="H2877">
        <v>-75.666399999999996</v>
      </c>
      <c r="I2877" t="s">
        <v>3061</v>
      </c>
      <c r="J2877">
        <v>11</v>
      </c>
      <c r="M2877">
        <v>178</v>
      </c>
      <c r="N2877">
        <v>41</v>
      </c>
      <c r="O2877">
        <v>24</v>
      </c>
      <c r="P2877">
        <v>50</v>
      </c>
      <c r="Q2877">
        <v>24</v>
      </c>
      <c r="R2877">
        <v>44</v>
      </c>
    </row>
    <row r="2878" spans="1:18" x14ac:dyDescent="0.25">
      <c r="A2878" t="s">
        <v>3080</v>
      </c>
      <c r="B2878" t="s">
        <v>55</v>
      </c>
      <c r="C2878" t="s">
        <v>3059</v>
      </c>
      <c r="D2878" t="s">
        <v>3060</v>
      </c>
      <c r="E2878" t="s">
        <v>78</v>
      </c>
      <c r="F2878" t="s">
        <v>252</v>
      </c>
      <c r="G2878">
        <v>6.6047000000000002</v>
      </c>
      <c r="H2878">
        <v>-75.666399999999996</v>
      </c>
      <c r="I2878" t="s">
        <v>3061</v>
      </c>
      <c r="J2878">
        <v>11</v>
      </c>
      <c r="M2878">
        <v>173</v>
      </c>
      <c r="N2878">
        <v>37</v>
      </c>
      <c r="O2878">
        <v>36</v>
      </c>
      <c r="P2878">
        <v>34</v>
      </c>
      <c r="Q2878">
        <v>29</v>
      </c>
      <c r="R2878">
        <v>42</v>
      </c>
    </row>
    <row r="2879" spans="1:18" x14ac:dyDescent="0.25">
      <c r="A2879" t="s">
        <v>3081</v>
      </c>
      <c r="B2879" t="s">
        <v>55</v>
      </c>
      <c r="C2879" t="s">
        <v>3059</v>
      </c>
      <c r="D2879" t="s">
        <v>3060</v>
      </c>
      <c r="E2879" t="s">
        <v>78</v>
      </c>
      <c r="F2879" t="s">
        <v>252</v>
      </c>
      <c r="G2879">
        <v>6.6047000000000002</v>
      </c>
      <c r="H2879">
        <v>-75.666399999999996</v>
      </c>
      <c r="I2879" t="s">
        <v>3061</v>
      </c>
      <c r="J2879">
        <v>11</v>
      </c>
      <c r="M2879">
        <v>172</v>
      </c>
      <c r="N2879">
        <v>24</v>
      </c>
      <c r="O2879">
        <v>42</v>
      </c>
      <c r="P2879">
        <v>44</v>
      </c>
      <c r="Q2879">
        <v>28</v>
      </c>
      <c r="R2879">
        <v>33</v>
      </c>
    </row>
    <row r="2880" spans="1:18" x14ac:dyDescent="0.25">
      <c r="A2880" t="s">
        <v>3082</v>
      </c>
      <c r="B2880" t="s">
        <v>55</v>
      </c>
      <c r="C2880" t="s">
        <v>3059</v>
      </c>
      <c r="D2880" t="s">
        <v>3060</v>
      </c>
      <c r="E2880" t="s">
        <v>78</v>
      </c>
      <c r="F2880" t="s">
        <v>252</v>
      </c>
      <c r="G2880">
        <v>6.6047000000000002</v>
      </c>
      <c r="H2880">
        <v>-75.666399999999996</v>
      </c>
      <c r="I2880" t="s">
        <v>3061</v>
      </c>
      <c r="J2880">
        <v>11</v>
      </c>
      <c r="M2880">
        <v>167</v>
      </c>
      <c r="N2880">
        <v>49</v>
      </c>
      <c r="O2880">
        <v>24</v>
      </c>
      <c r="P2880">
        <v>44</v>
      </c>
      <c r="Q2880">
        <v>21</v>
      </c>
      <c r="R2880">
        <v>22</v>
      </c>
    </row>
    <row r="2881" spans="1:18" x14ac:dyDescent="0.25">
      <c r="A2881" t="s">
        <v>3083</v>
      </c>
      <c r="B2881" t="s">
        <v>55</v>
      </c>
      <c r="C2881" t="s">
        <v>3059</v>
      </c>
      <c r="D2881" t="s">
        <v>3060</v>
      </c>
      <c r="E2881" t="s">
        <v>78</v>
      </c>
      <c r="F2881" t="s">
        <v>252</v>
      </c>
      <c r="G2881">
        <v>6.6047000000000002</v>
      </c>
      <c r="H2881">
        <v>-75.666399999999996</v>
      </c>
      <c r="I2881" t="s">
        <v>3061</v>
      </c>
      <c r="J2881">
        <v>11</v>
      </c>
      <c r="M2881">
        <v>164</v>
      </c>
      <c r="N2881">
        <v>29</v>
      </c>
      <c r="O2881">
        <v>26</v>
      </c>
      <c r="P2881">
        <v>38</v>
      </c>
      <c r="Q2881">
        <v>36</v>
      </c>
      <c r="R2881">
        <v>38</v>
      </c>
    </row>
    <row r="2882" spans="1:18" x14ac:dyDescent="0.25">
      <c r="A2882" t="s">
        <v>3084</v>
      </c>
      <c r="B2882" t="s">
        <v>55</v>
      </c>
      <c r="C2882" t="s">
        <v>3059</v>
      </c>
      <c r="D2882" t="s">
        <v>3060</v>
      </c>
      <c r="E2882" t="s">
        <v>78</v>
      </c>
      <c r="F2882" t="s">
        <v>252</v>
      </c>
      <c r="G2882">
        <v>6.6047000000000002</v>
      </c>
      <c r="H2882">
        <v>-75.666399999999996</v>
      </c>
      <c r="I2882" t="s">
        <v>3061</v>
      </c>
      <c r="J2882">
        <v>11</v>
      </c>
      <c r="M2882">
        <v>158</v>
      </c>
      <c r="N2882">
        <v>37</v>
      </c>
      <c r="O2882">
        <v>20</v>
      </c>
      <c r="P2882">
        <v>42</v>
      </c>
      <c r="Q2882">
        <v>24</v>
      </c>
      <c r="R2882">
        <v>42</v>
      </c>
    </row>
    <row r="2883" spans="1:18" x14ac:dyDescent="0.25">
      <c r="A2883" t="s">
        <v>3085</v>
      </c>
      <c r="B2883" t="s">
        <v>55</v>
      </c>
      <c r="C2883" t="s">
        <v>3059</v>
      </c>
      <c r="D2883" t="s">
        <v>3060</v>
      </c>
      <c r="E2883" t="s">
        <v>78</v>
      </c>
      <c r="F2883" t="s">
        <v>252</v>
      </c>
      <c r="G2883">
        <v>6.6047000000000002</v>
      </c>
      <c r="H2883">
        <v>-75.666399999999996</v>
      </c>
      <c r="I2883" t="s">
        <v>3061</v>
      </c>
      <c r="J2883">
        <v>11</v>
      </c>
      <c r="M2883">
        <v>157</v>
      </c>
      <c r="N2883">
        <v>39</v>
      </c>
      <c r="O2883">
        <v>24</v>
      </c>
      <c r="P2883">
        <v>26</v>
      </c>
      <c r="Q2883">
        <v>31</v>
      </c>
      <c r="R2883">
        <v>47</v>
      </c>
    </row>
    <row r="2884" spans="1:18" x14ac:dyDescent="0.25">
      <c r="A2884" t="s">
        <v>3086</v>
      </c>
      <c r="B2884" t="s">
        <v>55</v>
      </c>
      <c r="C2884" t="s">
        <v>3059</v>
      </c>
      <c r="D2884" t="s">
        <v>3060</v>
      </c>
      <c r="E2884" t="s">
        <v>78</v>
      </c>
      <c r="F2884" t="s">
        <v>252</v>
      </c>
      <c r="G2884">
        <v>6.6047000000000002</v>
      </c>
      <c r="H2884">
        <v>-75.666399999999996</v>
      </c>
      <c r="I2884" t="s">
        <v>3061</v>
      </c>
      <c r="J2884">
        <v>11</v>
      </c>
      <c r="M2884">
        <v>153</v>
      </c>
      <c r="N2884">
        <v>32</v>
      </c>
      <c r="O2884">
        <v>26</v>
      </c>
      <c r="P2884">
        <v>36</v>
      </c>
      <c r="Q2884">
        <v>24</v>
      </c>
      <c r="R2884">
        <v>44</v>
      </c>
    </row>
    <row r="2885" spans="1:18" x14ac:dyDescent="0.25">
      <c r="A2885" t="s">
        <v>3087</v>
      </c>
      <c r="B2885" t="s">
        <v>55</v>
      </c>
      <c r="C2885" t="s">
        <v>3059</v>
      </c>
      <c r="D2885" t="s">
        <v>3060</v>
      </c>
      <c r="E2885" t="s">
        <v>78</v>
      </c>
      <c r="F2885" t="s">
        <v>252</v>
      </c>
      <c r="G2885">
        <v>6.6047000000000002</v>
      </c>
      <c r="H2885">
        <v>-75.666399999999996</v>
      </c>
      <c r="I2885" t="s">
        <v>3061</v>
      </c>
      <c r="J2885">
        <v>11</v>
      </c>
      <c r="M2885">
        <v>137</v>
      </c>
      <c r="N2885">
        <v>39</v>
      </c>
      <c r="O2885">
        <v>22</v>
      </c>
      <c r="P2885">
        <v>28</v>
      </c>
      <c r="Q2885">
        <v>17</v>
      </c>
      <c r="R2885">
        <v>36</v>
      </c>
    </row>
    <row r="2886" spans="1:18" x14ac:dyDescent="0.25">
      <c r="A2886" t="s">
        <v>3088</v>
      </c>
      <c r="B2886" t="s">
        <v>55</v>
      </c>
      <c r="C2886" t="s">
        <v>3059</v>
      </c>
      <c r="D2886" t="s">
        <v>3060</v>
      </c>
      <c r="E2886" t="s">
        <v>78</v>
      </c>
      <c r="F2886" t="s">
        <v>252</v>
      </c>
      <c r="G2886">
        <v>6.6047000000000002</v>
      </c>
      <c r="H2886">
        <v>-75.666399999999996</v>
      </c>
      <c r="I2886" t="s">
        <v>3061</v>
      </c>
      <c r="J2886">
        <v>11</v>
      </c>
      <c r="M2886">
        <v>130</v>
      </c>
      <c r="N2886">
        <v>32</v>
      </c>
      <c r="O2886">
        <v>22</v>
      </c>
      <c r="P2886">
        <v>26</v>
      </c>
      <c r="Q2886">
        <v>22</v>
      </c>
      <c r="R2886">
        <v>33</v>
      </c>
    </row>
    <row r="2887" spans="1:18" x14ac:dyDescent="0.25">
      <c r="A2887" t="s">
        <v>3089</v>
      </c>
      <c r="B2887" t="s">
        <v>55</v>
      </c>
      <c r="C2887" t="s">
        <v>3090</v>
      </c>
      <c r="D2887" t="s">
        <v>3091</v>
      </c>
      <c r="E2887" t="s">
        <v>78</v>
      </c>
      <c r="F2887" t="s">
        <v>252</v>
      </c>
      <c r="G2887">
        <v>7.1717000000000004</v>
      </c>
      <c r="H2887">
        <v>-75.733599999999996</v>
      </c>
      <c r="I2887" t="s">
        <v>3092</v>
      </c>
      <c r="J2887">
        <v>11</v>
      </c>
      <c r="M2887">
        <v>263</v>
      </c>
      <c r="N2887">
        <v>63</v>
      </c>
      <c r="O2887">
        <v>28</v>
      </c>
      <c r="P2887">
        <v>72</v>
      </c>
      <c r="Q2887">
        <v>36</v>
      </c>
      <c r="R2887">
        <v>84</v>
      </c>
    </row>
    <row r="2888" spans="1:18" x14ac:dyDescent="0.25">
      <c r="A2888" t="s">
        <v>3093</v>
      </c>
      <c r="B2888" t="s">
        <v>55</v>
      </c>
      <c r="C2888" t="s">
        <v>3090</v>
      </c>
      <c r="D2888" t="s">
        <v>3091</v>
      </c>
      <c r="E2888" t="s">
        <v>78</v>
      </c>
      <c r="F2888" t="s">
        <v>252</v>
      </c>
      <c r="G2888">
        <v>7.1717000000000004</v>
      </c>
      <c r="H2888">
        <v>-75.733599999999996</v>
      </c>
      <c r="I2888" t="s">
        <v>3092</v>
      </c>
      <c r="J2888">
        <v>11</v>
      </c>
      <c r="M2888">
        <v>244</v>
      </c>
      <c r="N2888">
        <v>68</v>
      </c>
      <c r="O2888">
        <v>34</v>
      </c>
      <c r="P2888">
        <v>62</v>
      </c>
      <c r="Q2888">
        <v>31</v>
      </c>
      <c r="R2888">
        <v>47</v>
      </c>
    </row>
    <row r="2889" spans="1:18" x14ac:dyDescent="0.25">
      <c r="A2889" t="s">
        <v>3094</v>
      </c>
      <c r="B2889" t="s">
        <v>55</v>
      </c>
      <c r="C2889" t="s">
        <v>3090</v>
      </c>
      <c r="D2889" t="s">
        <v>3091</v>
      </c>
      <c r="E2889" t="s">
        <v>78</v>
      </c>
      <c r="F2889" t="s">
        <v>252</v>
      </c>
      <c r="G2889">
        <v>7.1717000000000004</v>
      </c>
      <c r="H2889">
        <v>-75.733599999999996</v>
      </c>
      <c r="I2889" t="s">
        <v>3092</v>
      </c>
      <c r="J2889">
        <v>11</v>
      </c>
      <c r="M2889">
        <v>205</v>
      </c>
      <c r="N2889">
        <v>44</v>
      </c>
      <c r="O2889">
        <v>34</v>
      </c>
      <c r="P2889">
        <v>48</v>
      </c>
      <c r="Q2889">
        <v>34</v>
      </c>
      <c r="R2889">
        <v>53</v>
      </c>
    </row>
    <row r="2890" spans="1:18" x14ac:dyDescent="0.25">
      <c r="A2890" t="s">
        <v>3095</v>
      </c>
      <c r="B2890" t="s">
        <v>55</v>
      </c>
      <c r="C2890" t="s">
        <v>3090</v>
      </c>
      <c r="D2890" t="s">
        <v>3091</v>
      </c>
      <c r="E2890" t="s">
        <v>78</v>
      </c>
      <c r="F2890" t="s">
        <v>252</v>
      </c>
      <c r="G2890">
        <v>7.1717000000000004</v>
      </c>
      <c r="H2890">
        <v>-75.733599999999996</v>
      </c>
      <c r="I2890" t="s">
        <v>3092</v>
      </c>
      <c r="J2890">
        <v>11</v>
      </c>
      <c r="M2890">
        <v>204</v>
      </c>
      <c r="N2890">
        <v>61</v>
      </c>
      <c r="O2890">
        <v>22</v>
      </c>
      <c r="P2890">
        <v>58</v>
      </c>
      <c r="Q2890">
        <v>16</v>
      </c>
      <c r="R2890">
        <v>62</v>
      </c>
    </row>
    <row r="2891" spans="1:18" x14ac:dyDescent="0.25">
      <c r="A2891" t="s">
        <v>3096</v>
      </c>
      <c r="B2891" t="s">
        <v>55</v>
      </c>
      <c r="C2891" t="s">
        <v>3090</v>
      </c>
      <c r="D2891" t="s">
        <v>3091</v>
      </c>
      <c r="E2891" t="s">
        <v>78</v>
      </c>
      <c r="F2891" t="s">
        <v>252</v>
      </c>
      <c r="G2891">
        <v>7.1717000000000004</v>
      </c>
      <c r="H2891">
        <v>-75.733599999999996</v>
      </c>
      <c r="I2891" t="s">
        <v>3092</v>
      </c>
      <c r="J2891">
        <v>11</v>
      </c>
      <c r="M2891">
        <v>202</v>
      </c>
      <c r="N2891">
        <v>49</v>
      </c>
      <c r="O2891">
        <v>28</v>
      </c>
      <c r="P2891">
        <v>52</v>
      </c>
      <c r="Q2891">
        <v>33</v>
      </c>
      <c r="R2891">
        <v>42</v>
      </c>
    </row>
    <row r="2892" spans="1:18" x14ac:dyDescent="0.25">
      <c r="A2892" t="s">
        <v>3097</v>
      </c>
      <c r="B2892" t="s">
        <v>55</v>
      </c>
      <c r="C2892" t="s">
        <v>3090</v>
      </c>
      <c r="D2892" t="s">
        <v>3091</v>
      </c>
      <c r="E2892" t="s">
        <v>78</v>
      </c>
      <c r="F2892" t="s">
        <v>252</v>
      </c>
      <c r="G2892">
        <v>7.1717000000000004</v>
      </c>
      <c r="H2892">
        <v>-75.733599999999996</v>
      </c>
      <c r="I2892" t="s">
        <v>3092</v>
      </c>
      <c r="J2892">
        <v>11</v>
      </c>
      <c r="M2892">
        <v>202</v>
      </c>
      <c r="N2892">
        <v>51</v>
      </c>
      <c r="O2892">
        <v>32</v>
      </c>
      <c r="P2892">
        <v>50</v>
      </c>
      <c r="Q2892">
        <v>28</v>
      </c>
      <c r="R2892">
        <v>42</v>
      </c>
    </row>
    <row r="2893" spans="1:18" x14ac:dyDescent="0.25">
      <c r="A2893" t="s">
        <v>3098</v>
      </c>
      <c r="B2893" t="s">
        <v>55</v>
      </c>
      <c r="C2893" t="s">
        <v>3090</v>
      </c>
      <c r="D2893" t="s">
        <v>3091</v>
      </c>
      <c r="E2893" t="s">
        <v>78</v>
      </c>
      <c r="F2893" t="s">
        <v>252</v>
      </c>
      <c r="G2893">
        <v>7.1717000000000004</v>
      </c>
      <c r="H2893">
        <v>-75.733599999999996</v>
      </c>
      <c r="I2893" t="s">
        <v>3092</v>
      </c>
      <c r="J2893">
        <v>11</v>
      </c>
      <c r="M2893">
        <v>193</v>
      </c>
      <c r="N2893">
        <v>46</v>
      </c>
      <c r="O2893">
        <v>36</v>
      </c>
      <c r="P2893">
        <v>46</v>
      </c>
      <c r="Q2893">
        <v>26</v>
      </c>
      <c r="R2893">
        <v>40</v>
      </c>
    </row>
    <row r="2894" spans="1:18" x14ac:dyDescent="0.25">
      <c r="A2894" t="s">
        <v>3099</v>
      </c>
      <c r="B2894" t="s">
        <v>55</v>
      </c>
      <c r="C2894" t="s">
        <v>3090</v>
      </c>
      <c r="D2894" t="s">
        <v>3091</v>
      </c>
      <c r="E2894" t="s">
        <v>78</v>
      </c>
      <c r="F2894" t="s">
        <v>252</v>
      </c>
      <c r="G2894">
        <v>7.1717000000000004</v>
      </c>
      <c r="H2894">
        <v>-75.733599999999996</v>
      </c>
      <c r="I2894" t="s">
        <v>3092</v>
      </c>
      <c r="J2894">
        <v>11</v>
      </c>
      <c r="M2894">
        <v>189</v>
      </c>
      <c r="N2894">
        <v>49</v>
      </c>
      <c r="O2894">
        <v>14</v>
      </c>
      <c r="P2894">
        <v>46</v>
      </c>
      <c r="Q2894">
        <v>41</v>
      </c>
      <c r="R2894">
        <v>42</v>
      </c>
    </row>
    <row r="2895" spans="1:18" x14ac:dyDescent="0.25">
      <c r="A2895" t="s">
        <v>3100</v>
      </c>
      <c r="B2895" t="s">
        <v>55</v>
      </c>
      <c r="C2895" t="s">
        <v>3090</v>
      </c>
      <c r="D2895" t="s">
        <v>3091</v>
      </c>
      <c r="E2895" t="s">
        <v>78</v>
      </c>
      <c r="F2895" t="s">
        <v>252</v>
      </c>
      <c r="G2895">
        <v>7.1717000000000004</v>
      </c>
      <c r="H2895">
        <v>-75.733599999999996</v>
      </c>
      <c r="I2895" t="s">
        <v>3092</v>
      </c>
      <c r="J2895">
        <v>11</v>
      </c>
      <c r="M2895">
        <v>183</v>
      </c>
      <c r="N2895">
        <v>37</v>
      </c>
      <c r="O2895">
        <v>32</v>
      </c>
      <c r="P2895">
        <v>50</v>
      </c>
      <c r="Q2895">
        <v>28</v>
      </c>
      <c r="R2895">
        <v>38</v>
      </c>
    </row>
    <row r="2896" spans="1:18" x14ac:dyDescent="0.25">
      <c r="A2896" t="s">
        <v>3101</v>
      </c>
      <c r="B2896" t="s">
        <v>55</v>
      </c>
      <c r="C2896" t="s">
        <v>3090</v>
      </c>
      <c r="D2896" t="s">
        <v>3091</v>
      </c>
      <c r="E2896" t="s">
        <v>78</v>
      </c>
      <c r="F2896" t="s">
        <v>252</v>
      </c>
      <c r="G2896">
        <v>7.1717000000000004</v>
      </c>
      <c r="H2896">
        <v>-75.733599999999996</v>
      </c>
      <c r="I2896" t="s">
        <v>3092</v>
      </c>
      <c r="J2896">
        <v>11</v>
      </c>
      <c r="M2896">
        <v>174</v>
      </c>
      <c r="N2896">
        <v>46</v>
      </c>
      <c r="O2896">
        <v>26</v>
      </c>
      <c r="P2896">
        <v>44</v>
      </c>
      <c r="Q2896">
        <v>24</v>
      </c>
      <c r="R2896">
        <v>31</v>
      </c>
    </row>
    <row r="2897" spans="1:18" x14ac:dyDescent="0.25">
      <c r="A2897" t="s">
        <v>3102</v>
      </c>
      <c r="B2897" t="s">
        <v>55</v>
      </c>
      <c r="C2897" t="s">
        <v>3090</v>
      </c>
      <c r="D2897" t="s">
        <v>3091</v>
      </c>
      <c r="E2897" t="s">
        <v>78</v>
      </c>
      <c r="F2897" t="s">
        <v>252</v>
      </c>
      <c r="G2897">
        <v>7.1717000000000004</v>
      </c>
      <c r="H2897">
        <v>-75.733599999999996</v>
      </c>
      <c r="I2897" t="s">
        <v>3092</v>
      </c>
      <c r="J2897">
        <v>11</v>
      </c>
      <c r="M2897">
        <v>173</v>
      </c>
      <c r="N2897">
        <v>37</v>
      </c>
      <c r="O2897">
        <v>22</v>
      </c>
      <c r="P2897">
        <v>56</v>
      </c>
      <c r="Q2897">
        <v>26</v>
      </c>
      <c r="R2897">
        <v>29</v>
      </c>
    </row>
    <row r="2898" spans="1:18" x14ac:dyDescent="0.25">
      <c r="A2898" t="s">
        <v>3103</v>
      </c>
      <c r="B2898" t="s">
        <v>55</v>
      </c>
      <c r="C2898" t="s">
        <v>3090</v>
      </c>
      <c r="D2898" t="s">
        <v>3091</v>
      </c>
      <c r="E2898" t="s">
        <v>78</v>
      </c>
      <c r="F2898" t="s">
        <v>252</v>
      </c>
      <c r="G2898">
        <v>7.1717000000000004</v>
      </c>
      <c r="H2898">
        <v>-75.733599999999996</v>
      </c>
      <c r="I2898" t="s">
        <v>3092</v>
      </c>
      <c r="J2898">
        <v>11</v>
      </c>
      <c r="M2898">
        <v>170</v>
      </c>
      <c r="N2898">
        <v>24</v>
      </c>
      <c r="O2898">
        <v>28</v>
      </c>
      <c r="P2898">
        <v>44</v>
      </c>
      <c r="Q2898">
        <v>41</v>
      </c>
      <c r="R2898">
        <v>29</v>
      </c>
    </row>
    <row r="2899" spans="1:18" x14ac:dyDescent="0.25">
      <c r="A2899" t="s">
        <v>3104</v>
      </c>
      <c r="B2899" t="s">
        <v>55</v>
      </c>
      <c r="C2899" t="s">
        <v>3090</v>
      </c>
      <c r="D2899" t="s">
        <v>3091</v>
      </c>
      <c r="E2899" t="s">
        <v>78</v>
      </c>
      <c r="F2899" t="s">
        <v>252</v>
      </c>
      <c r="G2899">
        <v>7.1717000000000004</v>
      </c>
      <c r="H2899">
        <v>-75.733599999999996</v>
      </c>
      <c r="I2899" t="s">
        <v>3092</v>
      </c>
      <c r="J2899">
        <v>11</v>
      </c>
      <c r="M2899">
        <v>169</v>
      </c>
      <c r="N2899">
        <v>39</v>
      </c>
      <c r="O2899">
        <v>26</v>
      </c>
      <c r="P2899">
        <v>34</v>
      </c>
      <c r="Q2899">
        <v>36</v>
      </c>
      <c r="R2899">
        <v>35</v>
      </c>
    </row>
    <row r="2900" spans="1:18" x14ac:dyDescent="0.25">
      <c r="A2900" t="s">
        <v>3105</v>
      </c>
      <c r="B2900" t="s">
        <v>55</v>
      </c>
      <c r="C2900" t="s">
        <v>3090</v>
      </c>
      <c r="D2900" t="s">
        <v>3091</v>
      </c>
      <c r="E2900" t="s">
        <v>78</v>
      </c>
      <c r="F2900" t="s">
        <v>252</v>
      </c>
      <c r="G2900">
        <v>7.1717000000000004</v>
      </c>
      <c r="H2900">
        <v>-75.733599999999996</v>
      </c>
      <c r="I2900" t="s">
        <v>3092</v>
      </c>
      <c r="J2900">
        <v>11</v>
      </c>
      <c r="M2900">
        <v>168</v>
      </c>
      <c r="N2900">
        <v>32</v>
      </c>
      <c r="O2900">
        <v>28</v>
      </c>
      <c r="P2900">
        <v>36</v>
      </c>
      <c r="Q2900">
        <v>33</v>
      </c>
      <c r="R2900">
        <v>51</v>
      </c>
    </row>
    <row r="2901" spans="1:18" x14ac:dyDescent="0.25">
      <c r="A2901" t="s">
        <v>3106</v>
      </c>
      <c r="B2901" t="s">
        <v>55</v>
      </c>
      <c r="C2901" t="s">
        <v>3090</v>
      </c>
      <c r="D2901" t="s">
        <v>3091</v>
      </c>
      <c r="E2901" t="s">
        <v>78</v>
      </c>
      <c r="F2901" t="s">
        <v>252</v>
      </c>
      <c r="G2901">
        <v>7.1717000000000004</v>
      </c>
      <c r="H2901">
        <v>-75.733599999999996</v>
      </c>
      <c r="I2901" t="s">
        <v>3092</v>
      </c>
      <c r="J2901">
        <v>11</v>
      </c>
      <c r="M2901">
        <v>165</v>
      </c>
      <c r="N2901">
        <v>37</v>
      </c>
      <c r="O2901">
        <v>28</v>
      </c>
      <c r="P2901">
        <v>40</v>
      </c>
      <c r="Q2901">
        <v>26</v>
      </c>
      <c r="R2901">
        <v>38</v>
      </c>
    </row>
    <row r="2902" spans="1:18" x14ac:dyDescent="0.25">
      <c r="A2902" t="s">
        <v>3107</v>
      </c>
      <c r="B2902" t="s">
        <v>55</v>
      </c>
      <c r="C2902" t="s">
        <v>3090</v>
      </c>
      <c r="D2902" t="s">
        <v>3091</v>
      </c>
      <c r="E2902" t="s">
        <v>78</v>
      </c>
      <c r="F2902" t="s">
        <v>252</v>
      </c>
      <c r="G2902">
        <v>7.1717000000000004</v>
      </c>
      <c r="H2902">
        <v>-75.733599999999996</v>
      </c>
      <c r="I2902" t="s">
        <v>3092</v>
      </c>
      <c r="J2902">
        <v>11</v>
      </c>
      <c r="M2902">
        <v>162</v>
      </c>
      <c r="N2902">
        <v>44</v>
      </c>
      <c r="O2902">
        <v>24</v>
      </c>
      <c r="P2902">
        <v>40</v>
      </c>
      <c r="Q2902">
        <v>22</v>
      </c>
      <c r="R2902">
        <v>31</v>
      </c>
    </row>
    <row r="2903" spans="1:18" x14ac:dyDescent="0.25">
      <c r="A2903" t="s">
        <v>3108</v>
      </c>
      <c r="B2903" t="s">
        <v>55</v>
      </c>
      <c r="C2903" t="s">
        <v>3090</v>
      </c>
      <c r="D2903" t="s">
        <v>3091</v>
      </c>
      <c r="E2903" t="s">
        <v>78</v>
      </c>
      <c r="F2903" t="s">
        <v>252</v>
      </c>
      <c r="G2903">
        <v>7.1717000000000004</v>
      </c>
      <c r="H2903">
        <v>-75.733599999999996</v>
      </c>
      <c r="I2903" t="s">
        <v>3092</v>
      </c>
      <c r="J2903">
        <v>11</v>
      </c>
      <c r="M2903">
        <v>153</v>
      </c>
      <c r="N2903">
        <v>51</v>
      </c>
      <c r="O2903">
        <v>18</v>
      </c>
      <c r="P2903">
        <v>32</v>
      </c>
      <c r="Q2903">
        <v>19</v>
      </c>
      <c r="R2903">
        <v>36</v>
      </c>
    </row>
    <row r="2904" spans="1:18" x14ac:dyDescent="0.25">
      <c r="A2904" t="s">
        <v>3109</v>
      </c>
      <c r="B2904" t="s">
        <v>55</v>
      </c>
      <c r="C2904" t="s">
        <v>3090</v>
      </c>
      <c r="D2904" t="s">
        <v>3091</v>
      </c>
      <c r="E2904" t="s">
        <v>78</v>
      </c>
      <c r="F2904" t="s">
        <v>252</v>
      </c>
      <c r="G2904">
        <v>7.1717000000000004</v>
      </c>
      <c r="H2904">
        <v>-75.733599999999996</v>
      </c>
      <c r="I2904" t="s">
        <v>3092</v>
      </c>
      <c r="J2904">
        <v>11</v>
      </c>
      <c r="M2904">
        <v>150</v>
      </c>
      <c r="N2904">
        <v>29</v>
      </c>
      <c r="O2904">
        <v>28</v>
      </c>
      <c r="P2904">
        <v>42</v>
      </c>
      <c r="Q2904">
        <v>21</v>
      </c>
      <c r="R2904">
        <v>29</v>
      </c>
    </row>
    <row r="2905" spans="1:18" x14ac:dyDescent="0.25">
      <c r="A2905" t="s">
        <v>3110</v>
      </c>
      <c r="B2905" t="s">
        <v>55</v>
      </c>
      <c r="C2905" t="s">
        <v>3090</v>
      </c>
      <c r="D2905" t="s">
        <v>3091</v>
      </c>
      <c r="E2905" t="s">
        <v>78</v>
      </c>
      <c r="F2905" t="s">
        <v>252</v>
      </c>
      <c r="G2905">
        <v>7.1717000000000004</v>
      </c>
      <c r="H2905">
        <v>-75.733599999999996</v>
      </c>
      <c r="I2905" t="s">
        <v>3092</v>
      </c>
      <c r="J2905">
        <v>11</v>
      </c>
      <c r="M2905">
        <v>140</v>
      </c>
      <c r="N2905">
        <v>29</v>
      </c>
      <c r="O2905">
        <v>22</v>
      </c>
      <c r="P2905">
        <v>36</v>
      </c>
      <c r="Q2905">
        <v>24</v>
      </c>
      <c r="R2905">
        <v>29</v>
      </c>
    </row>
    <row r="2906" spans="1:18" x14ac:dyDescent="0.25">
      <c r="A2906" t="s">
        <v>3111</v>
      </c>
      <c r="B2906" t="s">
        <v>55</v>
      </c>
      <c r="C2906" t="s">
        <v>3090</v>
      </c>
      <c r="D2906" t="s">
        <v>3091</v>
      </c>
      <c r="E2906" t="s">
        <v>78</v>
      </c>
      <c r="F2906" t="s">
        <v>252</v>
      </c>
      <c r="G2906">
        <v>7.1717000000000004</v>
      </c>
      <c r="H2906">
        <v>-75.733599999999996</v>
      </c>
      <c r="I2906" t="s">
        <v>3092</v>
      </c>
      <c r="J2906">
        <v>11</v>
      </c>
      <c r="M2906">
        <v>134</v>
      </c>
      <c r="N2906">
        <v>29</v>
      </c>
      <c r="O2906">
        <v>34</v>
      </c>
      <c r="P2906">
        <v>22</v>
      </c>
      <c r="Q2906">
        <v>21</v>
      </c>
      <c r="R2906">
        <v>31</v>
      </c>
    </row>
    <row r="2907" spans="1:18" x14ac:dyDescent="0.25">
      <c r="A2907" t="s">
        <v>3112</v>
      </c>
      <c r="B2907" t="s">
        <v>55</v>
      </c>
      <c r="C2907" t="s">
        <v>3090</v>
      </c>
      <c r="D2907" t="s">
        <v>3091</v>
      </c>
      <c r="E2907" t="s">
        <v>78</v>
      </c>
      <c r="F2907" t="s">
        <v>252</v>
      </c>
      <c r="G2907">
        <v>7.1717000000000004</v>
      </c>
      <c r="H2907">
        <v>-75.733599999999996</v>
      </c>
      <c r="I2907" t="s">
        <v>3092</v>
      </c>
      <c r="J2907">
        <v>11</v>
      </c>
      <c r="M2907">
        <v>132</v>
      </c>
      <c r="N2907">
        <v>39</v>
      </c>
      <c r="O2907">
        <v>12</v>
      </c>
      <c r="P2907">
        <v>28</v>
      </c>
      <c r="Q2907">
        <v>19</v>
      </c>
      <c r="R2907">
        <v>49</v>
      </c>
    </row>
    <row r="2908" spans="1:18" x14ac:dyDescent="0.25">
      <c r="A2908" t="s">
        <v>3113</v>
      </c>
      <c r="B2908" t="s">
        <v>55</v>
      </c>
      <c r="C2908" t="s">
        <v>3090</v>
      </c>
      <c r="D2908" t="s">
        <v>3091</v>
      </c>
      <c r="E2908" t="s">
        <v>78</v>
      </c>
      <c r="F2908" t="s">
        <v>252</v>
      </c>
      <c r="G2908">
        <v>7.1717000000000004</v>
      </c>
      <c r="H2908">
        <v>-75.733599999999996</v>
      </c>
      <c r="I2908" t="s">
        <v>3092</v>
      </c>
      <c r="J2908">
        <v>11</v>
      </c>
      <c r="M2908">
        <v>127</v>
      </c>
      <c r="N2908">
        <v>27</v>
      </c>
      <c r="O2908">
        <v>18</v>
      </c>
      <c r="P2908">
        <v>24</v>
      </c>
      <c r="Q2908">
        <v>29</v>
      </c>
      <c r="R2908">
        <v>36</v>
      </c>
    </row>
    <row r="2909" spans="1:18" x14ac:dyDescent="0.25">
      <c r="A2909" t="s">
        <v>3114</v>
      </c>
      <c r="B2909" t="s">
        <v>55</v>
      </c>
      <c r="C2909" t="s">
        <v>3090</v>
      </c>
      <c r="D2909" t="s">
        <v>3091</v>
      </c>
      <c r="E2909" t="s">
        <v>78</v>
      </c>
      <c r="F2909" t="s">
        <v>252</v>
      </c>
      <c r="G2909">
        <v>7.1717000000000004</v>
      </c>
      <c r="H2909">
        <v>-75.733599999999996</v>
      </c>
      <c r="I2909" t="s">
        <v>3092</v>
      </c>
      <c r="J2909">
        <v>11</v>
      </c>
      <c r="M2909">
        <v>127</v>
      </c>
      <c r="N2909">
        <v>24</v>
      </c>
      <c r="O2909">
        <v>22</v>
      </c>
      <c r="P2909">
        <v>22</v>
      </c>
      <c r="Q2909">
        <v>33</v>
      </c>
      <c r="R2909">
        <v>27</v>
      </c>
    </row>
    <row r="2910" spans="1:18" x14ac:dyDescent="0.25">
      <c r="A2910" t="s">
        <v>3115</v>
      </c>
      <c r="B2910" t="s">
        <v>55</v>
      </c>
      <c r="C2910" t="s">
        <v>3090</v>
      </c>
      <c r="D2910" t="s">
        <v>3091</v>
      </c>
      <c r="E2910" t="s">
        <v>78</v>
      </c>
      <c r="F2910" t="s">
        <v>252</v>
      </c>
      <c r="G2910">
        <v>7.1717000000000004</v>
      </c>
      <c r="H2910">
        <v>-75.733599999999996</v>
      </c>
      <c r="I2910" t="s">
        <v>3092</v>
      </c>
      <c r="J2910">
        <v>11</v>
      </c>
      <c r="M2910">
        <v>119</v>
      </c>
      <c r="N2910">
        <v>27</v>
      </c>
      <c r="O2910">
        <v>20</v>
      </c>
      <c r="P2910">
        <v>32</v>
      </c>
      <c r="Q2910">
        <v>14</v>
      </c>
      <c r="R2910">
        <v>33</v>
      </c>
    </row>
    <row r="2911" spans="1:18" x14ac:dyDescent="0.25">
      <c r="A2911" t="s">
        <v>3116</v>
      </c>
      <c r="B2911" t="s">
        <v>55</v>
      </c>
      <c r="C2911" t="s">
        <v>3117</v>
      </c>
      <c r="D2911" t="s">
        <v>2149</v>
      </c>
      <c r="E2911" t="s">
        <v>78</v>
      </c>
      <c r="F2911" t="s">
        <v>252</v>
      </c>
      <c r="G2911">
        <v>7.5758000000000001</v>
      </c>
      <c r="H2911">
        <v>-75.348600000000005</v>
      </c>
      <c r="I2911" t="s">
        <v>3118</v>
      </c>
      <c r="J2911">
        <v>11</v>
      </c>
      <c r="M2911">
        <v>194</v>
      </c>
      <c r="N2911">
        <v>56</v>
      </c>
      <c r="O2911">
        <v>22</v>
      </c>
      <c r="P2911">
        <v>46</v>
      </c>
      <c r="Q2911">
        <v>33</v>
      </c>
      <c r="R2911">
        <v>33</v>
      </c>
    </row>
    <row r="2912" spans="1:18" x14ac:dyDescent="0.25">
      <c r="A2912" t="s">
        <v>3119</v>
      </c>
      <c r="B2912" t="s">
        <v>55</v>
      </c>
      <c r="C2912" t="s">
        <v>3117</v>
      </c>
      <c r="D2912" t="s">
        <v>2149</v>
      </c>
      <c r="E2912" t="s">
        <v>78</v>
      </c>
      <c r="F2912" t="s">
        <v>252</v>
      </c>
      <c r="G2912">
        <v>7.5758000000000001</v>
      </c>
      <c r="H2912">
        <v>-75.348600000000005</v>
      </c>
      <c r="I2912" t="s">
        <v>3118</v>
      </c>
      <c r="J2912">
        <v>11</v>
      </c>
      <c r="M2912">
        <v>185</v>
      </c>
      <c r="N2912">
        <v>39</v>
      </c>
      <c r="O2912">
        <v>36</v>
      </c>
      <c r="P2912">
        <v>44</v>
      </c>
      <c r="Q2912">
        <v>33</v>
      </c>
      <c r="R2912">
        <v>25</v>
      </c>
    </row>
    <row r="2913" spans="1:18" x14ac:dyDescent="0.25">
      <c r="A2913" t="s">
        <v>3120</v>
      </c>
      <c r="B2913" t="s">
        <v>55</v>
      </c>
      <c r="C2913" t="s">
        <v>3117</v>
      </c>
      <c r="D2913" t="s">
        <v>2149</v>
      </c>
      <c r="E2913" t="s">
        <v>78</v>
      </c>
      <c r="F2913" t="s">
        <v>252</v>
      </c>
      <c r="G2913">
        <v>7.5758000000000001</v>
      </c>
      <c r="H2913">
        <v>-75.348600000000005</v>
      </c>
      <c r="I2913" t="s">
        <v>3118</v>
      </c>
      <c r="J2913">
        <v>11</v>
      </c>
      <c r="M2913">
        <v>181</v>
      </c>
      <c r="N2913">
        <v>49</v>
      </c>
      <c r="O2913">
        <v>14</v>
      </c>
      <c r="P2913">
        <v>42</v>
      </c>
      <c r="Q2913">
        <v>38</v>
      </c>
      <c r="R2913">
        <v>42</v>
      </c>
    </row>
    <row r="2914" spans="1:18" x14ac:dyDescent="0.25">
      <c r="A2914" t="s">
        <v>3121</v>
      </c>
      <c r="B2914" t="s">
        <v>55</v>
      </c>
      <c r="C2914" t="s">
        <v>3117</v>
      </c>
      <c r="D2914" t="s">
        <v>2149</v>
      </c>
      <c r="E2914" t="s">
        <v>78</v>
      </c>
      <c r="F2914" t="s">
        <v>252</v>
      </c>
      <c r="G2914">
        <v>7.5758000000000001</v>
      </c>
      <c r="H2914">
        <v>-75.348600000000005</v>
      </c>
      <c r="I2914" t="s">
        <v>3118</v>
      </c>
      <c r="J2914">
        <v>11</v>
      </c>
      <c r="M2914">
        <v>177</v>
      </c>
      <c r="N2914">
        <v>46</v>
      </c>
      <c r="O2914">
        <v>24</v>
      </c>
      <c r="P2914">
        <v>42</v>
      </c>
      <c r="Q2914">
        <v>26</v>
      </c>
      <c r="R2914">
        <v>45</v>
      </c>
    </row>
    <row r="2915" spans="1:18" x14ac:dyDescent="0.25">
      <c r="A2915" t="s">
        <v>3122</v>
      </c>
      <c r="B2915" t="s">
        <v>55</v>
      </c>
      <c r="C2915" t="s">
        <v>3117</v>
      </c>
      <c r="D2915" t="s">
        <v>2149</v>
      </c>
      <c r="E2915" t="s">
        <v>78</v>
      </c>
      <c r="F2915" t="s">
        <v>252</v>
      </c>
      <c r="G2915">
        <v>7.5758000000000001</v>
      </c>
      <c r="H2915">
        <v>-75.348600000000005</v>
      </c>
      <c r="I2915" t="s">
        <v>3118</v>
      </c>
      <c r="J2915">
        <v>11</v>
      </c>
      <c r="M2915">
        <v>174</v>
      </c>
      <c r="N2915">
        <v>41</v>
      </c>
      <c r="O2915">
        <v>24</v>
      </c>
      <c r="P2915">
        <v>38</v>
      </c>
      <c r="Q2915">
        <v>38</v>
      </c>
      <c r="R2915">
        <v>29</v>
      </c>
    </row>
    <row r="2916" spans="1:18" x14ac:dyDescent="0.25">
      <c r="A2916" t="s">
        <v>3123</v>
      </c>
      <c r="B2916" t="s">
        <v>55</v>
      </c>
      <c r="C2916" t="s">
        <v>3117</v>
      </c>
      <c r="D2916" t="s">
        <v>2149</v>
      </c>
      <c r="E2916" t="s">
        <v>78</v>
      </c>
      <c r="F2916" t="s">
        <v>252</v>
      </c>
      <c r="G2916">
        <v>7.5758000000000001</v>
      </c>
      <c r="H2916">
        <v>-75.348600000000005</v>
      </c>
      <c r="I2916" t="s">
        <v>3118</v>
      </c>
      <c r="J2916">
        <v>11</v>
      </c>
      <c r="M2916">
        <v>174</v>
      </c>
      <c r="N2916">
        <v>34</v>
      </c>
      <c r="O2916">
        <v>30</v>
      </c>
      <c r="P2916">
        <v>42</v>
      </c>
      <c r="Q2916">
        <v>33</v>
      </c>
      <c r="R2916">
        <v>35</v>
      </c>
    </row>
    <row r="2917" spans="1:18" x14ac:dyDescent="0.25">
      <c r="A2917" t="s">
        <v>3124</v>
      </c>
      <c r="B2917" t="s">
        <v>55</v>
      </c>
      <c r="C2917" t="s">
        <v>3117</v>
      </c>
      <c r="D2917" t="s">
        <v>2149</v>
      </c>
      <c r="E2917" t="s">
        <v>78</v>
      </c>
      <c r="F2917" t="s">
        <v>252</v>
      </c>
      <c r="G2917">
        <v>7.5758000000000001</v>
      </c>
      <c r="H2917">
        <v>-75.348600000000005</v>
      </c>
      <c r="I2917" t="s">
        <v>3118</v>
      </c>
      <c r="J2917">
        <v>11</v>
      </c>
      <c r="M2917">
        <v>169</v>
      </c>
      <c r="N2917">
        <v>44</v>
      </c>
      <c r="O2917">
        <v>16</v>
      </c>
      <c r="P2917">
        <v>50</v>
      </c>
      <c r="Q2917">
        <v>26</v>
      </c>
      <c r="R2917">
        <v>33</v>
      </c>
    </row>
    <row r="2918" spans="1:18" x14ac:dyDescent="0.25">
      <c r="A2918" t="s">
        <v>3125</v>
      </c>
      <c r="B2918" t="s">
        <v>55</v>
      </c>
      <c r="C2918" t="s">
        <v>3117</v>
      </c>
      <c r="D2918" t="s">
        <v>2149</v>
      </c>
      <c r="E2918" t="s">
        <v>78</v>
      </c>
      <c r="F2918" t="s">
        <v>252</v>
      </c>
      <c r="G2918">
        <v>7.5758000000000001</v>
      </c>
      <c r="H2918">
        <v>-75.348600000000005</v>
      </c>
      <c r="I2918" t="s">
        <v>3118</v>
      </c>
      <c r="J2918">
        <v>11</v>
      </c>
      <c r="M2918">
        <v>169</v>
      </c>
      <c r="N2918">
        <v>39</v>
      </c>
      <c r="O2918">
        <v>32</v>
      </c>
      <c r="P2918">
        <v>34</v>
      </c>
      <c r="Q2918">
        <v>31</v>
      </c>
      <c r="R2918">
        <v>31</v>
      </c>
    </row>
    <row r="2919" spans="1:18" x14ac:dyDescent="0.25">
      <c r="A2919" t="s">
        <v>3126</v>
      </c>
      <c r="B2919" t="s">
        <v>55</v>
      </c>
      <c r="C2919" t="s">
        <v>3117</v>
      </c>
      <c r="D2919" t="s">
        <v>2149</v>
      </c>
      <c r="E2919" t="s">
        <v>78</v>
      </c>
      <c r="F2919" t="s">
        <v>252</v>
      </c>
      <c r="G2919">
        <v>7.5758000000000001</v>
      </c>
      <c r="H2919">
        <v>-75.348600000000005</v>
      </c>
      <c r="I2919" t="s">
        <v>3118</v>
      </c>
      <c r="J2919">
        <v>11</v>
      </c>
      <c r="M2919">
        <v>162</v>
      </c>
      <c r="N2919">
        <v>34</v>
      </c>
      <c r="O2919">
        <v>20</v>
      </c>
      <c r="P2919">
        <v>48</v>
      </c>
      <c r="Q2919">
        <v>24</v>
      </c>
      <c r="R2919">
        <v>44</v>
      </c>
    </row>
    <row r="2920" spans="1:18" x14ac:dyDescent="0.25">
      <c r="A2920" t="s">
        <v>3127</v>
      </c>
      <c r="B2920" t="s">
        <v>55</v>
      </c>
      <c r="C2920" t="s">
        <v>3117</v>
      </c>
      <c r="D2920" t="s">
        <v>2149</v>
      </c>
      <c r="E2920" t="s">
        <v>78</v>
      </c>
      <c r="F2920" t="s">
        <v>252</v>
      </c>
      <c r="G2920">
        <v>7.5758000000000001</v>
      </c>
      <c r="H2920">
        <v>-75.348600000000005</v>
      </c>
      <c r="I2920" t="s">
        <v>3118</v>
      </c>
      <c r="J2920">
        <v>11</v>
      </c>
      <c r="M2920">
        <v>156</v>
      </c>
      <c r="N2920">
        <v>39</v>
      </c>
      <c r="O2920">
        <v>24</v>
      </c>
      <c r="P2920">
        <v>36</v>
      </c>
      <c r="Q2920">
        <v>22</v>
      </c>
      <c r="R2920">
        <v>42</v>
      </c>
    </row>
    <row r="2921" spans="1:18" x14ac:dyDescent="0.25">
      <c r="A2921" t="s">
        <v>3128</v>
      </c>
      <c r="B2921" t="s">
        <v>55</v>
      </c>
      <c r="C2921" t="s">
        <v>3117</v>
      </c>
      <c r="D2921" t="s">
        <v>2149</v>
      </c>
      <c r="E2921" t="s">
        <v>78</v>
      </c>
      <c r="F2921" t="s">
        <v>252</v>
      </c>
      <c r="G2921">
        <v>7.5758000000000001</v>
      </c>
      <c r="H2921">
        <v>-75.348600000000005</v>
      </c>
      <c r="I2921" t="s">
        <v>3118</v>
      </c>
      <c r="J2921">
        <v>11</v>
      </c>
      <c r="M2921">
        <v>148</v>
      </c>
      <c r="N2921">
        <v>34</v>
      </c>
      <c r="O2921">
        <v>24</v>
      </c>
      <c r="P2921">
        <v>30</v>
      </c>
      <c r="Q2921">
        <v>28</v>
      </c>
      <c r="R2921">
        <v>38</v>
      </c>
    </row>
    <row r="2922" spans="1:18" x14ac:dyDescent="0.25">
      <c r="A2922" t="s">
        <v>3129</v>
      </c>
      <c r="B2922" t="s">
        <v>55</v>
      </c>
      <c r="C2922" t="s">
        <v>3117</v>
      </c>
      <c r="D2922" t="s">
        <v>2149</v>
      </c>
      <c r="E2922" t="s">
        <v>78</v>
      </c>
      <c r="F2922" t="s">
        <v>252</v>
      </c>
      <c r="G2922">
        <v>7.5758000000000001</v>
      </c>
      <c r="H2922">
        <v>-75.348600000000005</v>
      </c>
      <c r="I2922" t="s">
        <v>3118</v>
      </c>
      <c r="J2922">
        <v>11</v>
      </c>
      <c r="M2922">
        <v>148</v>
      </c>
      <c r="N2922">
        <v>37</v>
      </c>
      <c r="O2922">
        <v>24</v>
      </c>
      <c r="P2922">
        <v>34</v>
      </c>
      <c r="Q2922">
        <v>22</v>
      </c>
      <c r="R2922">
        <v>33</v>
      </c>
    </row>
    <row r="2923" spans="1:18" x14ac:dyDescent="0.25">
      <c r="A2923" t="s">
        <v>3130</v>
      </c>
      <c r="B2923" t="s">
        <v>55</v>
      </c>
      <c r="C2923" t="s">
        <v>3117</v>
      </c>
      <c r="D2923" t="s">
        <v>2149</v>
      </c>
      <c r="E2923" t="s">
        <v>78</v>
      </c>
      <c r="F2923" t="s">
        <v>252</v>
      </c>
      <c r="G2923">
        <v>7.5758000000000001</v>
      </c>
      <c r="H2923">
        <v>-75.348600000000005</v>
      </c>
      <c r="I2923" t="s">
        <v>3118</v>
      </c>
      <c r="J2923">
        <v>11</v>
      </c>
      <c r="M2923">
        <v>146</v>
      </c>
      <c r="N2923">
        <v>29</v>
      </c>
      <c r="O2923">
        <v>24</v>
      </c>
      <c r="P2923">
        <v>38</v>
      </c>
      <c r="Q2923">
        <v>24</v>
      </c>
      <c r="R2923">
        <v>35</v>
      </c>
    </row>
    <row r="2924" spans="1:18" x14ac:dyDescent="0.25">
      <c r="A2924" t="s">
        <v>3131</v>
      </c>
      <c r="B2924" t="s">
        <v>55</v>
      </c>
      <c r="C2924" t="s">
        <v>3117</v>
      </c>
      <c r="D2924" t="s">
        <v>2149</v>
      </c>
      <c r="E2924" t="s">
        <v>78</v>
      </c>
      <c r="F2924" t="s">
        <v>252</v>
      </c>
      <c r="G2924">
        <v>7.5758000000000001</v>
      </c>
      <c r="H2924">
        <v>-75.348600000000005</v>
      </c>
      <c r="I2924" t="s">
        <v>3118</v>
      </c>
      <c r="J2924">
        <v>11</v>
      </c>
      <c r="M2924">
        <v>141</v>
      </c>
      <c r="N2924">
        <v>34</v>
      </c>
      <c r="O2924">
        <v>32</v>
      </c>
      <c r="P2924">
        <v>32</v>
      </c>
      <c r="Q2924">
        <v>19</v>
      </c>
      <c r="R2924">
        <v>16</v>
      </c>
    </row>
    <row r="2925" spans="1:18" x14ac:dyDescent="0.25">
      <c r="A2925" t="s">
        <v>3132</v>
      </c>
      <c r="B2925" t="s">
        <v>55</v>
      </c>
      <c r="C2925" t="s">
        <v>3117</v>
      </c>
      <c r="D2925" t="s">
        <v>2149</v>
      </c>
      <c r="E2925" t="s">
        <v>78</v>
      </c>
      <c r="F2925" t="s">
        <v>252</v>
      </c>
      <c r="G2925">
        <v>7.5758000000000001</v>
      </c>
      <c r="H2925">
        <v>-75.348600000000005</v>
      </c>
      <c r="I2925" t="s">
        <v>3118</v>
      </c>
      <c r="J2925">
        <v>11</v>
      </c>
      <c r="M2925">
        <v>136</v>
      </c>
      <c r="N2925">
        <v>34</v>
      </c>
      <c r="O2925">
        <v>24</v>
      </c>
      <c r="P2925">
        <v>18</v>
      </c>
      <c r="Q2925">
        <v>31</v>
      </c>
      <c r="R2925">
        <v>31</v>
      </c>
    </row>
    <row r="2926" spans="1:18" x14ac:dyDescent="0.25">
      <c r="A2926" t="s">
        <v>3133</v>
      </c>
      <c r="B2926" t="s">
        <v>55</v>
      </c>
      <c r="C2926" t="s">
        <v>3117</v>
      </c>
      <c r="D2926" t="s">
        <v>2149</v>
      </c>
      <c r="E2926" t="s">
        <v>78</v>
      </c>
      <c r="F2926" t="s">
        <v>252</v>
      </c>
      <c r="G2926">
        <v>7.5758000000000001</v>
      </c>
      <c r="H2926">
        <v>-75.348600000000005</v>
      </c>
      <c r="I2926" t="s">
        <v>3118</v>
      </c>
      <c r="J2926">
        <v>11</v>
      </c>
      <c r="M2926">
        <v>125</v>
      </c>
      <c r="N2926">
        <v>29</v>
      </c>
      <c r="O2926">
        <v>26</v>
      </c>
      <c r="P2926">
        <v>24</v>
      </c>
      <c r="Q2926">
        <v>17</v>
      </c>
      <c r="R2926">
        <v>35</v>
      </c>
    </row>
    <row r="2927" spans="1:18" x14ac:dyDescent="0.25">
      <c r="A2927" t="s">
        <v>3134</v>
      </c>
      <c r="B2927" t="s">
        <v>55</v>
      </c>
      <c r="C2927" t="s">
        <v>3117</v>
      </c>
      <c r="D2927" t="s">
        <v>2149</v>
      </c>
      <c r="E2927" t="s">
        <v>78</v>
      </c>
      <c r="F2927" t="s">
        <v>252</v>
      </c>
      <c r="G2927">
        <v>7.5758000000000001</v>
      </c>
      <c r="H2927">
        <v>-75.348600000000005</v>
      </c>
      <c r="I2927" t="s">
        <v>3118</v>
      </c>
      <c r="J2927">
        <v>11</v>
      </c>
      <c r="M2927">
        <v>119</v>
      </c>
      <c r="N2927">
        <v>22</v>
      </c>
      <c r="O2927">
        <v>14</v>
      </c>
      <c r="P2927">
        <v>24</v>
      </c>
      <c r="Q2927">
        <v>36</v>
      </c>
      <c r="R2927">
        <v>20</v>
      </c>
    </row>
    <row r="2928" spans="1:18" x14ac:dyDescent="0.25">
      <c r="A2928" t="s">
        <v>3135</v>
      </c>
      <c r="B2928" t="s">
        <v>55</v>
      </c>
      <c r="C2928" t="s">
        <v>3117</v>
      </c>
      <c r="D2928" t="s">
        <v>2149</v>
      </c>
      <c r="E2928" t="s">
        <v>78</v>
      </c>
      <c r="F2928" t="s">
        <v>252</v>
      </c>
      <c r="G2928">
        <v>7.5758000000000001</v>
      </c>
      <c r="H2928">
        <v>-75.348600000000005</v>
      </c>
      <c r="I2928" t="s">
        <v>3118</v>
      </c>
      <c r="J2928">
        <v>11</v>
      </c>
      <c r="M2928">
        <v>118</v>
      </c>
      <c r="N2928">
        <v>27</v>
      </c>
      <c r="O2928">
        <v>20</v>
      </c>
      <c r="P2928">
        <v>22</v>
      </c>
      <c r="Q2928">
        <v>22</v>
      </c>
      <c r="R2928">
        <v>33</v>
      </c>
    </row>
    <row r="2929" spans="1:18" x14ac:dyDescent="0.25">
      <c r="A2929" t="s">
        <v>3136</v>
      </c>
      <c r="B2929" t="s">
        <v>55</v>
      </c>
      <c r="C2929" t="s">
        <v>3117</v>
      </c>
      <c r="D2929" t="s">
        <v>2149</v>
      </c>
      <c r="E2929" t="s">
        <v>78</v>
      </c>
      <c r="F2929" t="s">
        <v>252</v>
      </c>
      <c r="G2929">
        <v>7.5758000000000001</v>
      </c>
      <c r="H2929">
        <v>-75.348600000000005</v>
      </c>
      <c r="I2929" t="s">
        <v>3118</v>
      </c>
      <c r="J2929">
        <v>11</v>
      </c>
      <c r="M2929">
        <v>114</v>
      </c>
      <c r="N2929">
        <v>20</v>
      </c>
      <c r="O2929">
        <v>26</v>
      </c>
      <c r="P2929">
        <v>26</v>
      </c>
      <c r="Q2929">
        <v>21</v>
      </c>
      <c r="R2929">
        <v>20</v>
      </c>
    </row>
    <row r="2930" spans="1:18" x14ac:dyDescent="0.25">
      <c r="A2930" t="s">
        <v>3137</v>
      </c>
      <c r="B2930" t="s">
        <v>55</v>
      </c>
      <c r="C2930" t="s">
        <v>3117</v>
      </c>
      <c r="D2930" t="s">
        <v>2149</v>
      </c>
      <c r="E2930" t="s">
        <v>78</v>
      </c>
      <c r="F2930" t="s">
        <v>252</v>
      </c>
      <c r="G2930">
        <v>7.5758000000000001</v>
      </c>
      <c r="H2930">
        <v>-75.348600000000005</v>
      </c>
      <c r="I2930" t="s">
        <v>3118</v>
      </c>
      <c r="J2930">
        <v>11</v>
      </c>
      <c r="M2930">
        <v>110</v>
      </c>
      <c r="N2930">
        <v>22</v>
      </c>
      <c r="O2930">
        <v>24</v>
      </c>
      <c r="P2930">
        <v>24</v>
      </c>
      <c r="Q2930">
        <v>16</v>
      </c>
      <c r="R2930">
        <v>29</v>
      </c>
    </row>
    <row r="2931" spans="1:18" x14ac:dyDescent="0.25">
      <c r="A2931" t="s">
        <v>3138</v>
      </c>
      <c r="B2931" t="s">
        <v>55</v>
      </c>
      <c r="C2931" t="s">
        <v>3139</v>
      </c>
      <c r="D2931" t="s">
        <v>3140</v>
      </c>
      <c r="E2931" t="s">
        <v>78</v>
      </c>
      <c r="F2931" t="s">
        <v>252</v>
      </c>
      <c r="G2931">
        <v>6.9778000000000002</v>
      </c>
      <c r="H2931">
        <v>-74.981200000000001</v>
      </c>
      <c r="I2931" t="s">
        <v>110</v>
      </c>
      <c r="J2931">
        <v>11</v>
      </c>
      <c r="M2931">
        <v>266</v>
      </c>
      <c r="N2931">
        <v>59</v>
      </c>
      <c r="O2931">
        <v>46</v>
      </c>
      <c r="P2931">
        <v>58</v>
      </c>
      <c r="Q2931">
        <v>38</v>
      </c>
      <c r="R2931">
        <v>89</v>
      </c>
    </row>
    <row r="2932" spans="1:18" x14ac:dyDescent="0.25">
      <c r="A2932" t="s">
        <v>3141</v>
      </c>
      <c r="B2932" t="s">
        <v>55</v>
      </c>
      <c r="C2932" t="s">
        <v>3139</v>
      </c>
      <c r="D2932" t="s">
        <v>3140</v>
      </c>
      <c r="E2932" t="s">
        <v>78</v>
      </c>
      <c r="F2932" t="s">
        <v>252</v>
      </c>
      <c r="G2932">
        <v>6.9778000000000002</v>
      </c>
      <c r="H2932">
        <v>-74.981200000000001</v>
      </c>
      <c r="I2932" t="s">
        <v>110</v>
      </c>
      <c r="J2932">
        <v>11</v>
      </c>
      <c r="M2932">
        <v>263</v>
      </c>
      <c r="N2932">
        <v>78</v>
      </c>
      <c r="O2932">
        <v>30</v>
      </c>
      <c r="P2932">
        <v>58</v>
      </c>
      <c r="Q2932">
        <v>38</v>
      </c>
      <c r="R2932">
        <v>71</v>
      </c>
    </row>
    <row r="2933" spans="1:18" x14ac:dyDescent="0.25">
      <c r="A2933" t="s">
        <v>3142</v>
      </c>
      <c r="B2933" t="s">
        <v>55</v>
      </c>
      <c r="C2933" t="s">
        <v>3139</v>
      </c>
      <c r="D2933" t="s">
        <v>3140</v>
      </c>
      <c r="E2933" t="s">
        <v>78</v>
      </c>
      <c r="F2933" t="s">
        <v>252</v>
      </c>
      <c r="G2933">
        <v>6.9778000000000002</v>
      </c>
      <c r="H2933">
        <v>-74.981200000000001</v>
      </c>
      <c r="I2933" t="s">
        <v>110</v>
      </c>
      <c r="J2933">
        <v>11</v>
      </c>
      <c r="M2933">
        <v>242</v>
      </c>
      <c r="N2933">
        <v>68</v>
      </c>
      <c r="O2933">
        <v>40</v>
      </c>
      <c r="P2933">
        <v>34</v>
      </c>
      <c r="Q2933">
        <v>48</v>
      </c>
      <c r="R2933">
        <v>56</v>
      </c>
    </row>
    <row r="2934" spans="1:18" x14ac:dyDescent="0.25">
      <c r="A2934" t="s">
        <v>3143</v>
      </c>
      <c r="B2934" t="s">
        <v>55</v>
      </c>
      <c r="C2934" t="s">
        <v>3139</v>
      </c>
      <c r="D2934" t="s">
        <v>3140</v>
      </c>
      <c r="E2934" t="s">
        <v>78</v>
      </c>
      <c r="F2934" t="s">
        <v>252</v>
      </c>
      <c r="G2934">
        <v>6.9778000000000002</v>
      </c>
      <c r="H2934">
        <v>-74.981200000000001</v>
      </c>
      <c r="I2934" t="s">
        <v>110</v>
      </c>
      <c r="J2934">
        <v>11</v>
      </c>
      <c r="M2934">
        <v>241</v>
      </c>
      <c r="N2934">
        <v>54</v>
      </c>
      <c r="O2934">
        <v>44</v>
      </c>
      <c r="P2934">
        <v>46</v>
      </c>
      <c r="Q2934">
        <v>41</v>
      </c>
      <c r="R2934">
        <v>73</v>
      </c>
    </row>
    <row r="2935" spans="1:18" x14ac:dyDescent="0.25">
      <c r="A2935" t="s">
        <v>3144</v>
      </c>
      <c r="B2935" t="s">
        <v>55</v>
      </c>
      <c r="C2935" t="s">
        <v>3139</v>
      </c>
      <c r="D2935" t="s">
        <v>3140</v>
      </c>
      <c r="E2935" t="s">
        <v>78</v>
      </c>
      <c r="F2935" t="s">
        <v>252</v>
      </c>
      <c r="G2935">
        <v>6.9778000000000002</v>
      </c>
      <c r="H2935">
        <v>-74.981200000000001</v>
      </c>
      <c r="I2935" t="s">
        <v>110</v>
      </c>
      <c r="J2935">
        <v>11</v>
      </c>
      <c r="M2935">
        <v>238</v>
      </c>
      <c r="N2935">
        <v>63</v>
      </c>
      <c r="O2935">
        <v>26</v>
      </c>
      <c r="P2935">
        <v>56</v>
      </c>
      <c r="Q2935">
        <v>45</v>
      </c>
      <c r="R2935">
        <v>49</v>
      </c>
    </row>
    <row r="2936" spans="1:18" x14ac:dyDescent="0.25">
      <c r="A2936" t="s">
        <v>3145</v>
      </c>
      <c r="B2936" t="s">
        <v>55</v>
      </c>
      <c r="C2936" t="s">
        <v>3139</v>
      </c>
      <c r="D2936" t="s">
        <v>3140</v>
      </c>
      <c r="E2936" t="s">
        <v>78</v>
      </c>
      <c r="F2936" t="s">
        <v>252</v>
      </c>
      <c r="G2936">
        <v>6.9778000000000002</v>
      </c>
      <c r="H2936">
        <v>-74.981200000000001</v>
      </c>
      <c r="I2936" t="s">
        <v>110</v>
      </c>
      <c r="J2936">
        <v>11</v>
      </c>
      <c r="M2936">
        <v>231</v>
      </c>
      <c r="N2936">
        <v>61</v>
      </c>
      <c r="O2936">
        <v>28</v>
      </c>
      <c r="P2936">
        <v>60</v>
      </c>
      <c r="Q2936">
        <v>31</v>
      </c>
      <c r="R2936">
        <v>62</v>
      </c>
    </row>
    <row r="2937" spans="1:18" x14ac:dyDescent="0.25">
      <c r="A2937" t="s">
        <v>3146</v>
      </c>
      <c r="B2937" t="s">
        <v>55</v>
      </c>
      <c r="C2937" t="s">
        <v>3139</v>
      </c>
      <c r="D2937" t="s">
        <v>3140</v>
      </c>
      <c r="E2937" t="s">
        <v>78</v>
      </c>
      <c r="F2937" t="s">
        <v>252</v>
      </c>
      <c r="G2937">
        <v>6.9778000000000002</v>
      </c>
      <c r="H2937">
        <v>-74.981200000000001</v>
      </c>
      <c r="I2937" t="s">
        <v>110</v>
      </c>
      <c r="J2937">
        <v>11</v>
      </c>
      <c r="M2937">
        <v>228</v>
      </c>
      <c r="N2937">
        <v>61</v>
      </c>
      <c r="O2937">
        <v>46</v>
      </c>
      <c r="P2937">
        <v>44</v>
      </c>
      <c r="Q2937">
        <v>22</v>
      </c>
      <c r="R2937">
        <v>73</v>
      </c>
    </row>
    <row r="2938" spans="1:18" x14ac:dyDescent="0.25">
      <c r="A2938" t="s">
        <v>3147</v>
      </c>
      <c r="B2938" t="s">
        <v>55</v>
      </c>
      <c r="C2938" t="s">
        <v>3139</v>
      </c>
      <c r="D2938" t="s">
        <v>3140</v>
      </c>
      <c r="E2938" t="s">
        <v>78</v>
      </c>
      <c r="F2938" t="s">
        <v>252</v>
      </c>
      <c r="G2938">
        <v>6.9778000000000002</v>
      </c>
      <c r="H2938">
        <v>-74.981200000000001</v>
      </c>
      <c r="I2938" t="s">
        <v>110</v>
      </c>
      <c r="J2938">
        <v>11</v>
      </c>
      <c r="M2938">
        <v>226</v>
      </c>
      <c r="N2938">
        <v>54</v>
      </c>
      <c r="O2938">
        <v>26</v>
      </c>
      <c r="P2938">
        <v>68</v>
      </c>
      <c r="Q2938">
        <v>34</v>
      </c>
      <c r="R2938">
        <v>42</v>
      </c>
    </row>
    <row r="2939" spans="1:18" x14ac:dyDescent="0.25">
      <c r="A2939" t="s">
        <v>3148</v>
      </c>
      <c r="B2939" t="s">
        <v>55</v>
      </c>
      <c r="C2939" t="s">
        <v>3139</v>
      </c>
      <c r="D2939" t="s">
        <v>3140</v>
      </c>
      <c r="E2939" t="s">
        <v>78</v>
      </c>
      <c r="F2939" t="s">
        <v>252</v>
      </c>
      <c r="G2939">
        <v>6.9778000000000002</v>
      </c>
      <c r="H2939">
        <v>-74.981200000000001</v>
      </c>
      <c r="I2939" t="s">
        <v>110</v>
      </c>
      <c r="J2939">
        <v>11</v>
      </c>
      <c r="M2939">
        <v>220</v>
      </c>
      <c r="N2939">
        <v>49</v>
      </c>
      <c r="O2939">
        <v>34</v>
      </c>
      <c r="P2939">
        <v>58</v>
      </c>
      <c r="Q2939">
        <v>31</v>
      </c>
      <c r="R2939">
        <v>56</v>
      </c>
    </row>
    <row r="2940" spans="1:18" x14ac:dyDescent="0.25">
      <c r="A2940" t="s">
        <v>3149</v>
      </c>
      <c r="B2940" t="s">
        <v>55</v>
      </c>
      <c r="C2940" t="s">
        <v>3139</v>
      </c>
      <c r="D2940" t="s">
        <v>3140</v>
      </c>
      <c r="E2940" t="s">
        <v>78</v>
      </c>
      <c r="F2940" t="s">
        <v>252</v>
      </c>
      <c r="G2940">
        <v>6.9778000000000002</v>
      </c>
      <c r="H2940">
        <v>-74.981200000000001</v>
      </c>
      <c r="I2940" t="s">
        <v>110</v>
      </c>
      <c r="J2940">
        <v>11</v>
      </c>
      <c r="M2940">
        <v>220</v>
      </c>
      <c r="N2940">
        <v>56</v>
      </c>
      <c r="O2940">
        <v>26</v>
      </c>
      <c r="P2940">
        <v>58</v>
      </c>
      <c r="Q2940">
        <v>31</v>
      </c>
      <c r="R2940">
        <v>58</v>
      </c>
    </row>
    <row r="2941" spans="1:18" x14ac:dyDescent="0.25">
      <c r="A2941" t="s">
        <v>3150</v>
      </c>
      <c r="B2941" t="s">
        <v>55</v>
      </c>
      <c r="C2941" t="s">
        <v>3139</v>
      </c>
      <c r="D2941" t="s">
        <v>3140</v>
      </c>
      <c r="E2941" t="s">
        <v>78</v>
      </c>
      <c r="F2941" t="s">
        <v>252</v>
      </c>
      <c r="G2941">
        <v>6.9778000000000002</v>
      </c>
      <c r="H2941">
        <v>-74.981200000000001</v>
      </c>
      <c r="I2941" t="s">
        <v>110</v>
      </c>
      <c r="J2941">
        <v>11</v>
      </c>
      <c r="M2941">
        <v>219</v>
      </c>
      <c r="N2941">
        <v>34</v>
      </c>
      <c r="O2941">
        <v>36</v>
      </c>
      <c r="P2941">
        <v>66</v>
      </c>
      <c r="Q2941">
        <v>31</v>
      </c>
      <c r="R2941">
        <v>69</v>
      </c>
    </row>
    <row r="2942" spans="1:18" x14ac:dyDescent="0.25">
      <c r="A2942" t="s">
        <v>3151</v>
      </c>
      <c r="B2942" t="s">
        <v>55</v>
      </c>
      <c r="C2942" t="s">
        <v>3139</v>
      </c>
      <c r="D2942" t="s">
        <v>3140</v>
      </c>
      <c r="E2942" t="s">
        <v>78</v>
      </c>
      <c r="F2942" t="s">
        <v>252</v>
      </c>
      <c r="G2942">
        <v>6.9778000000000002</v>
      </c>
      <c r="H2942">
        <v>-74.981200000000001</v>
      </c>
      <c r="I2942" t="s">
        <v>110</v>
      </c>
      <c r="J2942">
        <v>11</v>
      </c>
      <c r="M2942">
        <v>219</v>
      </c>
      <c r="N2942">
        <v>49</v>
      </c>
      <c r="O2942">
        <v>36</v>
      </c>
      <c r="P2942">
        <v>42</v>
      </c>
      <c r="Q2942">
        <v>43</v>
      </c>
      <c r="R2942">
        <v>60</v>
      </c>
    </row>
    <row r="2943" spans="1:18" x14ac:dyDescent="0.25">
      <c r="A2943" t="s">
        <v>3152</v>
      </c>
      <c r="B2943" t="s">
        <v>55</v>
      </c>
      <c r="C2943" t="s">
        <v>3139</v>
      </c>
      <c r="D2943" t="s">
        <v>3140</v>
      </c>
      <c r="E2943" t="s">
        <v>78</v>
      </c>
      <c r="F2943" t="s">
        <v>252</v>
      </c>
      <c r="G2943">
        <v>6.9778000000000002</v>
      </c>
      <c r="H2943">
        <v>-74.981200000000001</v>
      </c>
      <c r="I2943" t="s">
        <v>110</v>
      </c>
      <c r="J2943">
        <v>11</v>
      </c>
      <c r="M2943">
        <v>217</v>
      </c>
      <c r="N2943">
        <v>37</v>
      </c>
      <c r="O2943">
        <v>46</v>
      </c>
      <c r="P2943">
        <v>50</v>
      </c>
      <c r="Q2943">
        <v>33</v>
      </c>
      <c r="R2943">
        <v>67</v>
      </c>
    </row>
    <row r="2944" spans="1:18" x14ac:dyDescent="0.25">
      <c r="A2944" t="s">
        <v>3153</v>
      </c>
      <c r="B2944" t="s">
        <v>55</v>
      </c>
      <c r="C2944" t="s">
        <v>3139</v>
      </c>
      <c r="D2944" t="s">
        <v>3140</v>
      </c>
      <c r="E2944" t="s">
        <v>78</v>
      </c>
      <c r="F2944" t="s">
        <v>252</v>
      </c>
      <c r="G2944">
        <v>6.9778000000000002</v>
      </c>
      <c r="H2944">
        <v>-74.981200000000001</v>
      </c>
      <c r="I2944" t="s">
        <v>110</v>
      </c>
      <c r="J2944">
        <v>11</v>
      </c>
      <c r="M2944">
        <v>216</v>
      </c>
      <c r="N2944">
        <v>51</v>
      </c>
      <c r="O2944">
        <v>28</v>
      </c>
      <c r="P2944">
        <v>48</v>
      </c>
      <c r="Q2944">
        <v>38</v>
      </c>
      <c r="R2944">
        <v>67</v>
      </c>
    </row>
    <row r="2945" spans="1:18" x14ac:dyDescent="0.25">
      <c r="A2945" t="s">
        <v>3154</v>
      </c>
      <c r="B2945" t="s">
        <v>55</v>
      </c>
      <c r="C2945" t="s">
        <v>3139</v>
      </c>
      <c r="D2945" t="s">
        <v>3140</v>
      </c>
      <c r="E2945" t="s">
        <v>78</v>
      </c>
      <c r="F2945" t="s">
        <v>252</v>
      </c>
      <c r="G2945">
        <v>6.9778000000000002</v>
      </c>
      <c r="H2945">
        <v>-74.981200000000001</v>
      </c>
      <c r="I2945" t="s">
        <v>110</v>
      </c>
      <c r="J2945">
        <v>11</v>
      </c>
      <c r="M2945">
        <v>216</v>
      </c>
      <c r="N2945">
        <v>41</v>
      </c>
      <c r="O2945">
        <v>40</v>
      </c>
      <c r="P2945">
        <v>50</v>
      </c>
      <c r="Q2945">
        <v>38</v>
      </c>
      <c r="R2945">
        <v>53</v>
      </c>
    </row>
    <row r="2946" spans="1:18" x14ac:dyDescent="0.25">
      <c r="A2946" t="s">
        <v>3155</v>
      </c>
      <c r="B2946" t="s">
        <v>55</v>
      </c>
      <c r="C2946" t="s">
        <v>3139</v>
      </c>
      <c r="D2946" t="s">
        <v>3140</v>
      </c>
      <c r="E2946" t="s">
        <v>78</v>
      </c>
      <c r="F2946" t="s">
        <v>252</v>
      </c>
      <c r="G2946">
        <v>6.9778000000000002</v>
      </c>
      <c r="H2946">
        <v>-74.981200000000001</v>
      </c>
      <c r="I2946" t="s">
        <v>110</v>
      </c>
      <c r="J2946">
        <v>11</v>
      </c>
      <c r="M2946">
        <v>215</v>
      </c>
      <c r="N2946">
        <v>41</v>
      </c>
      <c r="O2946">
        <v>46</v>
      </c>
      <c r="P2946">
        <v>52</v>
      </c>
      <c r="Q2946">
        <v>29</v>
      </c>
      <c r="R2946">
        <v>53</v>
      </c>
    </row>
    <row r="2947" spans="1:18" x14ac:dyDescent="0.25">
      <c r="A2947" t="s">
        <v>3156</v>
      </c>
      <c r="B2947" t="s">
        <v>55</v>
      </c>
      <c r="C2947" t="s">
        <v>3139</v>
      </c>
      <c r="D2947" t="s">
        <v>3140</v>
      </c>
      <c r="E2947" t="s">
        <v>78</v>
      </c>
      <c r="F2947" t="s">
        <v>252</v>
      </c>
      <c r="G2947">
        <v>6.9778000000000002</v>
      </c>
      <c r="H2947">
        <v>-74.981200000000001</v>
      </c>
      <c r="I2947" t="s">
        <v>110</v>
      </c>
      <c r="J2947">
        <v>11</v>
      </c>
      <c r="M2947">
        <v>214</v>
      </c>
      <c r="N2947">
        <v>56</v>
      </c>
      <c r="O2947">
        <v>32</v>
      </c>
      <c r="P2947">
        <v>52</v>
      </c>
      <c r="Q2947">
        <v>29</v>
      </c>
      <c r="R2947">
        <v>47</v>
      </c>
    </row>
    <row r="2948" spans="1:18" x14ac:dyDescent="0.25">
      <c r="A2948" t="s">
        <v>3157</v>
      </c>
      <c r="B2948" t="s">
        <v>55</v>
      </c>
      <c r="C2948" t="s">
        <v>3139</v>
      </c>
      <c r="D2948" t="s">
        <v>3140</v>
      </c>
      <c r="E2948" t="s">
        <v>78</v>
      </c>
      <c r="F2948" t="s">
        <v>252</v>
      </c>
      <c r="G2948">
        <v>6.9778000000000002</v>
      </c>
      <c r="H2948">
        <v>-74.981200000000001</v>
      </c>
      <c r="I2948" t="s">
        <v>110</v>
      </c>
      <c r="J2948">
        <v>11</v>
      </c>
      <c r="M2948">
        <v>213</v>
      </c>
      <c r="N2948">
        <v>44</v>
      </c>
      <c r="O2948">
        <v>38</v>
      </c>
      <c r="P2948">
        <v>54</v>
      </c>
      <c r="Q2948">
        <v>33</v>
      </c>
      <c r="R2948">
        <v>49</v>
      </c>
    </row>
    <row r="2949" spans="1:18" x14ac:dyDescent="0.25">
      <c r="A2949" t="s">
        <v>3158</v>
      </c>
      <c r="B2949" t="s">
        <v>55</v>
      </c>
      <c r="C2949" t="s">
        <v>3139</v>
      </c>
      <c r="D2949" t="s">
        <v>3140</v>
      </c>
      <c r="E2949" t="s">
        <v>78</v>
      </c>
      <c r="F2949" t="s">
        <v>252</v>
      </c>
      <c r="G2949">
        <v>6.9778000000000002</v>
      </c>
      <c r="H2949">
        <v>-74.981200000000001</v>
      </c>
      <c r="I2949" t="s">
        <v>110</v>
      </c>
      <c r="J2949">
        <v>11</v>
      </c>
      <c r="M2949">
        <v>212</v>
      </c>
      <c r="N2949">
        <v>46</v>
      </c>
      <c r="O2949">
        <v>36</v>
      </c>
      <c r="P2949">
        <v>42</v>
      </c>
      <c r="Q2949">
        <v>43</v>
      </c>
      <c r="R2949">
        <v>49</v>
      </c>
    </row>
    <row r="2950" spans="1:18" x14ac:dyDescent="0.25">
      <c r="A2950" t="s">
        <v>3159</v>
      </c>
      <c r="B2950" t="s">
        <v>55</v>
      </c>
      <c r="C2950" t="s">
        <v>3139</v>
      </c>
      <c r="D2950" t="s">
        <v>3140</v>
      </c>
      <c r="E2950" t="s">
        <v>78</v>
      </c>
      <c r="F2950" t="s">
        <v>252</v>
      </c>
      <c r="G2950">
        <v>6.9778000000000002</v>
      </c>
      <c r="H2950">
        <v>-74.981200000000001</v>
      </c>
      <c r="I2950" t="s">
        <v>110</v>
      </c>
      <c r="J2950">
        <v>11</v>
      </c>
      <c r="M2950">
        <v>212</v>
      </c>
      <c r="N2950">
        <v>39</v>
      </c>
      <c r="O2950">
        <v>42</v>
      </c>
      <c r="P2950">
        <v>50</v>
      </c>
      <c r="Q2950">
        <v>34</v>
      </c>
      <c r="R2950">
        <v>55</v>
      </c>
    </row>
    <row r="2951" spans="1:18" x14ac:dyDescent="0.25">
      <c r="A2951" t="s">
        <v>3160</v>
      </c>
      <c r="B2951" t="s">
        <v>55</v>
      </c>
      <c r="C2951" t="s">
        <v>3139</v>
      </c>
      <c r="D2951" t="s">
        <v>3140</v>
      </c>
      <c r="E2951" t="s">
        <v>78</v>
      </c>
      <c r="F2951" t="s">
        <v>252</v>
      </c>
      <c r="G2951">
        <v>6.9778000000000002</v>
      </c>
      <c r="H2951">
        <v>-74.981200000000001</v>
      </c>
      <c r="I2951" t="s">
        <v>110</v>
      </c>
      <c r="J2951">
        <v>11</v>
      </c>
      <c r="M2951">
        <v>206</v>
      </c>
      <c r="N2951">
        <v>41</v>
      </c>
      <c r="O2951">
        <v>38</v>
      </c>
      <c r="P2951">
        <v>40</v>
      </c>
      <c r="Q2951">
        <v>36</v>
      </c>
      <c r="R2951">
        <v>69</v>
      </c>
    </row>
    <row r="2952" spans="1:18" x14ac:dyDescent="0.25">
      <c r="A2952" t="s">
        <v>3161</v>
      </c>
      <c r="B2952" t="s">
        <v>55</v>
      </c>
      <c r="C2952" t="s">
        <v>3139</v>
      </c>
      <c r="D2952" t="s">
        <v>3140</v>
      </c>
      <c r="E2952" t="s">
        <v>78</v>
      </c>
      <c r="F2952" t="s">
        <v>252</v>
      </c>
      <c r="G2952">
        <v>6.9778000000000002</v>
      </c>
      <c r="H2952">
        <v>-74.981200000000001</v>
      </c>
      <c r="I2952" t="s">
        <v>110</v>
      </c>
      <c r="J2952">
        <v>11</v>
      </c>
      <c r="M2952">
        <v>205</v>
      </c>
      <c r="N2952">
        <v>51</v>
      </c>
      <c r="O2952">
        <v>32</v>
      </c>
      <c r="P2952">
        <v>36</v>
      </c>
      <c r="Q2952">
        <v>33</v>
      </c>
      <c r="R2952">
        <v>76</v>
      </c>
    </row>
    <row r="2953" spans="1:18" x14ac:dyDescent="0.25">
      <c r="A2953" t="s">
        <v>3162</v>
      </c>
      <c r="B2953" t="s">
        <v>55</v>
      </c>
      <c r="C2953" t="s">
        <v>3139</v>
      </c>
      <c r="D2953" t="s">
        <v>3140</v>
      </c>
      <c r="E2953" t="s">
        <v>78</v>
      </c>
      <c r="F2953" t="s">
        <v>252</v>
      </c>
      <c r="G2953">
        <v>6.9778000000000002</v>
      </c>
      <c r="H2953">
        <v>-74.981200000000001</v>
      </c>
      <c r="I2953" t="s">
        <v>110</v>
      </c>
      <c r="J2953">
        <v>11</v>
      </c>
      <c r="M2953">
        <v>204</v>
      </c>
      <c r="N2953">
        <v>46</v>
      </c>
      <c r="O2953">
        <v>28</v>
      </c>
      <c r="P2953">
        <v>50</v>
      </c>
      <c r="Q2953">
        <v>31</v>
      </c>
      <c r="R2953">
        <v>64</v>
      </c>
    </row>
    <row r="2954" spans="1:18" x14ac:dyDescent="0.25">
      <c r="A2954" t="s">
        <v>3163</v>
      </c>
      <c r="B2954" t="s">
        <v>55</v>
      </c>
      <c r="C2954" t="s">
        <v>3139</v>
      </c>
      <c r="D2954" t="s">
        <v>3140</v>
      </c>
      <c r="E2954" t="s">
        <v>78</v>
      </c>
      <c r="F2954" t="s">
        <v>252</v>
      </c>
      <c r="G2954">
        <v>6.9778000000000002</v>
      </c>
      <c r="H2954">
        <v>-74.981200000000001</v>
      </c>
      <c r="I2954" t="s">
        <v>110</v>
      </c>
      <c r="J2954">
        <v>11</v>
      </c>
      <c r="M2954">
        <v>201</v>
      </c>
      <c r="N2954">
        <v>37</v>
      </c>
      <c r="O2954">
        <v>32</v>
      </c>
      <c r="P2954">
        <v>50</v>
      </c>
      <c r="Q2954">
        <v>41</v>
      </c>
      <c r="R2954">
        <v>44</v>
      </c>
    </row>
    <row r="2955" spans="1:18" x14ac:dyDescent="0.25">
      <c r="A2955" t="s">
        <v>3164</v>
      </c>
      <c r="B2955" t="s">
        <v>55</v>
      </c>
      <c r="C2955" t="s">
        <v>3139</v>
      </c>
      <c r="D2955" t="s">
        <v>3140</v>
      </c>
      <c r="E2955" t="s">
        <v>78</v>
      </c>
      <c r="F2955" t="s">
        <v>252</v>
      </c>
      <c r="G2955">
        <v>6.9778000000000002</v>
      </c>
      <c r="H2955">
        <v>-74.981200000000001</v>
      </c>
      <c r="I2955" t="s">
        <v>110</v>
      </c>
      <c r="J2955">
        <v>11</v>
      </c>
      <c r="M2955">
        <v>201</v>
      </c>
      <c r="N2955">
        <v>46</v>
      </c>
      <c r="O2955">
        <v>38</v>
      </c>
      <c r="P2955">
        <v>38</v>
      </c>
      <c r="Q2955">
        <v>36</v>
      </c>
      <c r="R2955">
        <v>47</v>
      </c>
    </row>
    <row r="2956" spans="1:18" x14ac:dyDescent="0.25">
      <c r="A2956" t="s">
        <v>3165</v>
      </c>
      <c r="B2956" t="s">
        <v>55</v>
      </c>
      <c r="C2956" t="s">
        <v>3139</v>
      </c>
      <c r="D2956" t="s">
        <v>3140</v>
      </c>
      <c r="E2956" t="s">
        <v>78</v>
      </c>
      <c r="F2956" t="s">
        <v>252</v>
      </c>
      <c r="G2956">
        <v>6.9778000000000002</v>
      </c>
      <c r="H2956">
        <v>-74.981200000000001</v>
      </c>
      <c r="I2956" t="s">
        <v>110</v>
      </c>
      <c r="J2956">
        <v>11</v>
      </c>
      <c r="M2956">
        <v>201</v>
      </c>
      <c r="N2956">
        <v>37</v>
      </c>
      <c r="O2956">
        <v>30</v>
      </c>
      <c r="P2956">
        <v>56</v>
      </c>
      <c r="Q2956">
        <v>34</v>
      </c>
      <c r="R2956">
        <v>51</v>
      </c>
    </row>
    <row r="2957" spans="1:18" x14ac:dyDescent="0.25">
      <c r="A2957" t="s">
        <v>3166</v>
      </c>
      <c r="B2957" t="s">
        <v>55</v>
      </c>
      <c r="C2957" t="s">
        <v>3139</v>
      </c>
      <c r="D2957" t="s">
        <v>3140</v>
      </c>
      <c r="E2957" t="s">
        <v>78</v>
      </c>
      <c r="F2957" t="s">
        <v>252</v>
      </c>
      <c r="G2957">
        <v>6.9778000000000002</v>
      </c>
      <c r="H2957">
        <v>-74.981200000000001</v>
      </c>
      <c r="I2957" t="s">
        <v>110</v>
      </c>
      <c r="J2957">
        <v>11</v>
      </c>
      <c r="M2957">
        <v>200</v>
      </c>
      <c r="N2957">
        <v>46</v>
      </c>
      <c r="O2957">
        <v>22</v>
      </c>
      <c r="P2957">
        <v>48</v>
      </c>
      <c r="Q2957">
        <v>40</v>
      </c>
      <c r="R2957">
        <v>51</v>
      </c>
    </row>
    <row r="2958" spans="1:18" x14ac:dyDescent="0.25">
      <c r="A2958" t="s">
        <v>3167</v>
      </c>
      <c r="B2958" t="s">
        <v>55</v>
      </c>
      <c r="C2958" t="s">
        <v>3139</v>
      </c>
      <c r="D2958" t="s">
        <v>3140</v>
      </c>
      <c r="E2958" t="s">
        <v>78</v>
      </c>
      <c r="F2958" t="s">
        <v>252</v>
      </c>
      <c r="G2958">
        <v>6.9778000000000002</v>
      </c>
      <c r="H2958">
        <v>-74.981200000000001</v>
      </c>
      <c r="I2958" t="s">
        <v>110</v>
      </c>
      <c r="J2958">
        <v>11</v>
      </c>
      <c r="M2958">
        <v>199</v>
      </c>
      <c r="N2958">
        <v>49</v>
      </c>
      <c r="O2958">
        <v>42</v>
      </c>
      <c r="P2958">
        <v>20</v>
      </c>
      <c r="Q2958">
        <v>41</v>
      </c>
      <c r="R2958">
        <v>60</v>
      </c>
    </row>
    <row r="2959" spans="1:18" x14ac:dyDescent="0.25">
      <c r="A2959" t="s">
        <v>3168</v>
      </c>
      <c r="B2959" t="s">
        <v>55</v>
      </c>
      <c r="C2959" t="s">
        <v>3139</v>
      </c>
      <c r="D2959" t="s">
        <v>3140</v>
      </c>
      <c r="E2959" t="s">
        <v>78</v>
      </c>
      <c r="F2959" t="s">
        <v>252</v>
      </c>
      <c r="G2959">
        <v>6.9778000000000002</v>
      </c>
      <c r="H2959">
        <v>-74.981200000000001</v>
      </c>
      <c r="I2959" t="s">
        <v>110</v>
      </c>
      <c r="J2959">
        <v>11</v>
      </c>
      <c r="M2959">
        <v>194</v>
      </c>
      <c r="N2959">
        <v>44</v>
      </c>
      <c r="O2959">
        <v>38</v>
      </c>
      <c r="P2959">
        <v>38</v>
      </c>
      <c r="Q2959">
        <v>36</v>
      </c>
      <c r="R2959">
        <v>36</v>
      </c>
    </row>
    <row r="2960" spans="1:18" x14ac:dyDescent="0.25">
      <c r="A2960" t="s">
        <v>3169</v>
      </c>
      <c r="B2960" t="s">
        <v>55</v>
      </c>
      <c r="C2960" t="s">
        <v>3139</v>
      </c>
      <c r="D2960" t="s">
        <v>3140</v>
      </c>
      <c r="E2960" t="s">
        <v>78</v>
      </c>
      <c r="F2960" t="s">
        <v>252</v>
      </c>
      <c r="G2960">
        <v>6.9778000000000002</v>
      </c>
      <c r="H2960">
        <v>-74.981200000000001</v>
      </c>
      <c r="I2960" t="s">
        <v>110</v>
      </c>
      <c r="J2960">
        <v>11</v>
      </c>
      <c r="M2960">
        <v>190</v>
      </c>
      <c r="N2960">
        <v>39</v>
      </c>
      <c r="O2960">
        <v>40</v>
      </c>
      <c r="P2960">
        <v>32</v>
      </c>
      <c r="Q2960">
        <v>34</v>
      </c>
      <c r="R2960">
        <v>58</v>
      </c>
    </row>
    <row r="2961" spans="1:18" x14ac:dyDescent="0.25">
      <c r="A2961" t="s">
        <v>3170</v>
      </c>
      <c r="B2961" t="s">
        <v>55</v>
      </c>
      <c r="C2961" t="s">
        <v>3139</v>
      </c>
      <c r="D2961" t="s">
        <v>3140</v>
      </c>
      <c r="E2961" t="s">
        <v>78</v>
      </c>
      <c r="F2961" t="s">
        <v>252</v>
      </c>
      <c r="G2961">
        <v>6.9778000000000002</v>
      </c>
      <c r="H2961">
        <v>-74.981200000000001</v>
      </c>
      <c r="I2961" t="s">
        <v>110</v>
      </c>
      <c r="J2961">
        <v>11</v>
      </c>
      <c r="M2961">
        <v>189</v>
      </c>
      <c r="N2961">
        <v>39</v>
      </c>
      <c r="O2961">
        <v>34</v>
      </c>
      <c r="P2961">
        <v>40</v>
      </c>
      <c r="Q2961">
        <v>34</v>
      </c>
      <c r="R2961">
        <v>49</v>
      </c>
    </row>
    <row r="2962" spans="1:18" x14ac:dyDescent="0.25">
      <c r="A2962" t="s">
        <v>3171</v>
      </c>
      <c r="B2962" t="s">
        <v>55</v>
      </c>
      <c r="C2962" t="s">
        <v>3139</v>
      </c>
      <c r="D2962" t="s">
        <v>3140</v>
      </c>
      <c r="E2962" t="s">
        <v>78</v>
      </c>
      <c r="F2962" t="s">
        <v>252</v>
      </c>
      <c r="G2962">
        <v>6.9778000000000002</v>
      </c>
      <c r="H2962">
        <v>-74.981200000000001</v>
      </c>
      <c r="I2962" t="s">
        <v>110</v>
      </c>
      <c r="J2962">
        <v>11</v>
      </c>
      <c r="M2962">
        <v>189</v>
      </c>
      <c r="N2962">
        <v>44</v>
      </c>
      <c r="O2962">
        <v>32</v>
      </c>
      <c r="P2962">
        <v>32</v>
      </c>
      <c r="Q2962">
        <v>36</v>
      </c>
      <c r="R2962">
        <v>58</v>
      </c>
    </row>
    <row r="2963" spans="1:18" x14ac:dyDescent="0.25">
      <c r="A2963" t="s">
        <v>3172</v>
      </c>
      <c r="B2963" t="s">
        <v>55</v>
      </c>
      <c r="C2963" t="s">
        <v>3139</v>
      </c>
      <c r="D2963" t="s">
        <v>3140</v>
      </c>
      <c r="E2963" t="s">
        <v>78</v>
      </c>
      <c r="F2963" t="s">
        <v>252</v>
      </c>
      <c r="G2963">
        <v>6.9778000000000002</v>
      </c>
      <c r="H2963">
        <v>-74.981200000000001</v>
      </c>
      <c r="I2963" t="s">
        <v>110</v>
      </c>
      <c r="J2963">
        <v>11</v>
      </c>
      <c r="M2963">
        <v>188</v>
      </c>
      <c r="N2963">
        <v>51</v>
      </c>
      <c r="O2963">
        <v>22</v>
      </c>
      <c r="P2963">
        <v>50</v>
      </c>
      <c r="Q2963">
        <v>28</v>
      </c>
      <c r="R2963">
        <v>36</v>
      </c>
    </row>
    <row r="2964" spans="1:18" x14ac:dyDescent="0.25">
      <c r="A2964" t="s">
        <v>3173</v>
      </c>
      <c r="B2964" t="s">
        <v>55</v>
      </c>
      <c r="C2964" t="s">
        <v>3139</v>
      </c>
      <c r="D2964" t="s">
        <v>3140</v>
      </c>
      <c r="E2964" t="s">
        <v>78</v>
      </c>
      <c r="F2964" t="s">
        <v>252</v>
      </c>
      <c r="G2964">
        <v>6.9778000000000002</v>
      </c>
      <c r="H2964">
        <v>-74.981200000000001</v>
      </c>
      <c r="I2964" t="s">
        <v>110</v>
      </c>
      <c r="J2964">
        <v>11</v>
      </c>
      <c r="M2964">
        <v>185</v>
      </c>
      <c r="N2964">
        <v>51</v>
      </c>
      <c r="O2964">
        <v>26</v>
      </c>
      <c r="P2964">
        <v>46</v>
      </c>
      <c r="Q2964">
        <v>22</v>
      </c>
      <c r="R2964">
        <v>44</v>
      </c>
    </row>
    <row r="2965" spans="1:18" x14ac:dyDescent="0.25">
      <c r="A2965" t="s">
        <v>3174</v>
      </c>
      <c r="B2965" t="s">
        <v>55</v>
      </c>
      <c r="C2965" t="s">
        <v>3139</v>
      </c>
      <c r="D2965" t="s">
        <v>3140</v>
      </c>
      <c r="E2965" t="s">
        <v>78</v>
      </c>
      <c r="F2965" t="s">
        <v>252</v>
      </c>
      <c r="G2965">
        <v>6.9778000000000002</v>
      </c>
      <c r="H2965">
        <v>-74.981200000000001</v>
      </c>
      <c r="I2965" t="s">
        <v>110</v>
      </c>
      <c r="J2965">
        <v>11</v>
      </c>
      <c r="M2965">
        <v>184</v>
      </c>
      <c r="N2965">
        <v>34</v>
      </c>
      <c r="O2965">
        <v>38</v>
      </c>
      <c r="P2965">
        <v>52</v>
      </c>
      <c r="Q2965">
        <v>24</v>
      </c>
      <c r="R2965">
        <v>35</v>
      </c>
    </row>
    <row r="2966" spans="1:18" x14ac:dyDescent="0.25">
      <c r="A2966" t="s">
        <v>3175</v>
      </c>
      <c r="B2966" t="s">
        <v>55</v>
      </c>
      <c r="C2966" t="s">
        <v>3139</v>
      </c>
      <c r="D2966" t="s">
        <v>3140</v>
      </c>
      <c r="E2966" t="s">
        <v>78</v>
      </c>
      <c r="F2966" t="s">
        <v>252</v>
      </c>
      <c r="G2966">
        <v>6.9778000000000002</v>
      </c>
      <c r="H2966">
        <v>-74.981200000000001</v>
      </c>
      <c r="I2966" t="s">
        <v>110</v>
      </c>
      <c r="J2966">
        <v>11</v>
      </c>
      <c r="M2966">
        <v>183</v>
      </c>
      <c r="N2966">
        <v>44</v>
      </c>
      <c r="O2966">
        <v>30</v>
      </c>
      <c r="P2966">
        <v>40</v>
      </c>
      <c r="Q2966">
        <v>31</v>
      </c>
      <c r="R2966">
        <v>40</v>
      </c>
    </row>
    <row r="2967" spans="1:18" x14ac:dyDescent="0.25">
      <c r="A2967" t="s">
        <v>3176</v>
      </c>
      <c r="B2967" t="s">
        <v>55</v>
      </c>
      <c r="C2967" t="s">
        <v>3139</v>
      </c>
      <c r="D2967" t="s">
        <v>3140</v>
      </c>
      <c r="E2967" t="s">
        <v>78</v>
      </c>
      <c r="F2967" t="s">
        <v>252</v>
      </c>
      <c r="G2967">
        <v>6.9778000000000002</v>
      </c>
      <c r="H2967">
        <v>-74.981200000000001</v>
      </c>
      <c r="I2967" t="s">
        <v>110</v>
      </c>
      <c r="J2967">
        <v>11</v>
      </c>
      <c r="M2967">
        <v>182</v>
      </c>
      <c r="N2967">
        <v>32</v>
      </c>
      <c r="O2967">
        <v>32</v>
      </c>
      <c r="P2967">
        <v>42</v>
      </c>
      <c r="Q2967">
        <v>33</v>
      </c>
      <c r="R2967">
        <v>58</v>
      </c>
    </row>
    <row r="2968" spans="1:18" x14ac:dyDescent="0.25">
      <c r="A2968" t="s">
        <v>3177</v>
      </c>
      <c r="B2968" t="s">
        <v>55</v>
      </c>
      <c r="C2968" t="s">
        <v>3139</v>
      </c>
      <c r="D2968" t="s">
        <v>3140</v>
      </c>
      <c r="E2968" t="s">
        <v>78</v>
      </c>
      <c r="F2968" t="s">
        <v>252</v>
      </c>
      <c r="G2968">
        <v>6.9778000000000002</v>
      </c>
      <c r="H2968">
        <v>-74.981200000000001</v>
      </c>
      <c r="I2968" t="s">
        <v>110</v>
      </c>
      <c r="J2968">
        <v>11</v>
      </c>
      <c r="M2968">
        <v>181</v>
      </c>
      <c r="N2968">
        <v>32</v>
      </c>
      <c r="O2968">
        <v>34</v>
      </c>
      <c r="P2968">
        <v>52</v>
      </c>
      <c r="Q2968">
        <v>24</v>
      </c>
      <c r="R2968">
        <v>45</v>
      </c>
    </row>
    <row r="2969" spans="1:18" x14ac:dyDescent="0.25">
      <c r="A2969" t="s">
        <v>3178</v>
      </c>
      <c r="B2969" t="s">
        <v>55</v>
      </c>
      <c r="C2969" t="s">
        <v>3139</v>
      </c>
      <c r="D2969" t="s">
        <v>3140</v>
      </c>
      <c r="E2969" t="s">
        <v>78</v>
      </c>
      <c r="F2969" t="s">
        <v>252</v>
      </c>
      <c r="G2969">
        <v>6.9778000000000002</v>
      </c>
      <c r="H2969">
        <v>-74.981200000000001</v>
      </c>
      <c r="I2969" t="s">
        <v>110</v>
      </c>
      <c r="J2969">
        <v>11</v>
      </c>
      <c r="M2969">
        <v>176</v>
      </c>
      <c r="N2969">
        <v>34</v>
      </c>
      <c r="O2969">
        <v>30</v>
      </c>
      <c r="P2969">
        <v>40</v>
      </c>
      <c r="Q2969">
        <v>29</v>
      </c>
      <c r="R2969">
        <v>58</v>
      </c>
    </row>
    <row r="2970" spans="1:18" x14ac:dyDescent="0.25">
      <c r="A2970" t="s">
        <v>3179</v>
      </c>
      <c r="B2970" t="s">
        <v>55</v>
      </c>
      <c r="C2970" t="s">
        <v>3139</v>
      </c>
      <c r="D2970" t="s">
        <v>3140</v>
      </c>
      <c r="E2970" t="s">
        <v>78</v>
      </c>
      <c r="F2970" t="s">
        <v>252</v>
      </c>
      <c r="G2970">
        <v>6.9778000000000002</v>
      </c>
      <c r="H2970">
        <v>-74.981200000000001</v>
      </c>
      <c r="I2970" t="s">
        <v>110</v>
      </c>
      <c r="J2970">
        <v>11</v>
      </c>
      <c r="M2970">
        <v>176</v>
      </c>
      <c r="N2970">
        <v>49</v>
      </c>
      <c r="O2970">
        <v>18</v>
      </c>
      <c r="P2970">
        <v>40</v>
      </c>
      <c r="Q2970">
        <v>31</v>
      </c>
      <c r="R2970">
        <v>44</v>
      </c>
    </row>
    <row r="2971" spans="1:18" x14ac:dyDescent="0.25">
      <c r="A2971" t="s">
        <v>3180</v>
      </c>
      <c r="B2971" t="s">
        <v>55</v>
      </c>
      <c r="C2971" t="s">
        <v>3139</v>
      </c>
      <c r="D2971" t="s">
        <v>3140</v>
      </c>
      <c r="E2971" t="s">
        <v>78</v>
      </c>
      <c r="F2971" t="s">
        <v>252</v>
      </c>
      <c r="G2971">
        <v>6.9778000000000002</v>
      </c>
      <c r="H2971">
        <v>-74.981200000000001</v>
      </c>
      <c r="I2971" t="s">
        <v>110</v>
      </c>
      <c r="J2971">
        <v>11</v>
      </c>
      <c r="M2971">
        <v>175</v>
      </c>
      <c r="N2971">
        <v>29</v>
      </c>
      <c r="O2971">
        <v>36</v>
      </c>
      <c r="P2971">
        <v>32</v>
      </c>
      <c r="Q2971">
        <v>29</v>
      </c>
      <c r="R2971">
        <v>76</v>
      </c>
    </row>
    <row r="2972" spans="1:18" x14ac:dyDescent="0.25">
      <c r="A2972" t="s">
        <v>3181</v>
      </c>
      <c r="B2972" t="s">
        <v>55</v>
      </c>
      <c r="C2972" t="s">
        <v>3139</v>
      </c>
      <c r="D2972" t="s">
        <v>3140</v>
      </c>
      <c r="E2972" t="s">
        <v>78</v>
      </c>
      <c r="F2972" t="s">
        <v>252</v>
      </c>
      <c r="G2972">
        <v>6.9778000000000002</v>
      </c>
      <c r="H2972">
        <v>-74.981200000000001</v>
      </c>
      <c r="I2972" t="s">
        <v>110</v>
      </c>
      <c r="J2972">
        <v>11</v>
      </c>
      <c r="M2972">
        <v>175</v>
      </c>
      <c r="N2972">
        <v>41</v>
      </c>
      <c r="O2972">
        <v>26</v>
      </c>
      <c r="P2972">
        <v>42</v>
      </c>
      <c r="Q2972">
        <v>29</v>
      </c>
      <c r="R2972">
        <v>38</v>
      </c>
    </row>
    <row r="2973" spans="1:18" x14ac:dyDescent="0.25">
      <c r="A2973" t="s">
        <v>3182</v>
      </c>
      <c r="B2973" t="s">
        <v>55</v>
      </c>
      <c r="C2973" t="s">
        <v>3139</v>
      </c>
      <c r="D2973" t="s">
        <v>3140</v>
      </c>
      <c r="E2973" t="s">
        <v>78</v>
      </c>
      <c r="F2973" t="s">
        <v>252</v>
      </c>
      <c r="G2973">
        <v>6.9778000000000002</v>
      </c>
      <c r="H2973">
        <v>-74.981200000000001</v>
      </c>
      <c r="I2973" t="s">
        <v>110</v>
      </c>
      <c r="J2973">
        <v>11</v>
      </c>
      <c r="M2973">
        <v>174</v>
      </c>
      <c r="N2973">
        <v>49</v>
      </c>
      <c r="O2973">
        <v>12</v>
      </c>
      <c r="P2973">
        <v>48</v>
      </c>
      <c r="Q2973">
        <v>22</v>
      </c>
      <c r="R2973">
        <v>60</v>
      </c>
    </row>
    <row r="2974" spans="1:18" x14ac:dyDescent="0.25">
      <c r="A2974" t="s">
        <v>3183</v>
      </c>
      <c r="B2974" t="s">
        <v>55</v>
      </c>
      <c r="C2974" t="s">
        <v>3139</v>
      </c>
      <c r="D2974" t="s">
        <v>3140</v>
      </c>
      <c r="E2974" t="s">
        <v>78</v>
      </c>
      <c r="F2974" t="s">
        <v>252</v>
      </c>
      <c r="G2974">
        <v>6.9778000000000002</v>
      </c>
      <c r="H2974">
        <v>-74.981200000000001</v>
      </c>
      <c r="I2974" t="s">
        <v>110</v>
      </c>
      <c r="J2974">
        <v>11</v>
      </c>
      <c r="M2974">
        <v>174</v>
      </c>
      <c r="N2974">
        <v>20</v>
      </c>
      <c r="O2974">
        <v>34</v>
      </c>
      <c r="P2974">
        <v>42</v>
      </c>
      <c r="Q2974">
        <v>31</v>
      </c>
      <c r="R2974">
        <v>73</v>
      </c>
    </row>
    <row r="2975" spans="1:18" x14ac:dyDescent="0.25">
      <c r="A2975" t="s">
        <v>3184</v>
      </c>
      <c r="B2975" t="s">
        <v>55</v>
      </c>
      <c r="C2975" t="s">
        <v>3139</v>
      </c>
      <c r="D2975" t="s">
        <v>3140</v>
      </c>
      <c r="E2975" t="s">
        <v>78</v>
      </c>
      <c r="F2975" t="s">
        <v>252</v>
      </c>
      <c r="G2975">
        <v>6.9778000000000002</v>
      </c>
      <c r="H2975">
        <v>-74.981200000000001</v>
      </c>
      <c r="I2975" t="s">
        <v>110</v>
      </c>
      <c r="J2975">
        <v>11</v>
      </c>
      <c r="M2975">
        <v>173</v>
      </c>
      <c r="N2975">
        <v>54</v>
      </c>
      <c r="O2975">
        <v>26</v>
      </c>
      <c r="P2975">
        <v>30</v>
      </c>
      <c r="Q2975">
        <v>24</v>
      </c>
      <c r="R2975">
        <v>47</v>
      </c>
    </row>
    <row r="2976" spans="1:18" x14ac:dyDescent="0.25">
      <c r="A2976" t="s">
        <v>3185</v>
      </c>
      <c r="B2976" t="s">
        <v>55</v>
      </c>
      <c r="C2976" t="s">
        <v>3139</v>
      </c>
      <c r="D2976" t="s">
        <v>3140</v>
      </c>
      <c r="E2976" t="s">
        <v>78</v>
      </c>
      <c r="F2976" t="s">
        <v>252</v>
      </c>
      <c r="G2976">
        <v>6.9778000000000002</v>
      </c>
      <c r="H2976">
        <v>-74.981200000000001</v>
      </c>
      <c r="I2976" t="s">
        <v>110</v>
      </c>
      <c r="J2976">
        <v>11</v>
      </c>
      <c r="M2976">
        <v>170</v>
      </c>
      <c r="N2976">
        <v>37</v>
      </c>
      <c r="O2976">
        <v>28</v>
      </c>
      <c r="P2976">
        <v>40</v>
      </c>
      <c r="Q2976">
        <v>31</v>
      </c>
      <c r="R2976">
        <v>35</v>
      </c>
    </row>
    <row r="2977" spans="1:18" x14ac:dyDescent="0.25">
      <c r="A2977" t="s">
        <v>3186</v>
      </c>
      <c r="B2977" t="s">
        <v>55</v>
      </c>
      <c r="C2977" t="s">
        <v>3139</v>
      </c>
      <c r="D2977" t="s">
        <v>3140</v>
      </c>
      <c r="E2977" t="s">
        <v>78</v>
      </c>
      <c r="F2977" t="s">
        <v>252</v>
      </c>
      <c r="G2977">
        <v>6.9778000000000002</v>
      </c>
      <c r="H2977">
        <v>-74.981200000000001</v>
      </c>
      <c r="I2977" t="s">
        <v>110</v>
      </c>
      <c r="J2977">
        <v>11</v>
      </c>
      <c r="M2977">
        <v>167</v>
      </c>
      <c r="N2977">
        <v>44</v>
      </c>
      <c r="O2977">
        <v>28</v>
      </c>
      <c r="P2977">
        <v>40</v>
      </c>
      <c r="Q2977">
        <v>22</v>
      </c>
      <c r="R2977">
        <v>31</v>
      </c>
    </row>
    <row r="2978" spans="1:18" x14ac:dyDescent="0.25">
      <c r="A2978" t="s">
        <v>3187</v>
      </c>
      <c r="B2978" t="s">
        <v>55</v>
      </c>
      <c r="C2978" t="s">
        <v>3139</v>
      </c>
      <c r="D2978" t="s">
        <v>3140</v>
      </c>
      <c r="E2978" t="s">
        <v>78</v>
      </c>
      <c r="F2978" t="s">
        <v>252</v>
      </c>
      <c r="G2978">
        <v>6.9778000000000002</v>
      </c>
      <c r="H2978">
        <v>-74.981200000000001</v>
      </c>
      <c r="I2978" t="s">
        <v>110</v>
      </c>
      <c r="J2978">
        <v>11</v>
      </c>
      <c r="M2978">
        <v>165</v>
      </c>
      <c r="N2978">
        <v>22</v>
      </c>
      <c r="O2978">
        <v>28</v>
      </c>
      <c r="P2978">
        <v>38</v>
      </c>
      <c r="Q2978">
        <v>34</v>
      </c>
      <c r="R2978">
        <v>62</v>
      </c>
    </row>
    <row r="2979" spans="1:18" x14ac:dyDescent="0.25">
      <c r="A2979" t="s">
        <v>3188</v>
      </c>
      <c r="B2979" t="s">
        <v>55</v>
      </c>
      <c r="C2979" t="s">
        <v>3139</v>
      </c>
      <c r="D2979" t="s">
        <v>3140</v>
      </c>
      <c r="E2979" t="s">
        <v>78</v>
      </c>
      <c r="F2979" t="s">
        <v>252</v>
      </c>
      <c r="G2979">
        <v>6.9778000000000002</v>
      </c>
      <c r="H2979">
        <v>-74.981200000000001</v>
      </c>
      <c r="I2979" t="s">
        <v>110</v>
      </c>
      <c r="J2979">
        <v>11</v>
      </c>
      <c r="M2979">
        <v>165</v>
      </c>
      <c r="N2979">
        <v>44</v>
      </c>
      <c r="O2979">
        <v>30</v>
      </c>
      <c r="P2979">
        <v>36</v>
      </c>
      <c r="Q2979">
        <v>28</v>
      </c>
      <c r="R2979">
        <v>16</v>
      </c>
    </row>
    <row r="2980" spans="1:18" x14ac:dyDescent="0.25">
      <c r="A2980" t="s">
        <v>3189</v>
      </c>
      <c r="B2980" t="s">
        <v>55</v>
      </c>
      <c r="C2980" t="s">
        <v>3139</v>
      </c>
      <c r="D2980" t="s">
        <v>3140</v>
      </c>
      <c r="E2980" t="s">
        <v>78</v>
      </c>
      <c r="F2980" t="s">
        <v>252</v>
      </c>
      <c r="G2980">
        <v>6.9778000000000002</v>
      </c>
      <c r="H2980">
        <v>-74.981200000000001</v>
      </c>
      <c r="I2980" t="s">
        <v>110</v>
      </c>
      <c r="J2980">
        <v>11</v>
      </c>
      <c r="M2980">
        <v>164</v>
      </c>
      <c r="N2980">
        <v>41</v>
      </c>
      <c r="O2980">
        <v>20</v>
      </c>
      <c r="P2980">
        <v>40</v>
      </c>
      <c r="Q2980">
        <v>28</v>
      </c>
      <c r="R2980">
        <v>38</v>
      </c>
    </row>
    <row r="2981" spans="1:18" x14ac:dyDescent="0.25">
      <c r="A2981" t="s">
        <v>3190</v>
      </c>
      <c r="B2981" t="s">
        <v>55</v>
      </c>
      <c r="C2981" t="s">
        <v>3139</v>
      </c>
      <c r="D2981" t="s">
        <v>3140</v>
      </c>
      <c r="E2981" t="s">
        <v>78</v>
      </c>
      <c r="F2981" t="s">
        <v>252</v>
      </c>
      <c r="G2981">
        <v>6.9778000000000002</v>
      </c>
      <c r="H2981">
        <v>-74.981200000000001</v>
      </c>
      <c r="I2981" t="s">
        <v>110</v>
      </c>
      <c r="J2981">
        <v>11</v>
      </c>
      <c r="M2981">
        <v>163</v>
      </c>
      <c r="N2981">
        <v>39</v>
      </c>
      <c r="O2981">
        <v>18</v>
      </c>
      <c r="P2981">
        <v>46</v>
      </c>
      <c r="Q2981">
        <v>26</v>
      </c>
      <c r="R2981">
        <v>38</v>
      </c>
    </row>
    <row r="2982" spans="1:18" x14ac:dyDescent="0.25">
      <c r="A2982" t="s">
        <v>3191</v>
      </c>
      <c r="B2982" t="s">
        <v>55</v>
      </c>
      <c r="C2982" t="s">
        <v>3139</v>
      </c>
      <c r="D2982" t="s">
        <v>3140</v>
      </c>
      <c r="E2982" t="s">
        <v>78</v>
      </c>
      <c r="F2982" t="s">
        <v>252</v>
      </c>
      <c r="G2982">
        <v>6.9778000000000002</v>
      </c>
      <c r="H2982">
        <v>-74.981200000000001</v>
      </c>
      <c r="I2982" t="s">
        <v>110</v>
      </c>
      <c r="J2982">
        <v>11</v>
      </c>
      <c r="M2982">
        <v>162</v>
      </c>
      <c r="N2982">
        <v>22</v>
      </c>
      <c r="O2982">
        <v>28</v>
      </c>
      <c r="P2982">
        <v>36</v>
      </c>
      <c r="Q2982">
        <v>31</v>
      </c>
      <c r="R2982">
        <v>69</v>
      </c>
    </row>
    <row r="2983" spans="1:18" x14ac:dyDescent="0.25">
      <c r="A2983" t="s">
        <v>3192</v>
      </c>
      <c r="B2983" t="s">
        <v>55</v>
      </c>
      <c r="C2983" t="s">
        <v>3139</v>
      </c>
      <c r="D2983" t="s">
        <v>3140</v>
      </c>
      <c r="E2983" t="s">
        <v>78</v>
      </c>
      <c r="F2983" t="s">
        <v>252</v>
      </c>
      <c r="G2983">
        <v>6.9778000000000002</v>
      </c>
      <c r="H2983">
        <v>-74.981200000000001</v>
      </c>
      <c r="I2983" t="s">
        <v>110</v>
      </c>
      <c r="J2983">
        <v>11</v>
      </c>
      <c r="M2983">
        <v>159</v>
      </c>
      <c r="N2983">
        <v>49</v>
      </c>
      <c r="O2983">
        <v>22</v>
      </c>
      <c r="P2983">
        <v>30</v>
      </c>
      <c r="Q2983">
        <v>28</v>
      </c>
      <c r="R2983">
        <v>29</v>
      </c>
    </row>
    <row r="2984" spans="1:18" x14ac:dyDescent="0.25">
      <c r="A2984" t="s">
        <v>3193</v>
      </c>
      <c r="B2984" t="s">
        <v>55</v>
      </c>
      <c r="C2984" t="s">
        <v>3139</v>
      </c>
      <c r="D2984" t="s">
        <v>3140</v>
      </c>
      <c r="E2984" t="s">
        <v>78</v>
      </c>
      <c r="F2984" t="s">
        <v>252</v>
      </c>
      <c r="G2984">
        <v>6.9778000000000002</v>
      </c>
      <c r="H2984">
        <v>-74.981200000000001</v>
      </c>
      <c r="I2984" t="s">
        <v>110</v>
      </c>
      <c r="J2984">
        <v>11</v>
      </c>
      <c r="M2984">
        <v>145</v>
      </c>
      <c r="N2984">
        <v>29</v>
      </c>
      <c r="O2984">
        <v>20</v>
      </c>
      <c r="P2984">
        <v>44</v>
      </c>
      <c r="Q2984">
        <v>19</v>
      </c>
      <c r="R2984">
        <v>40</v>
      </c>
    </row>
    <row r="2985" spans="1:18" x14ac:dyDescent="0.25">
      <c r="A2985" t="s">
        <v>3194</v>
      </c>
      <c r="B2985" t="s">
        <v>55</v>
      </c>
      <c r="C2985" t="s">
        <v>3139</v>
      </c>
      <c r="D2985" t="s">
        <v>3140</v>
      </c>
      <c r="E2985" t="s">
        <v>78</v>
      </c>
      <c r="F2985" t="s">
        <v>252</v>
      </c>
      <c r="G2985">
        <v>6.9778000000000002</v>
      </c>
      <c r="H2985">
        <v>-74.981200000000001</v>
      </c>
      <c r="I2985" t="s">
        <v>110</v>
      </c>
      <c r="J2985">
        <v>11</v>
      </c>
      <c r="M2985">
        <v>135</v>
      </c>
      <c r="N2985">
        <v>32</v>
      </c>
      <c r="O2985">
        <v>26</v>
      </c>
      <c r="P2985">
        <v>22</v>
      </c>
      <c r="Q2985">
        <v>24</v>
      </c>
      <c r="R2985">
        <v>38</v>
      </c>
    </row>
    <row r="2986" spans="1:18" x14ac:dyDescent="0.25">
      <c r="A2986" t="s">
        <v>3195</v>
      </c>
      <c r="B2986" t="s">
        <v>55</v>
      </c>
      <c r="C2986" t="s">
        <v>3139</v>
      </c>
      <c r="D2986" t="s">
        <v>3140</v>
      </c>
      <c r="E2986" t="s">
        <v>78</v>
      </c>
      <c r="F2986" t="s">
        <v>252</v>
      </c>
      <c r="G2986">
        <v>6.9778000000000002</v>
      </c>
      <c r="H2986">
        <v>-74.981200000000001</v>
      </c>
      <c r="I2986" t="s">
        <v>110</v>
      </c>
      <c r="J2986">
        <v>11</v>
      </c>
      <c r="M2986">
        <v>130</v>
      </c>
      <c r="N2986">
        <v>56</v>
      </c>
      <c r="O2986">
        <v>18</v>
      </c>
      <c r="P2986">
        <v>20</v>
      </c>
      <c r="Q2986">
        <v>19</v>
      </c>
      <c r="R2986">
        <v>0</v>
      </c>
    </row>
    <row r="2987" spans="1:18" x14ac:dyDescent="0.25">
      <c r="A2987" t="s">
        <v>3196</v>
      </c>
      <c r="B2987" t="s">
        <v>55</v>
      </c>
      <c r="C2987" t="s">
        <v>3139</v>
      </c>
      <c r="D2987" t="s">
        <v>3140</v>
      </c>
      <c r="E2987" t="s">
        <v>78</v>
      </c>
      <c r="F2987" t="s">
        <v>252</v>
      </c>
      <c r="G2987">
        <v>6.9778000000000002</v>
      </c>
      <c r="H2987">
        <v>-74.981200000000001</v>
      </c>
      <c r="I2987" t="s">
        <v>110</v>
      </c>
      <c r="J2987">
        <v>11</v>
      </c>
      <c r="M2987">
        <v>104</v>
      </c>
      <c r="N2987">
        <v>20</v>
      </c>
      <c r="O2987">
        <v>18</v>
      </c>
      <c r="P2987">
        <v>18</v>
      </c>
      <c r="Q2987">
        <v>31</v>
      </c>
      <c r="R2987">
        <v>11</v>
      </c>
    </row>
    <row r="2988" spans="1:18" x14ac:dyDescent="0.25">
      <c r="A2988" t="s">
        <v>3197</v>
      </c>
      <c r="B2988" t="s">
        <v>55</v>
      </c>
      <c r="C2988" t="s">
        <v>3198</v>
      </c>
      <c r="D2988" t="s">
        <v>3199</v>
      </c>
      <c r="E2988" t="s">
        <v>78</v>
      </c>
      <c r="F2988" t="s">
        <v>252</v>
      </c>
      <c r="G2988">
        <v>6.3952999999999998</v>
      </c>
      <c r="H2988">
        <v>-75.257499999999993</v>
      </c>
      <c r="I2988" t="s">
        <v>3200</v>
      </c>
      <c r="J2988">
        <v>11</v>
      </c>
      <c r="M2988">
        <v>283</v>
      </c>
      <c r="N2988">
        <v>83</v>
      </c>
      <c r="O2988">
        <v>28</v>
      </c>
      <c r="P2988">
        <v>68</v>
      </c>
      <c r="Q2988">
        <v>38</v>
      </c>
      <c r="R2988">
        <v>85</v>
      </c>
    </row>
    <row r="2989" spans="1:18" x14ac:dyDescent="0.25">
      <c r="A2989" t="s">
        <v>3201</v>
      </c>
      <c r="B2989" t="s">
        <v>55</v>
      </c>
      <c r="C2989" t="s">
        <v>3198</v>
      </c>
      <c r="D2989" t="s">
        <v>3199</v>
      </c>
      <c r="E2989" t="s">
        <v>78</v>
      </c>
      <c r="F2989" t="s">
        <v>252</v>
      </c>
      <c r="G2989">
        <v>6.3952999999999998</v>
      </c>
      <c r="H2989">
        <v>-75.257499999999993</v>
      </c>
      <c r="I2989" t="s">
        <v>3200</v>
      </c>
      <c r="J2989">
        <v>11</v>
      </c>
      <c r="M2989">
        <v>264</v>
      </c>
      <c r="N2989">
        <v>59</v>
      </c>
      <c r="O2989">
        <v>34</v>
      </c>
      <c r="P2989">
        <v>68</v>
      </c>
      <c r="Q2989">
        <v>40</v>
      </c>
      <c r="R2989">
        <v>85</v>
      </c>
    </row>
    <row r="2990" spans="1:18" x14ac:dyDescent="0.25">
      <c r="A2990" t="s">
        <v>3202</v>
      </c>
      <c r="B2990" t="s">
        <v>55</v>
      </c>
      <c r="C2990" t="s">
        <v>3198</v>
      </c>
      <c r="D2990" t="s">
        <v>3199</v>
      </c>
      <c r="E2990" t="s">
        <v>78</v>
      </c>
      <c r="F2990" t="s">
        <v>252</v>
      </c>
      <c r="G2990">
        <v>6.3952999999999998</v>
      </c>
      <c r="H2990">
        <v>-75.257499999999993</v>
      </c>
      <c r="I2990" t="s">
        <v>3200</v>
      </c>
      <c r="J2990">
        <v>11</v>
      </c>
      <c r="M2990">
        <v>246</v>
      </c>
      <c r="N2990">
        <v>63</v>
      </c>
      <c r="O2990">
        <v>24</v>
      </c>
      <c r="P2990">
        <v>64</v>
      </c>
      <c r="Q2990">
        <v>41</v>
      </c>
      <c r="R2990">
        <v>60</v>
      </c>
    </row>
    <row r="2991" spans="1:18" x14ac:dyDescent="0.25">
      <c r="A2991" t="s">
        <v>3203</v>
      </c>
      <c r="B2991" t="s">
        <v>55</v>
      </c>
      <c r="C2991" t="s">
        <v>3198</v>
      </c>
      <c r="D2991" t="s">
        <v>3199</v>
      </c>
      <c r="E2991" t="s">
        <v>78</v>
      </c>
      <c r="F2991" t="s">
        <v>252</v>
      </c>
      <c r="G2991">
        <v>6.3952999999999998</v>
      </c>
      <c r="H2991">
        <v>-75.257499999999993</v>
      </c>
      <c r="I2991" t="s">
        <v>3200</v>
      </c>
      <c r="J2991">
        <v>11</v>
      </c>
      <c r="M2991">
        <v>236</v>
      </c>
      <c r="N2991">
        <v>49</v>
      </c>
      <c r="O2991">
        <v>26</v>
      </c>
      <c r="P2991">
        <v>68</v>
      </c>
      <c r="Q2991">
        <v>34</v>
      </c>
      <c r="R2991">
        <v>82</v>
      </c>
    </row>
    <row r="2992" spans="1:18" x14ac:dyDescent="0.25">
      <c r="A2992" t="s">
        <v>3204</v>
      </c>
      <c r="B2992" t="s">
        <v>55</v>
      </c>
      <c r="C2992" t="s">
        <v>3198</v>
      </c>
      <c r="D2992" t="s">
        <v>3199</v>
      </c>
      <c r="E2992" t="s">
        <v>78</v>
      </c>
      <c r="F2992" t="s">
        <v>252</v>
      </c>
      <c r="G2992">
        <v>6.3952999999999998</v>
      </c>
      <c r="H2992">
        <v>-75.257499999999993</v>
      </c>
      <c r="I2992" t="s">
        <v>3200</v>
      </c>
      <c r="J2992">
        <v>11</v>
      </c>
      <c r="M2992">
        <v>231</v>
      </c>
      <c r="N2992">
        <v>54</v>
      </c>
      <c r="O2992">
        <v>36</v>
      </c>
      <c r="P2992">
        <v>54</v>
      </c>
      <c r="Q2992">
        <v>29</v>
      </c>
      <c r="R2992">
        <v>82</v>
      </c>
    </row>
    <row r="2993" spans="1:18" x14ac:dyDescent="0.25">
      <c r="A2993" t="s">
        <v>3205</v>
      </c>
      <c r="B2993" t="s">
        <v>55</v>
      </c>
      <c r="C2993" t="s">
        <v>3198</v>
      </c>
      <c r="D2993" t="s">
        <v>3199</v>
      </c>
      <c r="E2993" t="s">
        <v>78</v>
      </c>
      <c r="F2993" t="s">
        <v>252</v>
      </c>
      <c r="G2993">
        <v>6.3952999999999998</v>
      </c>
      <c r="H2993">
        <v>-75.257499999999993</v>
      </c>
      <c r="I2993" t="s">
        <v>3200</v>
      </c>
      <c r="J2993">
        <v>11</v>
      </c>
      <c r="M2993">
        <v>221</v>
      </c>
      <c r="N2993">
        <v>54</v>
      </c>
      <c r="O2993">
        <v>36</v>
      </c>
      <c r="P2993">
        <v>44</v>
      </c>
      <c r="Q2993">
        <v>41</v>
      </c>
      <c r="R2993">
        <v>49</v>
      </c>
    </row>
    <row r="2994" spans="1:18" x14ac:dyDescent="0.25">
      <c r="A2994" t="s">
        <v>3206</v>
      </c>
      <c r="B2994" t="s">
        <v>55</v>
      </c>
      <c r="C2994" t="s">
        <v>3198</v>
      </c>
      <c r="D2994" t="s">
        <v>3199</v>
      </c>
      <c r="E2994" t="s">
        <v>78</v>
      </c>
      <c r="F2994" t="s">
        <v>252</v>
      </c>
      <c r="G2994">
        <v>6.3952999999999998</v>
      </c>
      <c r="H2994">
        <v>-75.257499999999993</v>
      </c>
      <c r="I2994" t="s">
        <v>3200</v>
      </c>
      <c r="J2994">
        <v>11</v>
      </c>
      <c r="M2994">
        <v>212</v>
      </c>
      <c r="N2994">
        <v>51</v>
      </c>
      <c r="O2994">
        <v>26</v>
      </c>
      <c r="P2994">
        <v>48</v>
      </c>
      <c r="Q2994">
        <v>34</v>
      </c>
      <c r="R2994">
        <v>71</v>
      </c>
    </row>
    <row r="2995" spans="1:18" x14ac:dyDescent="0.25">
      <c r="A2995" t="s">
        <v>3207</v>
      </c>
      <c r="B2995" t="s">
        <v>55</v>
      </c>
      <c r="C2995" t="s">
        <v>3198</v>
      </c>
      <c r="D2995" t="s">
        <v>3199</v>
      </c>
      <c r="E2995" t="s">
        <v>78</v>
      </c>
      <c r="F2995" t="s">
        <v>252</v>
      </c>
      <c r="G2995">
        <v>6.3952999999999998</v>
      </c>
      <c r="H2995">
        <v>-75.257499999999993</v>
      </c>
      <c r="I2995" t="s">
        <v>3200</v>
      </c>
      <c r="J2995">
        <v>11</v>
      </c>
      <c r="M2995">
        <v>209</v>
      </c>
      <c r="N2995">
        <v>41</v>
      </c>
      <c r="O2995">
        <v>38</v>
      </c>
      <c r="P2995">
        <v>52</v>
      </c>
      <c r="Q2995">
        <v>33</v>
      </c>
      <c r="R2995">
        <v>51</v>
      </c>
    </row>
    <row r="2996" spans="1:18" x14ac:dyDescent="0.25">
      <c r="A2996" t="s">
        <v>3208</v>
      </c>
      <c r="B2996" t="s">
        <v>55</v>
      </c>
      <c r="C2996" t="s">
        <v>3198</v>
      </c>
      <c r="D2996" t="s">
        <v>3199</v>
      </c>
      <c r="E2996" t="s">
        <v>78</v>
      </c>
      <c r="F2996" t="s">
        <v>252</v>
      </c>
      <c r="G2996">
        <v>6.3952999999999998</v>
      </c>
      <c r="H2996">
        <v>-75.257499999999993</v>
      </c>
      <c r="I2996" t="s">
        <v>3200</v>
      </c>
      <c r="J2996">
        <v>11</v>
      </c>
      <c r="M2996">
        <v>199</v>
      </c>
      <c r="N2996">
        <v>46</v>
      </c>
      <c r="O2996">
        <v>26</v>
      </c>
      <c r="P2996">
        <v>54</v>
      </c>
      <c r="Q2996">
        <v>31</v>
      </c>
      <c r="R2996">
        <v>45</v>
      </c>
    </row>
    <row r="2997" spans="1:18" x14ac:dyDescent="0.25">
      <c r="A2997" t="s">
        <v>3209</v>
      </c>
      <c r="B2997" t="s">
        <v>55</v>
      </c>
      <c r="C2997" t="s">
        <v>3198</v>
      </c>
      <c r="D2997" t="s">
        <v>3199</v>
      </c>
      <c r="E2997" t="s">
        <v>78</v>
      </c>
      <c r="F2997" t="s">
        <v>252</v>
      </c>
      <c r="G2997">
        <v>6.3952999999999998</v>
      </c>
      <c r="H2997">
        <v>-75.257499999999993</v>
      </c>
      <c r="I2997" t="s">
        <v>3200</v>
      </c>
      <c r="J2997">
        <v>11</v>
      </c>
      <c r="M2997">
        <v>195</v>
      </c>
      <c r="N2997">
        <v>46</v>
      </c>
      <c r="O2997">
        <v>34</v>
      </c>
      <c r="P2997">
        <v>44</v>
      </c>
      <c r="Q2997">
        <v>31</v>
      </c>
      <c r="R2997">
        <v>42</v>
      </c>
    </row>
    <row r="2998" spans="1:18" x14ac:dyDescent="0.25">
      <c r="A2998" t="s">
        <v>3210</v>
      </c>
      <c r="B2998" t="s">
        <v>55</v>
      </c>
      <c r="C2998" t="s">
        <v>3198</v>
      </c>
      <c r="D2998" t="s">
        <v>3199</v>
      </c>
      <c r="E2998" t="s">
        <v>78</v>
      </c>
      <c r="F2998" t="s">
        <v>252</v>
      </c>
      <c r="G2998">
        <v>6.3952999999999998</v>
      </c>
      <c r="H2998">
        <v>-75.257499999999993</v>
      </c>
      <c r="I2998" t="s">
        <v>3200</v>
      </c>
      <c r="J2998">
        <v>11</v>
      </c>
      <c r="M2998">
        <v>190</v>
      </c>
      <c r="N2998">
        <v>51</v>
      </c>
      <c r="O2998">
        <v>28</v>
      </c>
      <c r="P2998">
        <v>42</v>
      </c>
      <c r="Q2998">
        <v>26</v>
      </c>
      <c r="R2998">
        <v>53</v>
      </c>
    </row>
    <row r="2999" spans="1:18" x14ac:dyDescent="0.25">
      <c r="A2999" t="s">
        <v>3211</v>
      </c>
      <c r="B2999" t="s">
        <v>55</v>
      </c>
      <c r="C2999" t="s">
        <v>3198</v>
      </c>
      <c r="D2999" t="s">
        <v>3199</v>
      </c>
      <c r="E2999" t="s">
        <v>78</v>
      </c>
      <c r="F2999" t="s">
        <v>252</v>
      </c>
      <c r="G2999">
        <v>6.3952999999999998</v>
      </c>
      <c r="H2999">
        <v>-75.257499999999993</v>
      </c>
      <c r="I2999" t="s">
        <v>3200</v>
      </c>
      <c r="J2999">
        <v>11</v>
      </c>
      <c r="M2999">
        <v>189</v>
      </c>
      <c r="N2999">
        <v>44</v>
      </c>
      <c r="O2999">
        <v>36</v>
      </c>
      <c r="P2999">
        <v>36</v>
      </c>
      <c r="Q2999">
        <v>26</v>
      </c>
      <c r="R2999">
        <v>67</v>
      </c>
    </row>
    <row r="3000" spans="1:18" x14ac:dyDescent="0.25">
      <c r="A3000" t="s">
        <v>3212</v>
      </c>
      <c r="B3000" t="s">
        <v>55</v>
      </c>
      <c r="C3000" t="s">
        <v>3198</v>
      </c>
      <c r="D3000" t="s">
        <v>3199</v>
      </c>
      <c r="E3000" t="s">
        <v>78</v>
      </c>
      <c r="F3000" t="s">
        <v>252</v>
      </c>
      <c r="G3000">
        <v>6.3952999999999998</v>
      </c>
      <c r="H3000">
        <v>-75.257499999999993</v>
      </c>
      <c r="I3000" t="s">
        <v>3200</v>
      </c>
      <c r="J3000">
        <v>11</v>
      </c>
      <c r="M3000">
        <v>183</v>
      </c>
      <c r="N3000">
        <v>56</v>
      </c>
      <c r="O3000">
        <v>26</v>
      </c>
      <c r="P3000">
        <v>30</v>
      </c>
      <c r="Q3000">
        <v>33</v>
      </c>
      <c r="R3000">
        <v>42</v>
      </c>
    </row>
    <row r="3001" spans="1:18" x14ac:dyDescent="0.25">
      <c r="A3001" t="s">
        <v>3213</v>
      </c>
      <c r="B3001" t="s">
        <v>55</v>
      </c>
      <c r="C3001" t="s">
        <v>3198</v>
      </c>
      <c r="D3001" t="s">
        <v>3199</v>
      </c>
      <c r="E3001" t="s">
        <v>78</v>
      </c>
      <c r="F3001" t="s">
        <v>252</v>
      </c>
      <c r="G3001">
        <v>6.3952999999999998</v>
      </c>
      <c r="H3001">
        <v>-75.257499999999993</v>
      </c>
      <c r="I3001" t="s">
        <v>3200</v>
      </c>
      <c r="J3001">
        <v>11</v>
      </c>
      <c r="M3001">
        <v>179</v>
      </c>
      <c r="N3001">
        <v>41</v>
      </c>
      <c r="O3001">
        <v>34</v>
      </c>
      <c r="P3001">
        <v>44</v>
      </c>
      <c r="Q3001">
        <v>28</v>
      </c>
      <c r="R3001">
        <v>25</v>
      </c>
    </row>
    <row r="3002" spans="1:18" x14ac:dyDescent="0.25">
      <c r="A3002" t="s">
        <v>3214</v>
      </c>
      <c r="B3002" t="s">
        <v>55</v>
      </c>
      <c r="C3002" t="s">
        <v>3198</v>
      </c>
      <c r="D3002" t="s">
        <v>3199</v>
      </c>
      <c r="E3002" t="s">
        <v>78</v>
      </c>
      <c r="F3002" t="s">
        <v>252</v>
      </c>
      <c r="G3002">
        <v>6.3952999999999998</v>
      </c>
      <c r="H3002">
        <v>-75.257499999999993</v>
      </c>
      <c r="I3002" t="s">
        <v>3200</v>
      </c>
      <c r="J3002">
        <v>11</v>
      </c>
      <c r="M3002">
        <v>178</v>
      </c>
      <c r="N3002">
        <v>51</v>
      </c>
      <c r="O3002">
        <v>16</v>
      </c>
      <c r="P3002">
        <v>44</v>
      </c>
      <c r="Q3002">
        <v>36</v>
      </c>
      <c r="R3002">
        <v>20</v>
      </c>
    </row>
    <row r="3003" spans="1:18" x14ac:dyDescent="0.25">
      <c r="A3003" t="s">
        <v>3215</v>
      </c>
      <c r="B3003" t="s">
        <v>55</v>
      </c>
      <c r="C3003" t="s">
        <v>3198</v>
      </c>
      <c r="D3003" t="s">
        <v>3199</v>
      </c>
      <c r="E3003" t="s">
        <v>78</v>
      </c>
      <c r="F3003" t="s">
        <v>252</v>
      </c>
      <c r="G3003">
        <v>6.3952999999999998</v>
      </c>
      <c r="H3003">
        <v>-75.257499999999993</v>
      </c>
      <c r="I3003" t="s">
        <v>3200</v>
      </c>
      <c r="J3003">
        <v>11</v>
      </c>
      <c r="M3003">
        <v>169</v>
      </c>
      <c r="N3003">
        <v>46</v>
      </c>
      <c r="O3003">
        <v>22</v>
      </c>
      <c r="P3003">
        <v>42</v>
      </c>
      <c r="Q3003">
        <v>26</v>
      </c>
      <c r="R3003">
        <v>31</v>
      </c>
    </row>
    <row r="3004" spans="1:18" x14ac:dyDescent="0.25">
      <c r="A3004" t="s">
        <v>3216</v>
      </c>
      <c r="B3004" t="s">
        <v>55</v>
      </c>
      <c r="C3004" t="s">
        <v>3198</v>
      </c>
      <c r="D3004" t="s">
        <v>3199</v>
      </c>
      <c r="E3004" t="s">
        <v>78</v>
      </c>
      <c r="F3004" t="s">
        <v>252</v>
      </c>
      <c r="G3004">
        <v>6.3952999999999998</v>
      </c>
      <c r="H3004">
        <v>-75.257499999999993</v>
      </c>
      <c r="I3004" t="s">
        <v>3200</v>
      </c>
      <c r="J3004">
        <v>11</v>
      </c>
      <c r="M3004">
        <v>168</v>
      </c>
      <c r="N3004">
        <v>39</v>
      </c>
      <c r="O3004">
        <v>24</v>
      </c>
      <c r="P3004">
        <v>44</v>
      </c>
      <c r="Q3004">
        <v>28</v>
      </c>
      <c r="R3004">
        <v>33</v>
      </c>
    </row>
    <row r="3005" spans="1:18" x14ac:dyDescent="0.25">
      <c r="A3005" t="s">
        <v>3217</v>
      </c>
      <c r="B3005" t="s">
        <v>55</v>
      </c>
      <c r="C3005" t="s">
        <v>3198</v>
      </c>
      <c r="D3005" t="s">
        <v>3199</v>
      </c>
      <c r="E3005" t="s">
        <v>78</v>
      </c>
      <c r="F3005" t="s">
        <v>252</v>
      </c>
      <c r="G3005">
        <v>6.3952999999999998</v>
      </c>
      <c r="H3005">
        <v>-75.257499999999993</v>
      </c>
      <c r="I3005" t="s">
        <v>3200</v>
      </c>
      <c r="J3005">
        <v>11</v>
      </c>
      <c r="M3005">
        <v>163</v>
      </c>
      <c r="N3005">
        <v>39</v>
      </c>
      <c r="O3005">
        <v>20</v>
      </c>
      <c r="P3005">
        <v>56</v>
      </c>
      <c r="Q3005">
        <v>16</v>
      </c>
      <c r="R3005">
        <v>31</v>
      </c>
    </row>
    <row r="3006" spans="1:18" x14ac:dyDescent="0.25">
      <c r="A3006" t="s">
        <v>3218</v>
      </c>
      <c r="B3006" t="s">
        <v>55</v>
      </c>
      <c r="C3006" t="s">
        <v>3198</v>
      </c>
      <c r="D3006" t="s">
        <v>3199</v>
      </c>
      <c r="E3006" t="s">
        <v>78</v>
      </c>
      <c r="F3006" t="s">
        <v>252</v>
      </c>
      <c r="G3006">
        <v>6.3952999999999998</v>
      </c>
      <c r="H3006">
        <v>-75.257499999999993</v>
      </c>
      <c r="I3006" t="s">
        <v>3200</v>
      </c>
      <c r="J3006">
        <v>11</v>
      </c>
      <c r="M3006">
        <v>160</v>
      </c>
      <c r="N3006">
        <v>24</v>
      </c>
      <c r="O3006">
        <v>28</v>
      </c>
      <c r="P3006">
        <v>40</v>
      </c>
      <c r="Q3006">
        <v>34</v>
      </c>
      <c r="R3006">
        <v>36</v>
      </c>
    </row>
    <row r="3007" spans="1:18" x14ac:dyDescent="0.25">
      <c r="A3007" t="s">
        <v>3219</v>
      </c>
      <c r="B3007" t="s">
        <v>55</v>
      </c>
      <c r="C3007" t="s">
        <v>3198</v>
      </c>
      <c r="D3007" t="s">
        <v>3199</v>
      </c>
      <c r="E3007" t="s">
        <v>78</v>
      </c>
      <c r="F3007" t="s">
        <v>252</v>
      </c>
      <c r="G3007">
        <v>6.3952999999999998</v>
      </c>
      <c r="H3007">
        <v>-75.257499999999993</v>
      </c>
      <c r="I3007" t="s">
        <v>3200</v>
      </c>
      <c r="J3007">
        <v>11</v>
      </c>
      <c r="M3007">
        <v>154</v>
      </c>
      <c r="N3007">
        <v>29</v>
      </c>
      <c r="O3007">
        <v>28</v>
      </c>
      <c r="P3007">
        <v>40</v>
      </c>
      <c r="Q3007">
        <v>26</v>
      </c>
      <c r="R3007">
        <v>31</v>
      </c>
    </row>
    <row r="3008" spans="1:18" x14ac:dyDescent="0.25">
      <c r="A3008" t="s">
        <v>3220</v>
      </c>
      <c r="B3008" t="s">
        <v>55</v>
      </c>
      <c r="C3008" t="s">
        <v>3198</v>
      </c>
      <c r="D3008" t="s">
        <v>3199</v>
      </c>
      <c r="E3008" t="s">
        <v>78</v>
      </c>
      <c r="F3008" t="s">
        <v>252</v>
      </c>
      <c r="G3008">
        <v>6.3952999999999998</v>
      </c>
      <c r="H3008">
        <v>-75.257499999999993</v>
      </c>
      <c r="I3008" t="s">
        <v>3200</v>
      </c>
      <c r="J3008">
        <v>11</v>
      </c>
      <c r="M3008">
        <v>153</v>
      </c>
      <c r="N3008">
        <v>37</v>
      </c>
      <c r="O3008">
        <v>14</v>
      </c>
      <c r="P3008">
        <v>46</v>
      </c>
      <c r="Q3008">
        <v>22</v>
      </c>
      <c r="R3008">
        <v>40</v>
      </c>
    </row>
    <row r="3009" spans="1:18" x14ac:dyDescent="0.25">
      <c r="A3009" t="s">
        <v>3221</v>
      </c>
      <c r="B3009" t="s">
        <v>55</v>
      </c>
      <c r="C3009" t="s">
        <v>3198</v>
      </c>
      <c r="D3009" t="s">
        <v>3199</v>
      </c>
      <c r="E3009" t="s">
        <v>78</v>
      </c>
      <c r="F3009" t="s">
        <v>252</v>
      </c>
      <c r="G3009">
        <v>6.3952999999999998</v>
      </c>
      <c r="H3009">
        <v>-75.257499999999993</v>
      </c>
      <c r="I3009" t="s">
        <v>3200</v>
      </c>
      <c r="J3009">
        <v>11</v>
      </c>
      <c r="M3009">
        <v>150</v>
      </c>
      <c r="N3009">
        <v>29</v>
      </c>
      <c r="O3009">
        <v>32</v>
      </c>
      <c r="P3009">
        <v>36</v>
      </c>
      <c r="Q3009">
        <v>26</v>
      </c>
      <c r="R3009">
        <v>22</v>
      </c>
    </row>
    <row r="3010" spans="1:18" x14ac:dyDescent="0.25">
      <c r="A3010" t="s">
        <v>3222</v>
      </c>
      <c r="B3010" t="s">
        <v>55</v>
      </c>
      <c r="C3010" t="s">
        <v>3198</v>
      </c>
      <c r="D3010" t="s">
        <v>3199</v>
      </c>
      <c r="E3010" t="s">
        <v>78</v>
      </c>
      <c r="F3010" t="s">
        <v>252</v>
      </c>
      <c r="G3010">
        <v>6.3952999999999998</v>
      </c>
      <c r="H3010">
        <v>-75.257499999999993</v>
      </c>
      <c r="I3010" t="s">
        <v>3200</v>
      </c>
      <c r="J3010">
        <v>11</v>
      </c>
      <c r="M3010">
        <v>150</v>
      </c>
      <c r="N3010">
        <v>41</v>
      </c>
      <c r="O3010">
        <v>26</v>
      </c>
      <c r="P3010">
        <v>18</v>
      </c>
      <c r="Q3010">
        <v>34</v>
      </c>
      <c r="R3010">
        <v>31</v>
      </c>
    </row>
    <row r="3011" spans="1:18" x14ac:dyDescent="0.25">
      <c r="A3011" t="s">
        <v>3223</v>
      </c>
      <c r="B3011" t="s">
        <v>55</v>
      </c>
      <c r="C3011" t="s">
        <v>3198</v>
      </c>
      <c r="D3011" t="s">
        <v>3199</v>
      </c>
      <c r="E3011" t="s">
        <v>78</v>
      </c>
      <c r="F3011" t="s">
        <v>252</v>
      </c>
      <c r="G3011">
        <v>6.3952999999999998</v>
      </c>
      <c r="H3011">
        <v>-75.257499999999993</v>
      </c>
      <c r="I3011" t="s">
        <v>3200</v>
      </c>
      <c r="J3011">
        <v>11</v>
      </c>
      <c r="M3011">
        <v>149</v>
      </c>
      <c r="N3011">
        <v>32</v>
      </c>
      <c r="O3011">
        <v>26</v>
      </c>
      <c r="P3011">
        <v>38</v>
      </c>
      <c r="Q3011">
        <v>22</v>
      </c>
      <c r="R3011">
        <v>33</v>
      </c>
    </row>
    <row r="3012" spans="1:18" x14ac:dyDescent="0.25">
      <c r="A3012" t="s">
        <v>3224</v>
      </c>
      <c r="B3012" t="s">
        <v>55</v>
      </c>
      <c r="C3012" t="s">
        <v>3198</v>
      </c>
      <c r="D3012" t="s">
        <v>3199</v>
      </c>
      <c r="E3012" t="s">
        <v>78</v>
      </c>
      <c r="F3012" t="s">
        <v>252</v>
      </c>
      <c r="G3012">
        <v>6.3952999999999998</v>
      </c>
      <c r="H3012">
        <v>-75.257499999999993</v>
      </c>
      <c r="I3012" t="s">
        <v>3200</v>
      </c>
      <c r="J3012">
        <v>11</v>
      </c>
      <c r="M3012">
        <v>148</v>
      </c>
      <c r="N3012">
        <v>41</v>
      </c>
      <c r="O3012">
        <v>20</v>
      </c>
      <c r="P3012">
        <v>26</v>
      </c>
      <c r="Q3012">
        <v>24</v>
      </c>
      <c r="R3012">
        <v>51</v>
      </c>
    </row>
    <row r="3013" spans="1:18" x14ac:dyDescent="0.25">
      <c r="A3013" t="s">
        <v>3225</v>
      </c>
      <c r="B3013" t="s">
        <v>55</v>
      </c>
      <c r="C3013" t="s">
        <v>3198</v>
      </c>
      <c r="D3013" t="s">
        <v>3199</v>
      </c>
      <c r="E3013" t="s">
        <v>78</v>
      </c>
      <c r="F3013" t="s">
        <v>252</v>
      </c>
      <c r="G3013">
        <v>6.3952999999999998</v>
      </c>
      <c r="H3013">
        <v>-75.257499999999993</v>
      </c>
      <c r="I3013" t="s">
        <v>3200</v>
      </c>
      <c r="J3013">
        <v>11</v>
      </c>
      <c r="M3013">
        <v>145</v>
      </c>
      <c r="N3013">
        <v>29</v>
      </c>
      <c r="O3013">
        <v>34</v>
      </c>
      <c r="P3013">
        <v>42</v>
      </c>
      <c r="Q3013">
        <v>12</v>
      </c>
      <c r="R3013">
        <v>25</v>
      </c>
    </row>
    <row r="3014" spans="1:18" x14ac:dyDescent="0.25">
      <c r="A3014" t="s">
        <v>3226</v>
      </c>
      <c r="B3014" t="s">
        <v>55</v>
      </c>
      <c r="C3014" t="s">
        <v>3198</v>
      </c>
      <c r="D3014" t="s">
        <v>3199</v>
      </c>
      <c r="E3014" t="s">
        <v>78</v>
      </c>
      <c r="F3014" t="s">
        <v>252</v>
      </c>
      <c r="G3014">
        <v>6.3952999999999998</v>
      </c>
      <c r="H3014">
        <v>-75.257499999999993</v>
      </c>
      <c r="I3014" t="s">
        <v>3200</v>
      </c>
      <c r="J3014">
        <v>11</v>
      </c>
      <c r="M3014">
        <v>138</v>
      </c>
      <c r="N3014">
        <v>22</v>
      </c>
      <c r="O3014">
        <v>22</v>
      </c>
      <c r="P3014">
        <v>24</v>
      </c>
      <c r="Q3014">
        <v>38</v>
      </c>
      <c r="R3014">
        <v>42</v>
      </c>
    </row>
    <row r="3015" spans="1:18" x14ac:dyDescent="0.25">
      <c r="A3015" t="s">
        <v>3227</v>
      </c>
      <c r="B3015" t="s">
        <v>55</v>
      </c>
      <c r="C3015" t="s">
        <v>3198</v>
      </c>
      <c r="D3015" t="s">
        <v>3199</v>
      </c>
      <c r="E3015" t="s">
        <v>78</v>
      </c>
      <c r="F3015" t="s">
        <v>252</v>
      </c>
      <c r="G3015">
        <v>6.3952999999999998</v>
      </c>
      <c r="H3015">
        <v>-75.257499999999993</v>
      </c>
      <c r="I3015" t="s">
        <v>3200</v>
      </c>
      <c r="J3015">
        <v>11</v>
      </c>
      <c r="M3015">
        <v>134</v>
      </c>
      <c r="N3015">
        <v>27</v>
      </c>
      <c r="O3015">
        <v>22</v>
      </c>
      <c r="P3015">
        <v>36</v>
      </c>
      <c r="Q3015">
        <v>22</v>
      </c>
      <c r="R3015">
        <v>27</v>
      </c>
    </row>
    <row r="3016" spans="1:18" x14ac:dyDescent="0.25">
      <c r="A3016" t="s">
        <v>3228</v>
      </c>
      <c r="B3016" t="s">
        <v>55</v>
      </c>
      <c r="C3016" t="s">
        <v>3198</v>
      </c>
      <c r="D3016" t="s">
        <v>3199</v>
      </c>
      <c r="E3016" t="s">
        <v>78</v>
      </c>
      <c r="F3016" t="s">
        <v>252</v>
      </c>
      <c r="G3016">
        <v>6.3952999999999998</v>
      </c>
      <c r="H3016">
        <v>-75.257499999999993</v>
      </c>
      <c r="I3016" t="s">
        <v>3200</v>
      </c>
      <c r="J3016">
        <v>11</v>
      </c>
      <c r="M3016">
        <v>132</v>
      </c>
      <c r="N3016">
        <v>34</v>
      </c>
      <c r="O3016">
        <v>22</v>
      </c>
      <c r="P3016">
        <v>26</v>
      </c>
      <c r="Q3016">
        <v>24</v>
      </c>
      <c r="R3016">
        <v>24</v>
      </c>
    </row>
    <row r="3017" spans="1:18" x14ac:dyDescent="0.25">
      <c r="A3017" t="s">
        <v>3229</v>
      </c>
      <c r="B3017" t="s">
        <v>55</v>
      </c>
      <c r="C3017" t="s">
        <v>3230</v>
      </c>
      <c r="D3017" t="s">
        <v>3140</v>
      </c>
      <c r="E3017" t="s">
        <v>78</v>
      </c>
      <c r="F3017" t="s">
        <v>252</v>
      </c>
      <c r="G3017">
        <v>6.9778000000000002</v>
      </c>
      <c r="H3017">
        <v>-74.981200000000001</v>
      </c>
      <c r="I3017" t="s">
        <v>1594</v>
      </c>
      <c r="J3017">
        <v>11</v>
      </c>
      <c r="M3017">
        <v>230</v>
      </c>
      <c r="N3017">
        <v>61</v>
      </c>
      <c r="O3017">
        <v>24</v>
      </c>
      <c r="P3017">
        <v>60</v>
      </c>
      <c r="Q3017">
        <v>36</v>
      </c>
      <c r="R3017">
        <v>55</v>
      </c>
    </row>
    <row r="3018" spans="1:18" x14ac:dyDescent="0.25">
      <c r="A3018" t="s">
        <v>3231</v>
      </c>
      <c r="B3018" t="s">
        <v>55</v>
      </c>
      <c r="C3018" t="s">
        <v>3230</v>
      </c>
      <c r="D3018" t="s">
        <v>3140</v>
      </c>
      <c r="E3018" t="s">
        <v>78</v>
      </c>
      <c r="F3018" t="s">
        <v>252</v>
      </c>
      <c r="G3018">
        <v>6.9778000000000002</v>
      </c>
      <c r="H3018">
        <v>-74.981200000000001</v>
      </c>
      <c r="I3018" t="s">
        <v>1594</v>
      </c>
      <c r="J3018">
        <v>11</v>
      </c>
      <c r="M3018">
        <v>214</v>
      </c>
      <c r="N3018">
        <v>34</v>
      </c>
      <c r="O3018">
        <v>36</v>
      </c>
      <c r="P3018">
        <v>60</v>
      </c>
      <c r="Q3018">
        <v>40</v>
      </c>
      <c r="R3018">
        <v>47</v>
      </c>
    </row>
    <row r="3019" spans="1:18" x14ac:dyDescent="0.25">
      <c r="A3019" t="s">
        <v>3232</v>
      </c>
      <c r="B3019" t="s">
        <v>55</v>
      </c>
      <c r="C3019" t="s">
        <v>3230</v>
      </c>
      <c r="D3019" t="s">
        <v>3140</v>
      </c>
      <c r="E3019" t="s">
        <v>78</v>
      </c>
      <c r="F3019" t="s">
        <v>252</v>
      </c>
      <c r="G3019">
        <v>6.9778000000000002</v>
      </c>
      <c r="H3019">
        <v>-74.981200000000001</v>
      </c>
      <c r="I3019" t="s">
        <v>1594</v>
      </c>
      <c r="J3019">
        <v>11</v>
      </c>
      <c r="M3019">
        <v>206</v>
      </c>
      <c r="N3019">
        <v>46</v>
      </c>
      <c r="O3019">
        <v>26</v>
      </c>
      <c r="P3019">
        <v>60</v>
      </c>
      <c r="Q3019">
        <v>33</v>
      </c>
      <c r="R3019">
        <v>40</v>
      </c>
    </row>
    <row r="3020" spans="1:18" x14ac:dyDescent="0.25">
      <c r="A3020" t="s">
        <v>3233</v>
      </c>
      <c r="B3020" t="s">
        <v>55</v>
      </c>
      <c r="C3020" t="s">
        <v>3230</v>
      </c>
      <c r="D3020" t="s">
        <v>3140</v>
      </c>
      <c r="E3020" t="s">
        <v>78</v>
      </c>
      <c r="F3020" t="s">
        <v>252</v>
      </c>
      <c r="G3020">
        <v>6.9778000000000002</v>
      </c>
      <c r="H3020">
        <v>-74.981200000000001</v>
      </c>
      <c r="I3020" t="s">
        <v>1594</v>
      </c>
      <c r="J3020">
        <v>11</v>
      </c>
      <c r="M3020">
        <v>200</v>
      </c>
      <c r="N3020">
        <v>41</v>
      </c>
      <c r="O3020">
        <v>28</v>
      </c>
      <c r="P3020">
        <v>50</v>
      </c>
      <c r="Q3020">
        <v>29</v>
      </c>
      <c r="R3020">
        <v>73</v>
      </c>
    </row>
    <row r="3021" spans="1:18" x14ac:dyDescent="0.25">
      <c r="A3021" t="s">
        <v>3234</v>
      </c>
      <c r="B3021" t="s">
        <v>55</v>
      </c>
      <c r="C3021" t="s">
        <v>3230</v>
      </c>
      <c r="D3021" t="s">
        <v>3140</v>
      </c>
      <c r="E3021" t="s">
        <v>78</v>
      </c>
      <c r="F3021" t="s">
        <v>252</v>
      </c>
      <c r="G3021">
        <v>6.9778000000000002</v>
      </c>
      <c r="H3021">
        <v>-74.981200000000001</v>
      </c>
      <c r="I3021" t="s">
        <v>1594</v>
      </c>
      <c r="J3021">
        <v>11</v>
      </c>
      <c r="M3021">
        <v>199</v>
      </c>
      <c r="N3021">
        <v>51</v>
      </c>
      <c r="O3021">
        <v>28</v>
      </c>
      <c r="P3021">
        <v>32</v>
      </c>
      <c r="Q3021">
        <v>43</v>
      </c>
      <c r="R3021">
        <v>55</v>
      </c>
    </row>
    <row r="3022" spans="1:18" x14ac:dyDescent="0.25">
      <c r="A3022" t="s">
        <v>3235</v>
      </c>
      <c r="B3022" t="s">
        <v>55</v>
      </c>
      <c r="C3022" t="s">
        <v>3230</v>
      </c>
      <c r="D3022" t="s">
        <v>3140</v>
      </c>
      <c r="E3022" t="s">
        <v>78</v>
      </c>
      <c r="F3022" t="s">
        <v>252</v>
      </c>
      <c r="G3022">
        <v>6.9778000000000002</v>
      </c>
      <c r="H3022">
        <v>-74.981200000000001</v>
      </c>
      <c r="I3022" t="s">
        <v>1594</v>
      </c>
      <c r="J3022">
        <v>11</v>
      </c>
      <c r="M3022">
        <v>196</v>
      </c>
      <c r="N3022">
        <v>51</v>
      </c>
      <c r="O3022">
        <v>34</v>
      </c>
      <c r="P3022">
        <v>42</v>
      </c>
      <c r="Q3022">
        <v>28</v>
      </c>
      <c r="R3022">
        <v>45</v>
      </c>
    </row>
    <row r="3023" spans="1:18" x14ac:dyDescent="0.25">
      <c r="A3023" t="s">
        <v>3236</v>
      </c>
      <c r="B3023" t="s">
        <v>55</v>
      </c>
      <c r="C3023" t="s">
        <v>3230</v>
      </c>
      <c r="D3023" t="s">
        <v>3140</v>
      </c>
      <c r="E3023" t="s">
        <v>78</v>
      </c>
      <c r="F3023" t="s">
        <v>252</v>
      </c>
      <c r="G3023">
        <v>6.9778000000000002</v>
      </c>
      <c r="H3023">
        <v>-74.981200000000001</v>
      </c>
      <c r="I3023" t="s">
        <v>1594</v>
      </c>
      <c r="J3023">
        <v>11</v>
      </c>
      <c r="M3023">
        <v>194</v>
      </c>
      <c r="N3023">
        <v>41</v>
      </c>
      <c r="O3023">
        <v>32</v>
      </c>
      <c r="P3023">
        <v>50</v>
      </c>
      <c r="Q3023">
        <v>33</v>
      </c>
      <c r="R3023">
        <v>36</v>
      </c>
    </row>
    <row r="3024" spans="1:18" x14ac:dyDescent="0.25">
      <c r="A3024" t="s">
        <v>3237</v>
      </c>
      <c r="B3024" t="s">
        <v>55</v>
      </c>
      <c r="C3024" t="s">
        <v>3230</v>
      </c>
      <c r="D3024" t="s">
        <v>3140</v>
      </c>
      <c r="E3024" t="s">
        <v>78</v>
      </c>
      <c r="F3024" t="s">
        <v>252</v>
      </c>
      <c r="G3024">
        <v>6.9778000000000002</v>
      </c>
      <c r="H3024">
        <v>-74.981200000000001</v>
      </c>
      <c r="I3024" t="s">
        <v>1594</v>
      </c>
      <c r="J3024">
        <v>11</v>
      </c>
      <c r="M3024">
        <v>190</v>
      </c>
      <c r="N3024">
        <v>44</v>
      </c>
      <c r="O3024">
        <v>24</v>
      </c>
      <c r="P3024">
        <v>52</v>
      </c>
      <c r="Q3024">
        <v>31</v>
      </c>
      <c r="R3024">
        <v>42</v>
      </c>
    </row>
    <row r="3025" spans="1:18" x14ac:dyDescent="0.25">
      <c r="A3025" t="s">
        <v>3238</v>
      </c>
      <c r="B3025" t="s">
        <v>55</v>
      </c>
      <c r="C3025" t="s">
        <v>3230</v>
      </c>
      <c r="D3025" t="s">
        <v>3140</v>
      </c>
      <c r="E3025" t="s">
        <v>78</v>
      </c>
      <c r="F3025" t="s">
        <v>252</v>
      </c>
      <c r="G3025">
        <v>6.9778000000000002</v>
      </c>
      <c r="H3025">
        <v>-74.981200000000001</v>
      </c>
      <c r="I3025" t="s">
        <v>1594</v>
      </c>
      <c r="J3025">
        <v>11</v>
      </c>
      <c r="M3025">
        <v>183</v>
      </c>
      <c r="N3025">
        <v>46</v>
      </c>
      <c r="O3025">
        <v>30</v>
      </c>
      <c r="P3025">
        <v>44</v>
      </c>
      <c r="Q3025">
        <v>28</v>
      </c>
      <c r="R3025">
        <v>33</v>
      </c>
    </row>
    <row r="3026" spans="1:18" x14ac:dyDescent="0.25">
      <c r="A3026" t="s">
        <v>3239</v>
      </c>
      <c r="B3026" t="s">
        <v>55</v>
      </c>
      <c r="C3026" t="s">
        <v>3230</v>
      </c>
      <c r="D3026" t="s">
        <v>3140</v>
      </c>
      <c r="E3026" t="s">
        <v>78</v>
      </c>
      <c r="F3026" t="s">
        <v>252</v>
      </c>
      <c r="G3026">
        <v>6.9778000000000002</v>
      </c>
      <c r="H3026">
        <v>-74.981200000000001</v>
      </c>
      <c r="I3026" t="s">
        <v>1594</v>
      </c>
      <c r="J3026">
        <v>11</v>
      </c>
      <c r="M3026">
        <v>182</v>
      </c>
      <c r="N3026">
        <v>39</v>
      </c>
      <c r="O3026">
        <v>34</v>
      </c>
      <c r="P3026">
        <v>46</v>
      </c>
      <c r="Q3026">
        <v>26</v>
      </c>
      <c r="R3026">
        <v>38</v>
      </c>
    </row>
    <row r="3027" spans="1:18" x14ac:dyDescent="0.25">
      <c r="A3027" t="s">
        <v>3240</v>
      </c>
      <c r="B3027" t="s">
        <v>55</v>
      </c>
      <c r="C3027" t="s">
        <v>3230</v>
      </c>
      <c r="D3027" t="s">
        <v>3140</v>
      </c>
      <c r="E3027" t="s">
        <v>78</v>
      </c>
      <c r="F3027" t="s">
        <v>252</v>
      </c>
      <c r="G3027">
        <v>6.9778000000000002</v>
      </c>
      <c r="H3027">
        <v>-74.981200000000001</v>
      </c>
      <c r="I3027" t="s">
        <v>1594</v>
      </c>
      <c r="J3027">
        <v>11</v>
      </c>
      <c r="M3027">
        <v>182</v>
      </c>
      <c r="N3027">
        <v>44</v>
      </c>
      <c r="O3027">
        <v>22</v>
      </c>
      <c r="P3027">
        <v>50</v>
      </c>
      <c r="Q3027">
        <v>26</v>
      </c>
      <c r="R3027">
        <v>47</v>
      </c>
    </row>
    <row r="3028" spans="1:18" x14ac:dyDescent="0.25">
      <c r="A3028" t="s">
        <v>3241</v>
      </c>
      <c r="B3028" t="s">
        <v>55</v>
      </c>
      <c r="C3028" t="s">
        <v>3230</v>
      </c>
      <c r="D3028" t="s">
        <v>3140</v>
      </c>
      <c r="E3028" t="s">
        <v>78</v>
      </c>
      <c r="F3028" t="s">
        <v>252</v>
      </c>
      <c r="G3028">
        <v>6.9778000000000002</v>
      </c>
      <c r="H3028">
        <v>-74.981200000000001</v>
      </c>
      <c r="I3028" t="s">
        <v>1594</v>
      </c>
      <c r="J3028">
        <v>11</v>
      </c>
      <c r="M3028">
        <v>182</v>
      </c>
      <c r="N3028">
        <v>54</v>
      </c>
      <c r="O3028">
        <v>32</v>
      </c>
      <c r="P3028">
        <v>36</v>
      </c>
      <c r="Q3028">
        <v>22</v>
      </c>
      <c r="R3028">
        <v>40</v>
      </c>
    </row>
    <row r="3029" spans="1:18" x14ac:dyDescent="0.25">
      <c r="A3029" t="s">
        <v>3242</v>
      </c>
      <c r="B3029" t="s">
        <v>55</v>
      </c>
      <c r="C3029" t="s">
        <v>3230</v>
      </c>
      <c r="D3029" t="s">
        <v>3140</v>
      </c>
      <c r="E3029" t="s">
        <v>78</v>
      </c>
      <c r="F3029" t="s">
        <v>252</v>
      </c>
      <c r="G3029">
        <v>6.9778000000000002</v>
      </c>
      <c r="H3029">
        <v>-74.981200000000001</v>
      </c>
      <c r="I3029" t="s">
        <v>1594</v>
      </c>
      <c r="J3029">
        <v>11</v>
      </c>
      <c r="M3029">
        <v>180</v>
      </c>
      <c r="N3029">
        <v>54</v>
      </c>
      <c r="O3029">
        <v>12</v>
      </c>
      <c r="P3029">
        <v>48</v>
      </c>
      <c r="Q3029">
        <v>31</v>
      </c>
      <c r="R3029">
        <v>35</v>
      </c>
    </row>
    <row r="3030" spans="1:18" x14ac:dyDescent="0.25">
      <c r="A3030" t="s">
        <v>3243</v>
      </c>
      <c r="B3030" t="s">
        <v>55</v>
      </c>
      <c r="C3030" t="s">
        <v>3230</v>
      </c>
      <c r="D3030" t="s">
        <v>3140</v>
      </c>
      <c r="E3030" t="s">
        <v>78</v>
      </c>
      <c r="F3030" t="s">
        <v>252</v>
      </c>
      <c r="G3030">
        <v>6.9778000000000002</v>
      </c>
      <c r="H3030">
        <v>-74.981200000000001</v>
      </c>
      <c r="I3030" t="s">
        <v>1594</v>
      </c>
      <c r="J3030">
        <v>11</v>
      </c>
      <c r="M3030">
        <v>179</v>
      </c>
      <c r="N3030">
        <v>44</v>
      </c>
      <c r="O3030">
        <v>34</v>
      </c>
      <c r="P3030">
        <v>48</v>
      </c>
      <c r="Q3030">
        <v>12</v>
      </c>
      <c r="R3030">
        <v>53</v>
      </c>
    </row>
    <row r="3031" spans="1:18" x14ac:dyDescent="0.25">
      <c r="A3031" t="s">
        <v>3244</v>
      </c>
      <c r="B3031" t="s">
        <v>55</v>
      </c>
      <c r="C3031" t="s">
        <v>3230</v>
      </c>
      <c r="D3031" t="s">
        <v>3140</v>
      </c>
      <c r="E3031" t="s">
        <v>78</v>
      </c>
      <c r="F3031" t="s">
        <v>252</v>
      </c>
      <c r="G3031">
        <v>6.9778000000000002</v>
      </c>
      <c r="H3031">
        <v>-74.981200000000001</v>
      </c>
      <c r="I3031" t="s">
        <v>1594</v>
      </c>
      <c r="J3031">
        <v>11</v>
      </c>
      <c r="M3031">
        <v>178</v>
      </c>
      <c r="N3031">
        <v>46</v>
      </c>
      <c r="O3031">
        <v>28</v>
      </c>
      <c r="P3031">
        <v>32</v>
      </c>
      <c r="Q3031">
        <v>28</v>
      </c>
      <c r="R3031">
        <v>60</v>
      </c>
    </row>
    <row r="3032" spans="1:18" x14ac:dyDescent="0.25">
      <c r="A3032" t="s">
        <v>3245</v>
      </c>
      <c r="B3032" t="s">
        <v>55</v>
      </c>
      <c r="C3032" t="s">
        <v>3230</v>
      </c>
      <c r="D3032" t="s">
        <v>3140</v>
      </c>
      <c r="E3032" t="s">
        <v>78</v>
      </c>
      <c r="F3032" t="s">
        <v>252</v>
      </c>
      <c r="G3032">
        <v>6.9778000000000002</v>
      </c>
      <c r="H3032">
        <v>-74.981200000000001</v>
      </c>
      <c r="I3032" t="s">
        <v>1594</v>
      </c>
      <c r="J3032">
        <v>11</v>
      </c>
      <c r="M3032">
        <v>174</v>
      </c>
      <c r="N3032">
        <v>34</v>
      </c>
      <c r="O3032">
        <v>36</v>
      </c>
      <c r="P3032">
        <v>38</v>
      </c>
      <c r="Q3032">
        <v>24</v>
      </c>
      <c r="R3032">
        <v>55</v>
      </c>
    </row>
    <row r="3033" spans="1:18" x14ac:dyDescent="0.25">
      <c r="A3033" t="s">
        <v>3246</v>
      </c>
      <c r="B3033" t="s">
        <v>55</v>
      </c>
      <c r="C3033" t="s">
        <v>3230</v>
      </c>
      <c r="D3033" t="s">
        <v>3140</v>
      </c>
      <c r="E3033" t="s">
        <v>78</v>
      </c>
      <c r="F3033" t="s">
        <v>252</v>
      </c>
      <c r="G3033">
        <v>6.9778000000000002</v>
      </c>
      <c r="H3033">
        <v>-74.981200000000001</v>
      </c>
      <c r="I3033" t="s">
        <v>1594</v>
      </c>
      <c r="J3033">
        <v>11</v>
      </c>
      <c r="M3033">
        <v>171</v>
      </c>
      <c r="N3033">
        <v>34</v>
      </c>
      <c r="O3033">
        <v>20</v>
      </c>
      <c r="P3033">
        <v>40</v>
      </c>
      <c r="Q3033">
        <v>36</v>
      </c>
      <c r="R3033">
        <v>53</v>
      </c>
    </row>
    <row r="3034" spans="1:18" x14ac:dyDescent="0.25">
      <c r="A3034" t="s">
        <v>3247</v>
      </c>
      <c r="B3034" t="s">
        <v>55</v>
      </c>
      <c r="C3034" t="s">
        <v>3230</v>
      </c>
      <c r="D3034" t="s">
        <v>3140</v>
      </c>
      <c r="E3034" t="s">
        <v>78</v>
      </c>
      <c r="F3034" t="s">
        <v>252</v>
      </c>
      <c r="G3034">
        <v>6.9778000000000002</v>
      </c>
      <c r="H3034">
        <v>-74.981200000000001</v>
      </c>
      <c r="I3034" t="s">
        <v>1594</v>
      </c>
      <c r="J3034">
        <v>11</v>
      </c>
      <c r="M3034">
        <v>170</v>
      </c>
      <c r="N3034">
        <v>37</v>
      </c>
      <c r="O3034">
        <v>30</v>
      </c>
      <c r="P3034">
        <v>34</v>
      </c>
      <c r="Q3034">
        <v>34</v>
      </c>
      <c r="R3034">
        <v>36</v>
      </c>
    </row>
    <row r="3035" spans="1:18" x14ac:dyDescent="0.25">
      <c r="A3035" t="s">
        <v>3248</v>
      </c>
      <c r="B3035" t="s">
        <v>55</v>
      </c>
      <c r="C3035" t="s">
        <v>3230</v>
      </c>
      <c r="D3035" t="s">
        <v>3140</v>
      </c>
      <c r="E3035" t="s">
        <v>78</v>
      </c>
      <c r="F3035" t="s">
        <v>252</v>
      </c>
      <c r="G3035">
        <v>6.9778000000000002</v>
      </c>
      <c r="H3035">
        <v>-74.981200000000001</v>
      </c>
      <c r="I3035" t="s">
        <v>1594</v>
      </c>
      <c r="J3035">
        <v>11</v>
      </c>
      <c r="M3035">
        <v>166</v>
      </c>
      <c r="N3035">
        <v>20</v>
      </c>
      <c r="O3035">
        <v>26</v>
      </c>
      <c r="P3035">
        <v>52</v>
      </c>
      <c r="Q3035">
        <v>33</v>
      </c>
      <c r="R3035">
        <v>42</v>
      </c>
    </row>
    <row r="3036" spans="1:18" x14ac:dyDescent="0.25">
      <c r="A3036" t="s">
        <v>3249</v>
      </c>
      <c r="B3036" t="s">
        <v>55</v>
      </c>
      <c r="C3036" t="s">
        <v>3230</v>
      </c>
      <c r="D3036" t="s">
        <v>3140</v>
      </c>
      <c r="E3036" t="s">
        <v>78</v>
      </c>
      <c r="F3036" t="s">
        <v>252</v>
      </c>
      <c r="G3036">
        <v>6.9778000000000002</v>
      </c>
      <c r="H3036">
        <v>-74.981200000000001</v>
      </c>
      <c r="I3036" t="s">
        <v>1594</v>
      </c>
      <c r="J3036">
        <v>11</v>
      </c>
      <c r="M3036">
        <v>165</v>
      </c>
      <c r="N3036">
        <v>29</v>
      </c>
      <c r="O3036">
        <v>28</v>
      </c>
      <c r="P3036">
        <v>44</v>
      </c>
      <c r="Q3036">
        <v>28</v>
      </c>
      <c r="R3036">
        <v>44</v>
      </c>
    </row>
    <row r="3037" spans="1:18" x14ac:dyDescent="0.25">
      <c r="A3037" t="s">
        <v>3250</v>
      </c>
      <c r="B3037" t="s">
        <v>55</v>
      </c>
      <c r="C3037" t="s">
        <v>3230</v>
      </c>
      <c r="D3037" t="s">
        <v>3140</v>
      </c>
      <c r="E3037" t="s">
        <v>78</v>
      </c>
      <c r="F3037" t="s">
        <v>252</v>
      </c>
      <c r="G3037">
        <v>6.9778000000000002</v>
      </c>
      <c r="H3037">
        <v>-74.981200000000001</v>
      </c>
      <c r="I3037" t="s">
        <v>1594</v>
      </c>
      <c r="J3037">
        <v>11</v>
      </c>
      <c r="M3037">
        <v>165</v>
      </c>
      <c r="N3037">
        <v>37</v>
      </c>
      <c r="O3037">
        <v>28</v>
      </c>
      <c r="P3037">
        <v>40</v>
      </c>
      <c r="Q3037">
        <v>28</v>
      </c>
      <c r="R3037">
        <v>33</v>
      </c>
    </row>
    <row r="3038" spans="1:18" x14ac:dyDescent="0.25">
      <c r="A3038" t="s">
        <v>3251</v>
      </c>
      <c r="B3038" t="s">
        <v>55</v>
      </c>
      <c r="C3038" t="s">
        <v>3230</v>
      </c>
      <c r="D3038" t="s">
        <v>3140</v>
      </c>
      <c r="E3038" t="s">
        <v>78</v>
      </c>
      <c r="F3038" t="s">
        <v>252</v>
      </c>
      <c r="G3038">
        <v>6.9778000000000002</v>
      </c>
      <c r="H3038">
        <v>-74.981200000000001</v>
      </c>
      <c r="I3038" t="s">
        <v>1594</v>
      </c>
      <c r="J3038">
        <v>11</v>
      </c>
      <c r="M3038">
        <v>159</v>
      </c>
      <c r="N3038">
        <v>41</v>
      </c>
      <c r="O3038">
        <v>18</v>
      </c>
      <c r="P3038">
        <v>36</v>
      </c>
      <c r="Q3038">
        <v>31</v>
      </c>
      <c r="R3038">
        <v>35</v>
      </c>
    </row>
    <row r="3039" spans="1:18" x14ac:dyDescent="0.25">
      <c r="A3039" t="s">
        <v>3252</v>
      </c>
      <c r="B3039" t="s">
        <v>55</v>
      </c>
      <c r="C3039" t="s">
        <v>3230</v>
      </c>
      <c r="D3039" t="s">
        <v>3140</v>
      </c>
      <c r="E3039" t="s">
        <v>78</v>
      </c>
      <c r="F3039" t="s">
        <v>252</v>
      </c>
      <c r="G3039">
        <v>6.9778000000000002</v>
      </c>
      <c r="H3039">
        <v>-74.981200000000001</v>
      </c>
      <c r="I3039" t="s">
        <v>1594</v>
      </c>
      <c r="J3039">
        <v>11</v>
      </c>
      <c r="M3039">
        <v>159</v>
      </c>
      <c r="N3039">
        <v>46</v>
      </c>
      <c r="O3039">
        <v>18</v>
      </c>
      <c r="P3039">
        <v>32</v>
      </c>
      <c r="Q3039">
        <v>26</v>
      </c>
      <c r="R3039">
        <v>47</v>
      </c>
    </row>
    <row r="3040" spans="1:18" x14ac:dyDescent="0.25">
      <c r="A3040" t="s">
        <v>3253</v>
      </c>
      <c r="B3040" t="s">
        <v>55</v>
      </c>
      <c r="C3040" t="s">
        <v>3230</v>
      </c>
      <c r="D3040" t="s">
        <v>3140</v>
      </c>
      <c r="E3040" t="s">
        <v>78</v>
      </c>
      <c r="F3040" t="s">
        <v>252</v>
      </c>
      <c r="G3040">
        <v>6.9778000000000002</v>
      </c>
      <c r="H3040">
        <v>-74.981200000000001</v>
      </c>
      <c r="I3040" t="s">
        <v>1594</v>
      </c>
      <c r="J3040">
        <v>11</v>
      </c>
      <c r="M3040">
        <v>159</v>
      </c>
      <c r="N3040">
        <v>39</v>
      </c>
      <c r="O3040">
        <v>28</v>
      </c>
      <c r="P3040">
        <v>26</v>
      </c>
      <c r="Q3040">
        <v>34</v>
      </c>
      <c r="R3040">
        <v>31</v>
      </c>
    </row>
    <row r="3041" spans="1:18" x14ac:dyDescent="0.25">
      <c r="A3041" t="s">
        <v>3254</v>
      </c>
      <c r="B3041" t="s">
        <v>55</v>
      </c>
      <c r="C3041" t="s">
        <v>3230</v>
      </c>
      <c r="D3041" t="s">
        <v>3140</v>
      </c>
      <c r="E3041" t="s">
        <v>78</v>
      </c>
      <c r="F3041" t="s">
        <v>252</v>
      </c>
      <c r="G3041">
        <v>6.9778000000000002</v>
      </c>
      <c r="H3041">
        <v>-74.981200000000001</v>
      </c>
      <c r="I3041" t="s">
        <v>1594</v>
      </c>
      <c r="J3041">
        <v>11</v>
      </c>
      <c r="M3041">
        <v>159</v>
      </c>
      <c r="N3041">
        <v>44</v>
      </c>
      <c r="O3041">
        <v>18</v>
      </c>
      <c r="P3041">
        <v>38</v>
      </c>
      <c r="Q3041">
        <v>24</v>
      </c>
      <c r="R3041">
        <v>40</v>
      </c>
    </row>
    <row r="3042" spans="1:18" x14ac:dyDescent="0.25">
      <c r="A3042" t="s">
        <v>3255</v>
      </c>
      <c r="B3042" t="s">
        <v>55</v>
      </c>
      <c r="C3042" t="s">
        <v>3230</v>
      </c>
      <c r="D3042" t="s">
        <v>3140</v>
      </c>
      <c r="E3042" t="s">
        <v>78</v>
      </c>
      <c r="F3042" t="s">
        <v>252</v>
      </c>
      <c r="G3042">
        <v>6.9778000000000002</v>
      </c>
      <c r="H3042">
        <v>-74.981200000000001</v>
      </c>
      <c r="I3042" t="s">
        <v>1594</v>
      </c>
      <c r="J3042">
        <v>11</v>
      </c>
      <c r="M3042">
        <v>158</v>
      </c>
      <c r="N3042">
        <v>32</v>
      </c>
      <c r="O3042">
        <v>28</v>
      </c>
      <c r="P3042">
        <v>38</v>
      </c>
      <c r="Q3042">
        <v>22</v>
      </c>
      <c r="R3042">
        <v>51</v>
      </c>
    </row>
    <row r="3043" spans="1:18" x14ac:dyDescent="0.25">
      <c r="A3043" t="s">
        <v>3256</v>
      </c>
      <c r="B3043" t="s">
        <v>55</v>
      </c>
      <c r="C3043" t="s">
        <v>3230</v>
      </c>
      <c r="D3043" t="s">
        <v>3140</v>
      </c>
      <c r="E3043" t="s">
        <v>78</v>
      </c>
      <c r="F3043" t="s">
        <v>252</v>
      </c>
      <c r="G3043">
        <v>6.9778000000000002</v>
      </c>
      <c r="H3043">
        <v>-74.981200000000001</v>
      </c>
      <c r="I3043" t="s">
        <v>1594</v>
      </c>
      <c r="J3043">
        <v>11</v>
      </c>
      <c r="M3043">
        <v>157</v>
      </c>
      <c r="N3043">
        <v>29</v>
      </c>
      <c r="O3043">
        <v>28</v>
      </c>
      <c r="P3043">
        <v>32</v>
      </c>
      <c r="Q3043">
        <v>38</v>
      </c>
      <c r="R3043">
        <v>27</v>
      </c>
    </row>
    <row r="3044" spans="1:18" x14ac:dyDescent="0.25">
      <c r="A3044" t="s">
        <v>3257</v>
      </c>
      <c r="B3044" t="s">
        <v>55</v>
      </c>
      <c r="C3044" t="s">
        <v>3230</v>
      </c>
      <c r="D3044" t="s">
        <v>3140</v>
      </c>
      <c r="E3044" t="s">
        <v>78</v>
      </c>
      <c r="F3044" t="s">
        <v>252</v>
      </c>
      <c r="G3044">
        <v>6.9778000000000002</v>
      </c>
      <c r="H3044">
        <v>-74.981200000000001</v>
      </c>
      <c r="I3044" t="s">
        <v>1594</v>
      </c>
      <c r="J3044">
        <v>11</v>
      </c>
      <c r="M3044">
        <v>156</v>
      </c>
      <c r="N3044">
        <v>37</v>
      </c>
      <c r="O3044">
        <v>24</v>
      </c>
      <c r="P3044">
        <v>36</v>
      </c>
      <c r="Q3044">
        <v>22</v>
      </c>
      <c r="R3044">
        <v>49</v>
      </c>
    </row>
    <row r="3045" spans="1:18" x14ac:dyDescent="0.25">
      <c r="A3045" t="s">
        <v>3258</v>
      </c>
      <c r="B3045" t="s">
        <v>55</v>
      </c>
      <c r="C3045" t="s">
        <v>3230</v>
      </c>
      <c r="D3045" t="s">
        <v>3140</v>
      </c>
      <c r="E3045" t="s">
        <v>78</v>
      </c>
      <c r="F3045" t="s">
        <v>252</v>
      </c>
      <c r="G3045">
        <v>6.9778000000000002</v>
      </c>
      <c r="H3045">
        <v>-74.981200000000001</v>
      </c>
      <c r="I3045" t="s">
        <v>1594</v>
      </c>
      <c r="J3045">
        <v>11</v>
      </c>
      <c r="M3045">
        <v>153</v>
      </c>
      <c r="N3045">
        <v>44</v>
      </c>
      <c r="O3045">
        <v>24</v>
      </c>
      <c r="P3045">
        <v>28</v>
      </c>
      <c r="Q3045">
        <v>28</v>
      </c>
      <c r="R3045">
        <v>27</v>
      </c>
    </row>
    <row r="3046" spans="1:18" x14ac:dyDescent="0.25">
      <c r="A3046" t="s">
        <v>3259</v>
      </c>
      <c r="B3046" t="s">
        <v>55</v>
      </c>
      <c r="C3046" t="s">
        <v>3230</v>
      </c>
      <c r="D3046" t="s">
        <v>3140</v>
      </c>
      <c r="E3046" t="s">
        <v>78</v>
      </c>
      <c r="F3046" t="s">
        <v>252</v>
      </c>
      <c r="G3046">
        <v>6.9778000000000002</v>
      </c>
      <c r="H3046">
        <v>-74.981200000000001</v>
      </c>
      <c r="I3046" t="s">
        <v>1594</v>
      </c>
      <c r="J3046">
        <v>11</v>
      </c>
      <c r="M3046">
        <v>144</v>
      </c>
      <c r="N3046">
        <v>22</v>
      </c>
      <c r="O3046">
        <v>28</v>
      </c>
      <c r="P3046">
        <v>40</v>
      </c>
      <c r="Q3046">
        <v>21</v>
      </c>
      <c r="R3046">
        <v>44</v>
      </c>
    </row>
    <row r="3047" spans="1:18" x14ac:dyDescent="0.25">
      <c r="A3047" t="s">
        <v>3260</v>
      </c>
      <c r="B3047" t="s">
        <v>55</v>
      </c>
      <c r="C3047" t="s">
        <v>3230</v>
      </c>
      <c r="D3047" t="s">
        <v>3140</v>
      </c>
      <c r="E3047" t="s">
        <v>78</v>
      </c>
      <c r="F3047" t="s">
        <v>252</v>
      </c>
      <c r="G3047">
        <v>6.9778000000000002</v>
      </c>
      <c r="H3047">
        <v>-74.981200000000001</v>
      </c>
      <c r="I3047" t="s">
        <v>1594</v>
      </c>
      <c r="J3047">
        <v>11</v>
      </c>
      <c r="M3047">
        <v>144</v>
      </c>
      <c r="N3047">
        <v>27</v>
      </c>
      <c r="O3047">
        <v>20</v>
      </c>
      <c r="P3047">
        <v>38</v>
      </c>
      <c r="Q3047">
        <v>26</v>
      </c>
      <c r="R3047">
        <v>42</v>
      </c>
    </row>
    <row r="3048" spans="1:18" x14ac:dyDescent="0.25">
      <c r="A3048" t="s">
        <v>3261</v>
      </c>
      <c r="B3048" t="s">
        <v>55</v>
      </c>
      <c r="C3048" t="s">
        <v>3230</v>
      </c>
      <c r="D3048" t="s">
        <v>3140</v>
      </c>
      <c r="E3048" t="s">
        <v>78</v>
      </c>
      <c r="F3048" t="s">
        <v>252</v>
      </c>
      <c r="G3048">
        <v>6.9778000000000002</v>
      </c>
      <c r="H3048">
        <v>-74.981200000000001</v>
      </c>
      <c r="I3048" t="s">
        <v>1594</v>
      </c>
      <c r="J3048">
        <v>11</v>
      </c>
      <c r="M3048">
        <v>143</v>
      </c>
      <c r="N3048">
        <v>32</v>
      </c>
      <c r="O3048">
        <v>30</v>
      </c>
      <c r="P3048">
        <v>32</v>
      </c>
      <c r="Q3048">
        <v>22</v>
      </c>
      <c r="R3048">
        <v>24</v>
      </c>
    </row>
    <row r="3049" spans="1:18" x14ac:dyDescent="0.25">
      <c r="A3049" t="s">
        <v>3262</v>
      </c>
      <c r="B3049" t="s">
        <v>55</v>
      </c>
      <c r="C3049" t="s">
        <v>3230</v>
      </c>
      <c r="D3049" t="s">
        <v>3140</v>
      </c>
      <c r="E3049" t="s">
        <v>78</v>
      </c>
      <c r="F3049" t="s">
        <v>252</v>
      </c>
      <c r="G3049">
        <v>6.9778000000000002</v>
      </c>
      <c r="H3049">
        <v>-74.981200000000001</v>
      </c>
      <c r="I3049" t="s">
        <v>1594</v>
      </c>
      <c r="J3049">
        <v>11</v>
      </c>
      <c r="M3049">
        <v>143</v>
      </c>
      <c r="N3049">
        <v>27</v>
      </c>
      <c r="O3049">
        <v>20</v>
      </c>
      <c r="P3049">
        <v>32</v>
      </c>
      <c r="Q3049">
        <v>31</v>
      </c>
      <c r="R3049">
        <v>42</v>
      </c>
    </row>
    <row r="3050" spans="1:18" x14ac:dyDescent="0.25">
      <c r="A3050" t="s">
        <v>3263</v>
      </c>
      <c r="B3050" t="s">
        <v>55</v>
      </c>
      <c r="C3050" t="s">
        <v>3230</v>
      </c>
      <c r="D3050" t="s">
        <v>3140</v>
      </c>
      <c r="E3050" t="s">
        <v>78</v>
      </c>
      <c r="F3050" t="s">
        <v>252</v>
      </c>
      <c r="G3050">
        <v>6.9778000000000002</v>
      </c>
      <c r="H3050">
        <v>-74.981200000000001</v>
      </c>
      <c r="I3050" t="s">
        <v>1594</v>
      </c>
      <c r="J3050">
        <v>11</v>
      </c>
      <c r="M3050">
        <v>141</v>
      </c>
      <c r="N3050">
        <v>37</v>
      </c>
      <c r="O3050">
        <v>12</v>
      </c>
      <c r="P3050">
        <v>34</v>
      </c>
      <c r="Q3050">
        <v>26</v>
      </c>
      <c r="R3050">
        <v>40</v>
      </c>
    </row>
    <row r="3051" spans="1:18" x14ac:dyDescent="0.25">
      <c r="A3051" t="s">
        <v>3264</v>
      </c>
      <c r="B3051" t="s">
        <v>55</v>
      </c>
      <c r="C3051" t="s">
        <v>3230</v>
      </c>
      <c r="D3051" t="s">
        <v>3140</v>
      </c>
      <c r="E3051" t="s">
        <v>78</v>
      </c>
      <c r="F3051" t="s">
        <v>252</v>
      </c>
      <c r="G3051">
        <v>6.9778000000000002</v>
      </c>
      <c r="H3051">
        <v>-74.981200000000001</v>
      </c>
      <c r="I3051" t="s">
        <v>1594</v>
      </c>
      <c r="J3051">
        <v>11</v>
      </c>
      <c r="M3051">
        <v>140</v>
      </c>
      <c r="N3051">
        <v>27</v>
      </c>
      <c r="O3051">
        <v>24</v>
      </c>
      <c r="P3051">
        <v>38</v>
      </c>
      <c r="Q3051">
        <v>22</v>
      </c>
      <c r="R3051">
        <v>29</v>
      </c>
    </row>
    <row r="3052" spans="1:18" x14ac:dyDescent="0.25">
      <c r="A3052" t="s">
        <v>3265</v>
      </c>
      <c r="B3052" t="s">
        <v>55</v>
      </c>
      <c r="C3052" t="s">
        <v>3230</v>
      </c>
      <c r="D3052" t="s">
        <v>3140</v>
      </c>
      <c r="E3052" t="s">
        <v>78</v>
      </c>
      <c r="F3052" t="s">
        <v>252</v>
      </c>
      <c r="G3052">
        <v>6.9778000000000002</v>
      </c>
      <c r="H3052">
        <v>-74.981200000000001</v>
      </c>
      <c r="I3052" t="s">
        <v>1594</v>
      </c>
      <c r="J3052">
        <v>11</v>
      </c>
      <c r="M3052">
        <v>137</v>
      </c>
      <c r="N3052">
        <v>34</v>
      </c>
      <c r="O3052">
        <v>24</v>
      </c>
      <c r="P3052">
        <v>34</v>
      </c>
      <c r="Q3052">
        <v>17</v>
      </c>
      <c r="R3052">
        <v>27</v>
      </c>
    </row>
    <row r="3053" spans="1:18" x14ac:dyDescent="0.25">
      <c r="A3053" t="s">
        <v>3266</v>
      </c>
      <c r="B3053" t="s">
        <v>55</v>
      </c>
      <c r="C3053" t="s">
        <v>3230</v>
      </c>
      <c r="D3053" t="s">
        <v>3140</v>
      </c>
      <c r="E3053" t="s">
        <v>78</v>
      </c>
      <c r="F3053" t="s">
        <v>252</v>
      </c>
      <c r="G3053">
        <v>6.9778000000000002</v>
      </c>
      <c r="H3053">
        <v>-74.981200000000001</v>
      </c>
      <c r="I3053" t="s">
        <v>1594</v>
      </c>
      <c r="J3053">
        <v>11</v>
      </c>
      <c r="M3053">
        <v>128</v>
      </c>
      <c r="N3053">
        <v>39</v>
      </c>
      <c r="O3053">
        <v>20</v>
      </c>
      <c r="P3053">
        <v>22</v>
      </c>
      <c r="Q3053">
        <v>24</v>
      </c>
      <c r="R3053">
        <v>18</v>
      </c>
    </row>
    <row r="3054" spans="1:18" x14ac:dyDescent="0.25">
      <c r="A3054" t="s">
        <v>3267</v>
      </c>
      <c r="B3054" t="s">
        <v>55</v>
      </c>
      <c r="C3054" t="s">
        <v>3230</v>
      </c>
      <c r="D3054" t="s">
        <v>3140</v>
      </c>
      <c r="E3054" t="s">
        <v>78</v>
      </c>
      <c r="F3054" t="s">
        <v>252</v>
      </c>
      <c r="G3054">
        <v>6.9778000000000002</v>
      </c>
      <c r="H3054">
        <v>-74.981200000000001</v>
      </c>
      <c r="I3054" t="s">
        <v>1594</v>
      </c>
      <c r="J3054">
        <v>11</v>
      </c>
      <c r="M3054">
        <v>125</v>
      </c>
      <c r="N3054">
        <v>17</v>
      </c>
      <c r="O3054">
        <v>28</v>
      </c>
      <c r="P3054">
        <v>36</v>
      </c>
      <c r="Q3054">
        <v>17</v>
      </c>
      <c r="R3054">
        <v>29</v>
      </c>
    </row>
    <row r="3055" spans="1:18" x14ac:dyDescent="0.25">
      <c r="A3055" t="s">
        <v>3268</v>
      </c>
      <c r="B3055" t="s">
        <v>55</v>
      </c>
      <c r="C3055" t="s">
        <v>3230</v>
      </c>
      <c r="D3055" t="s">
        <v>3140</v>
      </c>
      <c r="E3055" t="s">
        <v>78</v>
      </c>
      <c r="F3055" t="s">
        <v>252</v>
      </c>
      <c r="G3055">
        <v>6.9778000000000002</v>
      </c>
      <c r="H3055">
        <v>-74.981200000000001</v>
      </c>
      <c r="I3055" t="s">
        <v>1594</v>
      </c>
      <c r="J3055">
        <v>11</v>
      </c>
      <c r="M3055">
        <v>121</v>
      </c>
      <c r="N3055">
        <v>54</v>
      </c>
      <c r="O3055">
        <v>24</v>
      </c>
      <c r="P3055">
        <v>12</v>
      </c>
      <c r="Q3055">
        <v>16</v>
      </c>
      <c r="R3055">
        <v>0</v>
      </c>
    </row>
    <row r="3056" spans="1:18" x14ac:dyDescent="0.25">
      <c r="A3056" t="s">
        <v>3269</v>
      </c>
      <c r="B3056" t="s">
        <v>55</v>
      </c>
      <c r="C3056" t="s">
        <v>3270</v>
      </c>
      <c r="D3056" t="s">
        <v>3271</v>
      </c>
      <c r="E3056" t="s">
        <v>78</v>
      </c>
      <c r="F3056" t="s">
        <v>252</v>
      </c>
      <c r="G3056">
        <v>6.9157999999999999</v>
      </c>
      <c r="H3056">
        <v>-75.673900000000003</v>
      </c>
      <c r="I3056" t="s">
        <v>3272</v>
      </c>
      <c r="J3056">
        <v>11</v>
      </c>
      <c r="M3056">
        <v>310</v>
      </c>
      <c r="N3056">
        <v>66</v>
      </c>
      <c r="O3056">
        <v>62</v>
      </c>
      <c r="P3056">
        <v>60</v>
      </c>
      <c r="Q3056">
        <v>57</v>
      </c>
      <c r="R3056">
        <v>71</v>
      </c>
    </row>
    <row r="3057" spans="1:18" x14ac:dyDescent="0.25">
      <c r="A3057" t="s">
        <v>3273</v>
      </c>
      <c r="B3057" t="s">
        <v>55</v>
      </c>
      <c r="C3057" t="s">
        <v>3270</v>
      </c>
      <c r="D3057" t="s">
        <v>3271</v>
      </c>
      <c r="E3057" t="s">
        <v>78</v>
      </c>
      <c r="F3057" t="s">
        <v>252</v>
      </c>
      <c r="G3057">
        <v>6.9157999999999999</v>
      </c>
      <c r="H3057">
        <v>-75.673900000000003</v>
      </c>
      <c r="I3057" t="s">
        <v>3272</v>
      </c>
      <c r="J3057">
        <v>11</v>
      </c>
      <c r="M3057">
        <v>262</v>
      </c>
      <c r="N3057">
        <v>54</v>
      </c>
      <c r="O3057">
        <v>46</v>
      </c>
      <c r="P3057">
        <v>56</v>
      </c>
      <c r="Q3057">
        <v>50</v>
      </c>
      <c r="R3057">
        <v>64</v>
      </c>
    </row>
    <row r="3058" spans="1:18" x14ac:dyDescent="0.25">
      <c r="A3058" t="s">
        <v>3274</v>
      </c>
      <c r="B3058" t="s">
        <v>55</v>
      </c>
      <c r="C3058" t="s">
        <v>3270</v>
      </c>
      <c r="D3058" t="s">
        <v>3271</v>
      </c>
      <c r="E3058" t="s">
        <v>78</v>
      </c>
      <c r="F3058" t="s">
        <v>252</v>
      </c>
      <c r="G3058">
        <v>6.9157999999999999</v>
      </c>
      <c r="H3058">
        <v>-75.673900000000003</v>
      </c>
      <c r="I3058" t="s">
        <v>3272</v>
      </c>
      <c r="J3058">
        <v>11</v>
      </c>
      <c r="M3058">
        <v>258</v>
      </c>
      <c r="N3058">
        <v>73</v>
      </c>
      <c r="O3058">
        <v>36</v>
      </c>
      <c r="P3058">
        <v>52</v>
      </c>
      <c r="Q3058">
        <v>36</v>
      </c>
      <c r="R3058">
        <v>78</v>
      </c>
    </row>
    <row r="3059" spans="1:18" x14ac:dyDescent="0.25">
      <c r="A3059" t="s">
        <v>3275</v>
      </c>
      <c r="B3059" t="s">
        <v>55</v>
      </c>
      <c r="C3059" t="s">
        <v>3270</v>
      </c>
      <c r="D3059" t="s">
        <v>3271</v>
      </c>
      <c r="E3059" t="s">
        <v>78</v>
      </c>
      <c r="F3059" t="s">
        <v>252</v>
      </c>
      <c r="G3059">
        <v>6.9157999999999999</v>
      </c>
      <c r="H3059">
        <v>-75.673900000000003</v>
      </c>
      <c r="I3059" t="s">
        <v>3272</v>
      </c>
      <c r="J3059">
        <v>11</v>
      </c>
      <c r="M3059">
        <v>238</v>
      </c>
      <c r="N3059">
        <v>59</v>
      </c>
      <c r="O3059">
        <v>36</v>
      </c>
      <c r="P3059">
        <v>58</v>
      </c>
      <c r="Q3059">
        <v>29</v>
      </c>
      <c r="R3059">
        <v>73</v>
      </c>
    </row>
    <row r="3060" spans="1:18" x14ac:dyDescent="0.25">
      <c r="A3060" t="s">
        <v>3276</v>
      </c>
      <c r="B3060" t="s">
        <v>55</v>
      </c>
      <c r="C3060" t="s">
        <v>3270</v>
      </c>
      <c r="D3060" t="s">
        <v>3271</v>
      </c>
      <c r="E3060" t="s">
        <v>78</v>
      </c>
      <c r="F3060" t="s">
        <v>252</v>
      </c>
      <c r="G3060">
        <v>6.9157999999999999</v>
      </c>
      <c r="H3060">
        <v>-75.673900000000003</v>
      </c>
      <c r="I3060" t="s">
        <v>3272</v>
      </c>
      <c r="J3060">
        <v>11</v>
      </c>
      <c r="M3060">
        <v>236</v>
      </c>
      <c r="N3060">
        <v>61</v>
      </c>
      <c r="O3060">
        <v>34</v>
      </c>
      <c r="P3060">
        <v>58</v>
      </c>
      <c r="Q3060">
        <v>31</v>
      </c>
      <c r="R3060">
        <v>62</v>
      </c>
    </row>
    <row r="3061" spans="1:18" x14ac:dyDescent="0.25">
      <c r="A3061" t="s">
        <v>3277</v>
      </c>
      <c r="B3061" t="s">
        <v>55</v>
      </c>
      <c r="C3061" t="s">
        <v>3270</v>
      </c>
      <c r="D3061" t="s">
        <v>3271</v>
      </c>
      <c r="E3061" t="s">
        <v>78</v>
      </c>
      <c r="F3061" t="s">
        <v>252</v>
      </c>
      <c r="G3061">
        <v>6.9157999999999999</v>
      </c>
      <c r="H3061">
        <v>-75.673900000000003</v>
      </c>
      <c r="I3061" t="s">
        <v>3272</v>
      </c>
      <c r="J3061">
        <v>11</v>
      </c>
      <c r="M3061">
        <v>233</v>
      </c>
      <c r="N3061">
        <v>56</v>
      </c>
      <c r="O3061">
        <v>34</v>
      </c>
      <c r="P3061">
        <v>68</v>
      </c>
      <c r="Q3061">
        <v>28</v>
      </c>
      <c r="R3061">
        <v>49</v>
      </c>
    </row>
    <row r="3062" spans="1:18" x14ac:dyDescent="0.25">
      <c r="A3062" t="s">
        <v>3278</v>
      </c>
      <c r="B3062" t="s">
        <v>55</v>
      </c>
      <c r="C3062" t="s">
        <v>3270</v>
      </c>
      <c r="D3062" t="s">
        <v>3271</v>
      </c>
      <c r="E3062" t="s">
        <v>78</v>
      </c>
      <c r="F3062" t="s">
        <v>252</v>
      </c>
      <c r="G3062">
        <v>6.9157999999999999</v>
      </c>
      <c r="H3062">
        <v>-75.673900000000003</v>
      </c>
      <c r="I3062" t="s">
        <v>3272</v>
      </c>
      <c r="J3062">
        <v>11</v>
      </c>
      <c r="M3062">
        <v>229</v>
      </c>
      <c r="N3062">
        <v>59</v>
      </c>
      <c r="O3062">
        <v>22</v>
      </c>
      <c r="P3062">
        <v>58</v>
      </c>
      <c r="Q3062">
        <v>36</v>
      </c>
      <c r="R3062">
        <v>71</v>
      </c>
    </row>
    <row r="3063" spans="1:18" x14ac:dyDescent="0.25">
      <c r="A3063" t="s">
        <v>3279</v>
      </c>
      <c r="B3063" t="s">
        <v>55</v>
      </c>
      <c r="C3063" t="s">
        <v>3270</v>
      </c>
      <c r="D3063" t="s">
        <v>3271</v>
      </c>
      <c r="E3063" t="s">
        <v>78</v>
      </c>
      <c r="F3063" t="s">
        <v>252</v>
      </c>
      <c r="G3063">
        <v>6.9157999999999999</v>
      </c>
      <c r="H3063">
        <v>-75.673900000000003</v>
      </c>
      <c r="I3063" t="s">
        <v>3272</v>
      </c>
      <c r="J3063">
        <v>11</v>
      </c>
      <c r="M3063">
        <v>227</v>
      </c>
      <c r="N3063">
        <v>56</v>
      </c>
      <c r="O3063">
        <v>24</v>
      </c>
      <c r="P3063">
        <v>66</v>
      </c>
      <c r="Q3063">
        <v>33</v>
      </c>
      <c r="R3063">
        <v>55</v>
      </c>
    </row>
    <row r="3064" spans="1:18" x14ac:dyDescent="0.25">
      <c r="A3064" t="s">
        <v>3280</v>
      </c>
      <c r="B3064" t="s">
        <v>55</v>
      </c>
      <c r="C3064" t="s">
        <v>3270</v>
      </c>
      <c r="D3064" t="s">
        <v>3271</v>
      </c>
      <c r="E3064" t="s">
        <v>78</v>
      </c>
      <c r="F3064" t="s">
        <v>252</v>
      </c>
      <c r="G3064">
        <v>6.9157999999999999</v>
      </c>
      <c r="H3064">
        <v>-75.673900000000003</v>
      </c>
      <c r="I3064" t="s">
        <v>3272</v>
      </c>
      <c r="J3064">
        <v>11</v>
      </c>
      <c r="M3064">
        <v>220</v>
      </c>
      <c r="N3064">
        <v>51</v>
      </c>
      <c r="O3064">
        <v>26</v>
      </c>
      <c r="P3064">
        <v>62</v>
      </c>
      <c r="Q3064">
        <v>34</v>
      </c>
      <c r="R3064">
        <v>51</v>
      </c>
    </row>
    <row r="3065" spans="1:18" x14ac:dyDescent="0.25">
      <c r="A3065" t="s">
        <v>3281</v>
      </c>
      <c r="B3065" t="s">
        <v>55</v>
      </c>
      <c r="C3065" t="s">
        <v>3270</v>
      </c>
      <c r="D3065" t="s">
        <v>3271</v>
      </c>
      <c r="E3065" t="s">
        <v>78</v>
      </c>
      <c r="F3065" t="s">
        <v>252</v>
      </c>
      <c r="G3065">
        <v>6.9157999999999999</v>
      </c>
      <c r="H3065">
        <v>-75.673900000000003</v>
      </c>
      <c r="I3065" t="s">
        <v>3272</v>
      </c>
      <c r="J3065">
        <v>11</v>
      </c>
      <c r="M3065">
        <v>219</v>
      </c>
      <c r="N3065">
        <v>59</v>
      </c>
      <c r="O3065">
        <v>30</v>
      </c>
      <c r="P3065">
        <v>48</v>
      </c>
      <c r="Q3065">
        <v>31</v>
      </c>
      <c r="R3065">
        <v>67</v>
      </c>
    </row>
    <row r="3066" spans="1:18" x14ac:dyDescent="0.25">
      <c r="A3066" t="s">
        <v>3282</v>
      </c>
      <c r="B3066" t="s">
        <v>55</v>
      </c>
      <c r="C3066" t="s">
        <v>3270</v>
      </c>
      <c r="D3066" t="s">
        <v>3271</v>
      </c>
      <c r="E3066" t="s">
        <v>78</v>
      </c>
      <c r="F3066" t="s">
        <v>252</v>
      </c>
      <c r="G3066">
        <v>6.9157999999999999</v>
      </c>
      <c r="H3066">
        <v>-75.673900000000003</v>
      </c>
      <c r="I3066" t="s">
        <v>3272</v>
      </c>
      <c r="J3066">
        <v>11</v>
      </c>
      <c r="M3066">
        <v>212</v>
      </c>
      <c r="N3066">
        <v>41</v>
      </c>
      <c r="O3066">
        <v>40</v>
      </c>
      <c r="P3066">
        <v>50</v>
      </c>
      <c r="Q3066">
        <v>34</v>
      </c>
      <c r="R3066">
        <v>55</v>
      </c>
    </row>
    <row r="3067" spans="1:18" x14ac:dyDescent="0.25">
      <c r="A3067" t="s">
        <v>3283</v>
      </c>
      <c r="B3067" t="s">
        <v>55</v>
      </c>
      <c r="C3067" t="s">
        <v>3270</v>
      </c>
      <c r="D3067" t="s">
        <v>3271</v>
      </c>
      <c r="E3067" t="s">
        <v>78</v>
      </c>
      <c r="F3067" t="s">
        <v>252</v>
      </c>
      <c r="G3067">
        <v>6.9157999999999999</v>
      </c>
      <c r="H3067">
        <v>-75.673900000000003</v>
      </c>
      <c r="I3067" t="s">
        <v>3272</v>
      </c>
      <c r="J3067">
        <v>11</v>
      </c>
      <c r="M3067">
        <v>200</v>
      </c>
      <c r="N3067">
        <v>37</v>
      </c>
      <c r="O3067">
        <v>34</v>
      </c>
      <c r="P3067">
        <v>58</v>
      </c>
      <c r="Q3067">
        <v>31</v>
      </c>
      <c r="R3067">
        <v>42</v>
      </c>
    </row>
    <row r="3068" spans="1:18" x14ac:dyDescent="0.25">
      <c r="A3068" t="s">
        <v>3284</v>
      </c>
      <c r="B3068" t="s">
        <v>55</v>
      </c>
      <c r="C3068" t="s">
        <v>3270</v>
      </c>
      <c r="D3068" t="s">
        <v>3271</v>
      </c>
      <c r="E3068" t="s">
        <v>78</v>
      </c>
      <c r="F3068" t="s">
        <v>252</v>
      </c>
      <c r="G3068">
        <v>6.9157999999999999</v>
      </c>
      <c r="H3068">
        <v>-75.673900000000003</v>
      </c>
      <c r="I3068" t="s">
        <v>3272</v>
      </c>
      <c r="J3068">
        <v>11</v>
      </c>
      <c r="M3068">
        <v>200</v>
      </c>
      <c r="N3068">
        <v>54</v>
      </c>
      <c r="O3068">
        <v>24</v>
      </c>
      <c r="P3068">
        <v>52</v>
      </c>
      <c r="Q3068">
        <v>29</v>
      </c>
      <c r="R3068">
        <v>44</v>
      </c>
    </row>
    <row r="3069" spans="1:18" x14ac:dyDescent="0.25">
      <c r="A3069" t="s">
        <v>3285</v>
      </c>
      <c r="B3069" t="s">
        <v>55</v>
      </c>
      <c r="C3069" t="s">
        <v>3270</v>
      </c>
      <c r="D3069" t="s">
        <v>3271</v>
      </c>
      <c r="E3069" t="s">
        <v>78</v>
      </c>
      <c r="F3069" t="s">
        <v>252</v>
      </c>
      <c r="G3069">
        <v>6.9157999999999999</v>
      </c>
      <c r="H3069">
        <v>-75.673900000000003</v>
      </c>
      <c r="I3069" t="s">
        <v>3272</v>
      </c>
      <c r="J3069">
        <v>11</v>
      </c>
      <c r="M3069">
        <v>192</v>
      </c>
      <c r="N3069">
        <v>51</v>
      </c>
      <c r="O3069">
        <v>38</v>
      </c>
      <c r="P3069">
        <v>40</v>
      </c>
      <c r="Q3069">
        <v>21</v>
      </c>
      <c r="R3069">
        <v>49</v>
      </c>
    </row>
    <row r="3070" spans="1:18" x14ac:dyDescent="0.25">
      <c r="A3070" t="s">
        <v>3286</v>
      </c>
      <c r="B3070" t="s">
        <v>55</v>
      </c>
      <c r="C3070" t="s">
        <v>3270</v>
      </c>
      <c r="D3070" t="s">
        <v>3271</v>
      </c>
      <c r="E3070" t="s">
        <v>78</v>
      </c>
      <c r="F3070" t="s">
        <v>252</v>
      </c>
      <c r="G3070">
        <v>6.9157999999999999</v>
      </c>
      <c r="H3070">
        <v>-75.673900000000003</v>
      </c>
      <c r="I3070" t="s">
        <v>3272</v>
      </c>
      <c r="J3070">
        <v>11</v>
      </c>
      <c r="M3070">
        <v>190</v>
      </c>
      <c r="N3070">
        <v>39</v>
      </c>
      <c r="O3070">
        <v>42</v>
      </c>
      <c r="P3070">
        <v>40</v>
      </c>
      <c r="Q3070">
        <v>28</v>
      </c>
      <c r="R3070">
        <v>47</v>
      </c>
    </row>
    <row r="3071" spans="1:18" x14ac:dyDescent="0.25">
      <c r="A3071" t="s">
        <v>3287</v>
      </c>
      <c r="B3071" t="s">
        <v>55</v>
      </c>
      <c r="C3071" t="s">
        <v>3270</v>
      </c>
      <c r="D3071" t="s">
        <v>3271</v>
      </c>
      <c r="E3071" t="s">
        <v>78</v>
      </c>
      <c r="F3071" t="s">
        <v>252</v>
      </c>
      <c r="G3071">
        <v>6.9157999999999999</v>
      </c>
      <c r="H3071">
        <v>-75.673900000000003</v>
      </c>
      <c r="I3071" t="s">
        <v>3272</v>
      </c>
      <c r="J3071">
        <v>11</v>
      </c>
      <c r="M3071">
        <v>186</v>
      </c>
      <c r="N3071">
        <v>37</v>
      </c>
      <c r="O3071">
        <v>32</v>
      </c>
      <c r="P3071">
        <v>42</v>
      </c>
      <c r="Q3071">
        <v>34</v>
      </c>
      <c r="R3071">
        <v>49</v>
      </c>
    </row>
    <row r="3072" spans="1:18" x14ac:dyDescent="0.25">
      <c r="A3072" t="s">
        <v>3288</v>
      </c>
      <c r="B3072" t="s">
        <v>55</v>
      </c>
      <c r="C3072" t="s">
        <v>3270</v>
      </c>
      <c r="D3072" t="s">
        <v>3271</v>
      </c>
      <c r="E3072" t="s">
        <v>78</v>
      </c>
      <c r="F3072" t="s">
        <v>252</v>
      </c>
      <c r="G3072">
        <v>6.9157999999999999</v>
      </c>
      <c r="H3072">
        <v>-75.673900000000003</v>
      </c>
      <c r="I3072" t="s">
        <v>3272</v>
      </c>
      <c r="J3072">
        <v>11</v>
      </c>
      <c r="M3072">
        <v>174</v>
      </c>
      <c r="N3072">
        <v>44</v>
      </c>
      <c r="O3072">
        <v>28</v>
      </c>
      <c r="P3072">
        <v>44</v>
      </c>
      <c r="Q3072">
        <v>22</v>
      </c>
      <c r="R3072">
        <v>36</v>
      </c>
    </row>
    <row r="3073" spans="1:18" x14ac:dyDescent="0.25">
      <c r="A3073" t="s">
        <v>3289</v>
      </c>
      <c r="B3073" t="s">
        <v>55</v>
      </c>
      <c r="C3073" t="s">
        <v>3270</v>
      </c>
      <c r="D3073" t="s">
        <v>3271</v>
      </c>
      <c r="E3073" t="s">
        <v>78</v>
      </c>
      <c r="F3073" t="s">
        <v>252</v>
      </c>
      <c r="G3073">
        <v>6.9157999999999999</v>
      </c>
      <c r="H3073">
        <v>-75.673900000000003</v>
      </c>
      <c r="I3073" t="s">
        <v>3272</v>
      </c>
      <c r="J3073">
        <v>11</v>
      </c>
      <c r="M3073">
        <v>173</v>
      </c>
      <c r="N3073">
        <v>37</v>
      </c>
      <c r="O3073">
        <v>30</v>
      </c>
      <c r="P3073">
        <v>52</v>
      </c>
      <c r="Q3073">
        <v>19</v>
      </c>
      <c r="R3073">
        <v>36</v>
      </c>
    </row>
    <row r="3074" spans="1:18" x14ac:dyDescent="0.25">
      <c r="A3074" t="s">
        <v>3290</v>
      </c>
      <c r="B3074" t="s">
        <v>55</v>
      </c>
      <c r="C3074" t="s">
        <v>3270</v>
      </c>
      <c r="D3074" t="s">
        <v>3271</v>
      </c>
      <c r="E3074" t="s">
        <v>78</v>
      </c>
      <c r="F3074" t="s">
        <v>252</v>
      </c>
      <c r="G3074">
        <v>6.9157999999999999</v>
      </c>
      <c r="H3074">
        <v>-75.673900000000003</v>
      </c>
      <c r="I3074" t="s">
        <v>3272</v>
      </c>
      <c r="J3074">
        <v>11</v>
      </c>
      <c r="M3074">
        <v>170</v>
      </c>
      <c r="N3074">
        <v>39</v>
      </c>
      <c r="O3074">
        <v>24</v>
      </c>
      <c r="P3074">
        <v>38</v>
      </c>
      <c r="Q3074">
        <v>34</v>
      </c>
      <c r="R3074">
        <v>36</v>
      </c>
    </row>
    <row r="3075" spans="1:18" x14ac:dyDescent="0.25">
      <c r="A3075" t="s">
        <v>3291</v>
      </c>
      <c r="B3075" t="s">
        <v>55</v>
      </c>
      <c r="C3075" t="s">
        <v>3270</v>
      </c>
      <c r="D3075" t="s">
        <v>3271</v>
      </c>
      <c r="E3075" t="s">
        <v>78</v>
      </c>
      <c r="F3075" t="s">
        <v>252</v>
      </c>
      <c r="G3075">
        <v>6.9157999999999999</v>
      </c>
      <c r="H3075">
        <v>-75.673900000000003</v>
      </c>
      <c r="I3075" t="s">
        <v>3272</v>
      </c>
      <c r="J3075">
        <v>11</v>
      </c>
      <c r="M3075">
        <v>167</v>
      </c>
      <c r="N3075">
        <v>34</v>
      </c>
      <c r="O3075">
        <v>28</v>
      </c>
      <c r="P3075">
        <v>44</v>
      </c>
      <c r="Q3075">
        <v>31</v>
      </c>
      <c r="R3075">
        <v>24</v>
      </c>
    </row>
    <row r="3076" spans="1:18" x14ac:dyDescent="0.25">
      <c r="A3076" t="s">
        <v>3292</v>
      </c>
      <c r="B3076" t="s">
        <v>55</v>
      </c>
      <c r="C3076" t="s">
        <v>3270</v>
      </c>
      <c r="D3076" t="s">
        <v>3271</v>
      </c>
      <c r="E3076" t="s">
        <v>78</v>
      </c>
      <c r="F3076" t="s">
        <v>252</v>
      </c>
      <c r="G3076">
        <v>6.9157999999999999</v>
      </c>
      <c r="H3076">
        <v>-75.673900000000003</v>
      </c>
      <c r="I3076" t="s">
        <v>3272</v>
      </c>
      <c r="J3076">
        <v>11</v>
      </c>
      <c r="M3076">
        <v>164</v>
      </c>
      <c r="N3076">
        <v>34</v>
      </c>
      <c r="O3076">
        <v>26</v>
      </c>
      <c r="P3076">
        <v>34</v>
      </c>
      <c r="Q3076">
        <v>36</v>
      </c>
      <c r="R3076">
        <v>36</v>
      </c>
    </row>
    <row r="3077" spans="1:18" x14ac:dyDescent="0.25">
      <c r="A3077" t="s">
        <v>3293</v>
      </c>
      <c r="B3077" t="s">
        <v>55</v>
      </c>
      <c r="C3077" t="s">
        <v>3294</v>
      </c>
      <c r="D3077" t="s">
        <v>3295</v>
      </c>
      <c r="E3077" t="s">
        <v>78</v>
      </c>
      <c r="F3077" t="s">
        <v>252</v>
      </c>
      <c r="G3077">
        <v>6.6780999999999997</v>
      </c>
      <c r="H3077">
        <v>-75.811400000000006</v>
      </c>
      <c r="I3077" t="s">
        <v>3296</v>
      </c>
      <c r="J3077">
        <v>11</v>
      </c>
      <c r="M3077">
        <v>287</v>
      </c>
      <c r="N3077">
        <v>63</v>
      </c>
      <c r="O3077">
        <v>44</v>
      </c>
      <c r="P3077">
        <v>78</v>
      </c>
      <c r="Q3077">
        <v>38</v>
      </c>
      <c r="R3077">
        <v>76</v>
      </c>
    </row>
    <row r="3078" spans="1:18" x14ac:dyDescent="0.25">
      <c r="A3078" t="s">
        <v>3297</v>
      </c>
      <c r="B3078" t="s">
        <v>55</v>
      </c>
      <c r="C3078" t="s">
        <v>3294</v>
      </c>
      <c r="D3078" t="s">
        <v>3295</v>
      </c>
      <c r="E3078" t="s">
        <v>78</v>
      </c>
      <c r="F3078" t="s">
        <v>252</v>
      </c>
      <c r="G3078">
        <v>6.6780999999999997</v>
      </c>
      <c r="H3078">
        <v>-75.811400000000006</v>
      </c>
      <c r="I3078" t="s">
        <v>3296</v>
      </c>
      <c r="J3078">
        <v>11</v>
      </c>
      <c r="M3078">
        <v>246</v>
      </c>
      <c r="N3078">
        <v>59</v>
      </c>
      <c r="O3078">
        <v>46</v>
      </c>
      <c r="P3078">
        <v>44</v>
      </c>
      <c r="Q3078">
        <v>41</v>
      </c>
      <c r="R3078">
        <v>71</v>
      </c>
    </row>
    <row r="3079" spans="1:18" x14ac:dyDescent="0.25">
      <c r="A3079" t="s">
        <v>3298</v>
      </c>
      <c r="B3079" t="s">
        <v>55</v>
      </c>
      <c r="C3079" t="s">
        <v>3294</v>
      </c>
      <c r="D3079" t="s">
        <v>3295</v>
      </c>
      <c r="E3079" t="s">
        <v>78</v>
      </c>
      <c r="F3079" t="s">
        <v>252</v>
      </c>
      <c r="G3079">
        <v>6.6780999999999997</v>
      </c>
      <c r="H3079">
        <v>-75.811400000000006</v>
      </c>
      <c r="I3079" t="s">
        <v>3296</v>
      </c>
      <c r="J3079">
        <v>11</v>
      </c>
      <c r="M3079">
        <v>222</v>
      </c>
      <c r="N3079">
        <v>49</v>
      </c>
      <c r="O3079">
        <v>48</v>
      </c>
      <c r="P3079">
        <v>52</v>
      </c>
      <c r="Q3079">
        <v>28</v>
      </c>
      <c r="R3079">
        <v>49</v>
      </c>
    </row>
    <row r="3080" spans="1:18" x14ac:dyDescent="0.25">
      <c r="A3080" t="s">
        <v>3299</v>
      </c>
      <c r="B3080" t="s">
        <v>55</v>
      </c>
      <c r="C3080" t="s">
        <v>3294</v>
      </c>
      <c r="D3080" t="s">
        <v>3295</v>
      </c>
      <c r="E3080" t="s">
        <v>78</v>
      </c>
      <c r="F3080" t="s">
        <v>252</v>
      </c>
      <c r="G3080">
        <v>6.6780999999999997</v>
      </c>
      <c r="H3080">
        <v>-75.811400000000006</v>
      </c>
      <c r="I3080" t="s">
        <v>3296</v>
      </c>
      <c r="J3080">
        <v>11</v>
      </c>
      <c r="M3080">
        <v>220</v>
      </c>
      <c r="N3080">
        <v>54</v>
      </c>
      <c r="O3080">
        <v>28</v>
      </c>
      <c r="P3080">
        <v>54</v>
      </c>
      <c r="Q3080">
        <v>41</v>
      </c>
      <c r="R3080">
        <v>42</v>
      </c>
    </row>
    <row r="3081" spans="1:18" x14ac:dyDescent="0.25">
      <c r="A3081" t="s">
        <v>3300</v>
      </c>
      <c r="B3081" t="s">
        <v>55</v>
      </c>
      <c r="C3081" t="s">
        <v>3294</v>
      </c>
      <c r="D3081" t="s">
        <v>3295</v>
      </c>
      <c r="E3081" t="s">
        <v>78</v>
      </c>
      <c r="F3081" t="s">
        <v>252</v>
      </c>
      <c r="G3081">
        <v>6.6780999999999997</v>
      </c>
      <c r="H3081">
        <v>-75.811400000000006</v>
      </c>
      <c r="I3081" t="s">
        <v>3296</v>
      </c>
      <c r="J3081">
        <v>11</v>
      </c>
      <c r="M3081">
        <v>218</v>
      </c>
      <c r="N3081">
        <v>54</v>
      </c>
      <c r="O3081">
        <v>32</v>
      </c>
      <c r="P3081">
        <v>48</v>
      </c>
      <c r="Q3081">
        <v>36</v>
      </c>
      <c r="R3081">
        <v>56</v>
      </c>
    </row>
    <row r="3082" spans="1:18" x14ac:dyDescent="0.25">
      <c r="A3082" t="s">
        <v>3301</v>
      </c>
      <c r="B3082" t="s">
        <v>55</v>
      </c>
      <c r="C3082" t="s">
        <v>3294</v>
      </c>
      <c r="D3082" t="s">
        <v>3295</v>
      </c>
      <c r="E3082" t="s">
        <v>78</v>
      </c>
      <c r="F3082" t="s">
        <v>252</v>
      </c>
      <c r="G3082">
        <v>6.6780999999999997</v>
      </c>
      <c r="H3082">
        <v>-75.811400000000006</v>
      </c>
      <c r="I3082" t="s">
        <v>3296</v>
      </c>
      <c r="J3082">
        <v>11</v>
      </c>
      <c r="M3082">
        <v>214</v>
      </c>
      <c r="N3082">
        <v>61</v>
      </c>
      <c r="O3082">
        <v>26</v>
      </c>
      <c r="P3082">
        <v>62</v>
      </c>
      <c r="Q3082">
        <v>16</v>
      </c>
      <c r="R3082">
        <v>64</v>
      </c>
    </row>
    <row r="3083" spans="1:18" x14ac:dyDescent="0.25">
      <c r="A3083" t="s">
        <v>3302</v>
      </c>
      <c r="B3083" t="s">
        <v>55</v>
      </c>
      <c r="C3083" t="s">
        <v>3294</v>
      </c>
      <c r="D3083" t="s">
        <v>3295</v>
      </c>
      <c r="E3083" t="s">
        <v>78</v>
      </c>
      <c r="F3083" t="s">
        <v>252</v>
      </c>
      <c r="G3083">
        <v>6.6780999999999997</v>
      </c>
      <c r="H3083">
        <v>-75.811400000000006</v>
      </c>
      <c r="I3083" t="s">
        <v>3296</v>
      </c>
      <c r="J3083">
        <v>11</v>
      </c>
      <c r="M3083">
        <v>205</v>
      </c>
      <c r="N3083">
        <v>54</v>
      </c>
      <c r="O3083">
        <v>30</v>
      </c>
      <c r="P3083">
        <v>48</v>
      </c>
      <c r="Q3083">
        <v>29</v>
      </c>
      <c r="R3083">
        <v>51</v>
      </c>
    </row>
    <row r="3084" spans="1:18" x14ac:dyDescent="0.25">
      <c r="A3084" t="s">
        <v>3303</v>
      </c>
      <c r="B3084" t="s">
        <v>55</v>
      </c>
      <c r="C3084" t="s">
        <v>3294</v>
      </c>
      <c r="D3084" t="s">
        <v>3295</v>
      </c>
      <c r="E3084" t="s">
        <v>78</v>
      </c>
      <c r="F3084" t="s">
        <v>252</v>
      </c>
      <c r="G3084">
        <v>6.6780999999999997</v>
      </c>
      <c r="H3084">
        <v>-75.811400000000006</v>
      </c>
      <c r="I3084" t="s">
        <v>3296</v>
      </c>
      <c r="J3084">
        <v>11</v>
      </c>
      <c r="M3084">
        <v>193</v>
      </c>
      <c r="N3084">
        <v>49</v>
      </c>
      <c r="O3084">
        <v>40</v>
      </c>
      <c r="P3084">
        <v>50</v>
      </c>
      <c r="Q3084">
        <v>17</v>
      </c>
      <c r="R3084">
        <v>35</v>
      </c>
    </row>
    <row r="3085" spans="1:18" x14ac:dyDescent="0.25">
      <c r="A3085" t="s">
        <v>3304</v>
      </c>
      <c r="B3085" t="s">
        <v>55</v>
      </c>
      <c r="C3085" t="s">
        <v>3294</v>
      </c>
      <c r="D3085" t="s">
        <v>3295</v>
      </c>
      <c r="E3085" t="s">
        <v>78</v>
      </c>
      <c r="F3085" t="s">
        <v>252</v>
      </c>
      <c r="G3085">
        <v>6.6780999999999997</v>
      </c>
      <c r="H3085">
        <v>-75.811400000000006</v>
      </c>
      <c r="I3085" t="s">
        <v>3296</v>
      </c>
      <c r="J3085">
        <v>11</v>
      </c>
      <c r="M3085">
        <v>191</v>
      </c>
      <c r="N3085">
        <v>44</v>
      </c>
      <c r="O3085">
        <v>36</v>
      </c>
      <c r="P3085">
        <v>40</v>
      </c>
      <c r="Q3085">
        <v>31</v>
      </c>
      <c r="R3085">
        <v>44</v>
      </c>
    </row>
    <row r="3086" spans="1:18" x14ac:dyDescent="0.25">
      <c r="A3086" t="s">
        <v>3305</v>
      </c>
      <c r="B3086" t="s">
        <v>55</v>
      </c>
      <c r="C3086" t="s">
        <v>3294</v>
      </c>
      <c r="D3086" t="s">
        <v>3295</v>
      </c>
      <c r="E3086" t="s">
        <v>78</v>
      </c>
      <c r="F3086" t="s">
        <v>252</v>
      </c>
      <c r="G3086">
        <v>6.6780999999999997</v>
      </c>
      <c r="H3086">
        <v>-75.811400000000006</v>
      </c>
      <c r="I3086" t="s">
        <v>3296</v>
      </c>
      <c r="J3086">
        <v>11</v>
      </c>
      <c r="M3086">
        <v>186</v>
      </c>
      <c r="N3086">
        <v>49</v>
      </c>
      <c r="O3086">
        <v>30</v>
      </c>
      <c r="P3086">
        <v>42</v>
      </c>
      <c r="Q3086">
        <v>22</v>
      </c>
      <c r="R3086">
        <v>55</v>
      </c>
    </row>
    <row r="3087" spans="1:18" x14ac:dyDescent="0.25">
      <c r="A3087" t="s">
        <v>3306</v>
      </c>
      <c r="B3087" t="s">
        <v>55</v>
      </c>
      <c r="C3087" t="s">
        <v>3294</v>
      </c>
      <c r="D3087" t="s">
        <v>3295</v>
      </c>
      <c r="E3087" t="s">
        <v>78</v>
      </c>
      <c r="F3087" t="s">
        <v>252</v>
      </c>
      <c r="G3087">
        <v>6.6780999999999997</v>
      </c>
      <c r="H3087">
        <v>-75.811400000000006</v>
      </c>
      <c r="I3087" t="s">
        <v>3296</v>
      </c>
      <c r="J3087">
        <v>11</v>
      </c>
      <c r="M3087">
        <v>185</v>
      </c>
      <c r="N3087">
        <v>37</v>
      </c>
      <c r="O3087">
        <v>30</v>
      </c>
      <c r="P3087">
        <v>48</v>
      </c>
      <c r="Q3087">
        <v>33</v>
      </c>
      <c r="R3087">
        <v>40</v>
      </c>
    </row>
    <row r="3088" spans="1:18" x14ac:dyDescent="0.25">
      <c r="A3088" t="s">
        <v>3307</v>
      </c>
      <c r="B3088" t="s">
        <v>55</v>
      </c>
      <c r="C3088" t="s">
        <v>3294</v>
      </c>
      <c r="D3088" t="s">
        <v>3295</v>
      </c>
      <c r="E3088" t="s">
        <v>78</v>
      </c>
      <c r="F3088" t="s">
        <v>252</v>
      </c>
      <c r="G3088">
        <v>6.6780999999999997</v>
      </c>
      <c r="H3088">
        <v>-75.811400000000006</v>
      </c>
      <c r="I3088" t="s">
        <v>3296</v>
      </c>
      <c r="J3088">
        <v>11</v>
      </c>
      <c r="M3088">
        <v>185</v>
      </c>
      <c r="N3088">
        <v>46</v>
      </c>
      <c r="O3088">
        <v>30</v>
      </c>
      <c r="P3088">
        <v>42</v>
      </c>
      <c r="Q3088">
        <v>31</v>
      </c>
      <c r="R3088">
        <v>33</v>
      </c>
    </row>
    <row r="3089" spans="1:18" x14ac:dyDescent="0.25">
      <c r="A3089" t="s">
        <v>3308</v>
      </c>
      <c r="B3089" t="s">
        <v>55</v>
      </c>
      <c r="C3089" t="s">
        <v>3294</v>
      </c>
      <c r="D3089" t="s">
        <v>3295</v>
      </c>
      <c r="E3089" t="s">
        <v>78</v>
      </c>
      <c r="F3089" t="s">
        <v>252</v>
      </c>
      <c r="G3089">
        <v>6.6780999999999997</v>
      </c>
      <c r="H3089">
        <v>-75.811400000000006</v>
      </c>
      <c r="I3089" t="s">
        <v>3296</v>
      </c>
      <c r="J3089">
        <v>11</v>
      </c>
      <c r="M3089">
        <v>185</v>
      </c>
      <c r="N3089">
        <v>29</v>
      </c>
      <c r="O3089">
        <v>36</v>
      </c>
      <c r="P3089">
        <v>44</v>
      </c>
      <c r="Q3089">
        <v>36</v>
      </c>
      <c r="R3089">
        <v>44</v>
      </c>
    </row>
    <row r="3090" spans="1:18" x14ac:dyDescent="0.25">
      <c r="A3090" t="s">
        <v>3309</v>
      </c>
      <c r="B3090" t="s">
        <v>55</v>
      </c>
      <c r="C3090" t="s">
        <v>3294</v>
      </c>
      <c r="D3090" t="s">
        <v>3295</v>
      </c>
      <c r="E3090" t="s">
        <v>78</v>
      </c>
      <c r="F3090" t="s">
        <v>252</v>
      </c>
      <c r="G3090">
        <v>6.6780999999999997</v>
      </c>
      <c r="H3090">
        <v>-75.811400000000006</v>
      </c>
      <c r="I3090" t="s">
        <v>3296</v>
      </c>
      <c r="J3090">
        <v>11</v>
      </c>
      <c r="M3090">
        <v>183</v>
      </c>
      <c r="N3090">
        <v>41</v>
      </c>
      <c r="O3090">
        <v>28</v>
      </c>
      <c r="P3090">
        <v>42</v>
      </c>
      <c r="Q3090">
        <v>31</v>
      </c>
      <c r="R3090">
        <v>47</v>
      </c>
    </row>
    <row r="3091" spans="1:18" x14ac:dyDescent="0.25">
      <c r="A3091" t="s">
        <v>3310</v>
      </c>
      <c r="B3091" t="s">
        <v>55</v>
      </c>
      <c r="C3091" t="s">
        <v>3294</v>
      </c>
      <c r="D3091" t="s">
        <v>3295</v>
      </c>
      <c r="E3091" t="s">
        <v>78</v>
      </c>
      <c r="F3091" t="s">
        <v>252</v>
      </c>
      <c r="G3091">
        <v>6.6780999999999997</v>
      </c>
      <c r="H3091">
        <v>-75.811400000000006</v>
      </c>
      <c r="I3091" t="s">
        <v>3296</v>
      </c>
      <c r="J3091">
        <v>11</v>
      </c>
      <c r="M3091">
        <v>176</v>
      </c>
      <c r="N3091">
        <v>54</v>
      </c>
      <c r="O3091">
        <v>26</v>
      </c>
      <c r="P3091">
        <v>30</v>
      </c>
      <c r="Q3091">
        <v>26</v>
      </c>
      <c r="R3091">
        <v>51</v>
      </c>
    </row>
    <row r="3092" spans="1:18" x14ac:dyDescent="0.25">
      <c r="A3092" t="s">
        <v>3311</v>
      </c>
      <c r="B3092" t="s">
        <v>55</v>
      </c>
      <c r="C3092" t="s">
        <v>3294</v>
      </c>
      <c r="D3092" t="s">
        <v>3295</v>
      </c>
      <c r="E3092" t="s">
        <v>78</v>
      </c>
      <c r="F3092" t="s">
        <v>252</v>
      </c>
      <c r="G3092">
        <v>6.6780999999999997</v>
      </c>
      <c r="H3092">
        <v>-75.811400000000006</v>
      </c>
      <c r="I3092" t="s">
        <v>3296</v>
      </c>
      <c r="J3092">
        <v>11</v>
      </c>
      <c r="M3092">
        <v>173</v>
      </c>
      <c r="N3092">
        <v>39</v>
      </c>
      <c r="O3092">
        <v>36</v>
      </c>
      <c r="P3092">
        <v>38</v>
      </c>
      <c r="Q3092">
        <v>26</v>
      </c>
      <c r="R3092">
        <v>33</v>
      </c>
    </row>
    <row r="3093" spans="1:18" x14ac:dyDescent="0.25">
      <c r="A3093" t="s">
        <v>3312</v>
      </c>
      <c r="B3093" t="s">
        <v>55</v>
      </c>
      <c r="C3093" t="s">
        <v>3294</v>
      </c>
      <c r="D3093" t="s">
        <v>3295</v>
      </c>
      <c r="E3093" t="s">
        <v>78</v>
      </c>
      <c r="F3093" t="s">
        <v>252</v>
      </c>
      <c r="G3093">
        <v>6.6780999999999997</v>
      </c>
      <c r="H3093">
        <v>-75.811400000000006</v>
      </c>
      <c r="I3093" t="s">
        <v>3296</v>
      </c>
      <c r="J3093">
        <v>11</v>
      </c>
      <c r="M3093">
        <v>166</v>
      </c>
      <c r="N3093">
        <v>39</v>
      </c>
      <c r="O3093">
        <v>32</v>
      </c>
      <c r="P3093">
        <v>42</v>
      </c>
      <c r="Q3093">
        <v>17</v>
      </c>
      <c r="R3093">
        <v>40</v>
      </c>
    </row>
    <row r="3094" spans="1:18" x14ac:dyDescent="0.25">
      <c r="A3094" t="s">
        <v>3313</v>
      </c>
      <c r="B3094" t="s">
        <v>55</v>
      </c>
      <c r="C3094" t="s">
        <v>3294</v>
      </c>
      <c r="D3094" t="s">
        <v>3295</v>
      </c>
      <c r="E3094" t="s">
        <v>78</v>
      </c>
      <c r="F3094" t="s">
        <v>252</v>
      </c>
      <c r="G3094">
        <v>6.6780999999999997</v>
      </c>
      <c r="H3094">
        <v>-75.811400000000006</v>
      </c>
      <c r="I3094" t="s">
        <v>3296</v>
      </c>
      <c r="J3094">
        <v>11</v>
      </c>
      <c r="M3094">
        <v>165</v>
      </c>
      <c r="N3094">
        <v>37</v>
      </c>
      <c r="O3094">
        <v>20</v>
      </c>
      <c r="P3094">
        <v>40</v>
      </c>
      <c r="Q3094">
        <v>31</v>
      </c>
      <c r="R3094">
        <v>47</v>
      </c>
    </row>
    <row r="3095" spans="1:18" x14ac:dyDescent="0.25">
      <c r="A3095" t="s">
        <v>3314</v>
      </c>
      <c r="B3095" t="s">
        <v>55</v>
      </c>
      <c r="C3095" t="s">
        <v>3294</v>
      </c>
      <c r="D3095" t="s">
        <v>3295</v>
      </c>
      <c r="E3095" t="s">
        <v>78</v>
      </c>
      <c r="F3095" t="s">
        <v>252</v>
      </c>
      <c r="G3095">
        <v>6.6780999999999997</v>
      </c>
      <c r="H3095">
        <v>-75.811400000000006</v>
      </c>
      <c r="I3095" t="s">
        <v>3296</v>
      </c>
      <c r="J3095">
        <v>11</v>
      </c>
      <c r="M3095">
        <v>161</v>
      </c>
      <c r="N3095">
        <v>54</v>
      </c>
      <c r="O3095">
        <v>18</v>
      </c>
      <c r="P3095">
        <v>34</v>
      </c>
      <c r="Q3095">
        <v>22</v>
      </c>
      <c r="R3095">
        <v>35</v>
      </c>
    </row>
    <row r="3096" spans="1:18" x14ac:dyDescent="0.25">
      <c r="A3096" t="s">
        <v>3315</v>
      </c>
      <c r="B3096" t="s">
        <v>55</v>
      </c>
      <c r="C3096" t="s">
        <v>3294</v>
      </c>
      <c r="D3096" t="s">
        <v>3295</v>
      </c>
      <c r="E3096" t="s">
        <v>78</v>
      </c>
      <c r="F3096" t="s">
        <v>252</v>
      </c>
      <c r="G3096">
        <v>6.6780999999999997</v>
      </c>
      <c r="H3096">
        <v>-75.811400000000006</v>
      </c>
      <c r="I3096" t="s">
        <v>3296</v>
      </c>
      <c r="J3096">
        <v>11</v>
      </c>
      <c r="M3096">
        <v>154</v>
      </c>
      <c r="N3096">
        <v>44</v>
      </c>
      <c r="O3096">
        <v>22</v>
      </c>
      <c r="P3096">
        <v>32</v>
      </c>
      <c r="Q3096">
        <v>31</v>
      </c>
      <c r="R3096">
        <v>15</v>
      </c>
    </row>
    <row r="3097" spans="1:18" x14ac:dyDescent="0.25">
      <c r="A3097" t="s">
        <v>3316</v>
      </c>
      <c r="B3097" t="s">
        <v>55</v>
      </c>
      <c r="C3097" t="s">
        <v>3294</v>
      </c>
      <c r="D3097" t="s">
        <v>3295</v>
      </c>
      <c r="E3097" t="s">
        <v>78</v>
      </c>
      <c r="F3097" t="s">
        <v>252</v>
      </c>
      <c r="G3097">
        <v>6.6780999999999997</v>
      </c>
      <c r="H3097">
        <v>-75.811400000000006</v>
      </c>
      <c r="I3097" t="s">
        <v>3296</v>
      </c>
      <c r="J3097">
        <v>11</v>
      </c>
      <c r="M3097">
        <v>153</v>
      </c>
      <c r="N3097">
        <v>32</v>
      </c>
      <c r="O3097">
        <v>30</v>
      </c>
      <c r="P3097">
        <v>32</v>
      </c>
      <c r="Q3097">
        <v>24</v>
      </c>
      <c r="R3097">
        <v>45</v>
      </c>
    </row>
    <row r="3098" spans="1:18" x14ac:dyDescent="0.25">
      <c r="A3098" t="s">
        <v>3317</v>
      </c>
      <c r="B3098" t="s">
        <v>55</v>
      </c>
      <c r="C3098" t="s">
        <v>3294</v>
      </c>
      <c r="D3098" t="s">
        <v>3295</v>
      </c>
      <c r="E3098" t="s">
        <v>78</v>
      </c>
      <c r="F3098" t="s">
        <v>252</v>
      </c>
      <c r="G3098">
        <v>6.6780999999999997</v>
      </c>
      <c r="H3098">
        <v>-75.811400000000006</v>
      </c>
      <c r="I3098" t="s">
        <v>3296</v>
      </c>
      <c r="J3098">
        <v>11</v>
      </c>
      <c r="M3098">
        <v>151</v>
      </c>
      <c r="N3098">
        <v>54</v>
      </c>
      <c r="O3098">
        <v>18</v>
      </c>
      <c r="P3098">
        <v>26</v>
      </c>
      <c r="Q3098">
        <v>21</v>
      </c>
      <c r="R3098">
        <v>38</v>
      </c>
    </row>
    <row r="3099" spans="1:18" x14ac:dyDescent="0.25">
      <c r="A3099" t="s">
        <v>3318</v>
      </c>
      <c r="B3099" t="s">
        <v>55</v>
      </c>
      <c r="C3099" t="s">
        <v>3294</v>
      </c>
      <c r="D3099" t="s">
        <v>3295</v>
      </c>
      <c r="E3099" t="s">
        <v>78</v>
      </c>
      <c r="F3099" t="s">
        <v>252</v>
      </c>
      <c r="G3099">
        <v>6.6780999999999997</v>
      </c>
      <c r="H3099">
        <v>-75.811400000000006</v>
      </c>
      <c r="I3099" t="s">
        <v>3296</v>
      </c>
      <c r="J3099">
        <v>11</v>
      </c>
      <c r="M3099">
        <v>150</v>
      </c>
      <c r="N3099">
        <v>32</v>
      </c>
      <c r="O3099">
        <v>38</v>
      </c>
      <c r="P3099">
        <v>22</v>
      </c>
      <c r="Q3099">
        <v>28</v>
      </c>
      <c r="R3099">
        <v>33</v>
      </c>
    </row>
    <row r="3100" spans="1:18" x14ac:dyDescent="0.25">
      <c r="A3100" t="s">
        <v>3319</v>
      </c>
      <c r="B3100" t="s">
        <v>55</v>
      </c>
      <c r="C3100" t="s">
        <v>3294</v>
      </c>
      <c r="D3100" t="s">
        <v>3295</v>
      </c>
      <c r="E3100" t="s">
        <v>78</v>
      </c>
      <c r="F3100" t="s">
        <v>252</v>
      </c>
      <c r="G3100">
        <v>6.6780999999999997</v>
      </c>
      <c r="H3100">
        <v>-75.811400000000006</v>
      </c>
      <c r="I3100" t="s">
        <v>3296</v>
      </c>
      <c r="J3100">
        <v>11</v>
      </c>
      <c r="M3100">
        <v>148</v>
      </c>
      <c r="N3100">
        <v>27</v>
      </c>
      <c r="O3100">
        <v>34</v>
      </c>
      <c r="P3100">
        <v>32</v>
      </c>
      <c r="Q3100">
        <v>28</v>
      </c>
      <c r="R3100">
        <v>24</v>
      </c>
    </row>
    <row r="3101" spans="1:18" x14ac:dyDescent="0.25">
      <c r="A3101" t="s">
        <v>3320</v>
      </c>
      <c r="B3101" t="s">
        <v>55</v>
      </c>
      <c r="C3101" t="s">
        <v>3294</v>
      </c>
      <c r="D3101" t="s">
        <v>3295</v>
      </c>
      <c r="E3101" t="s">
        <v>78</v>
      </c>
      <c r="F3101" t="s">
        <v>252</v>
      </c>
      <c r="G3101">
        <v>6.6780999999999997</v>
      </c>
      <c r="H3101">
        <v>-75.811400000000006</v>
      </c>
      <c r="I3101" t="s">
        <v>3296</v>
      </c>
      <c r="J3101">
        <v>11</v>
      </c>
      <c r="M3101">
        <v>147</v>
      </c>
      <c r="N3101">
        <v>37</v>
      </c>
      <c r="O3101">
        <v>26</v>
      </c>
      <c r="P3101">
        <v>24</v>
      </c>
      <c r="Q3101">
        <v>28</v>
      </c>
      <c r="R3101">
        <v>40</v>
      </c>
    </row>
    <row r="3102" spans="1:18" x14ac:dyDescent="0.25">
      <c r="A3102" t="s">
        <v>3321</v>
      </c>
      <c r="B3102" t="s">
        <v>55</v>
      </c>
      <c r="C3102" t="s">
        <v>3294</v>
      </c>
      <c r="D3102" t="s">
        <v>3295</v>
      </c>
      <c r="E3102" t="s">
        <v>78</v>
      </c>
      <c r="F3102" t="s">
        <v>252</v>
      </c>
      <c r="G3102">
        <v>6.6780999999999997</v>
      </c>
      <c r="H3102">
        <v>-75.811400000000006</v>
      </c>
      <c r="I3102" t="s">
        <v>3296</v>
      </c>
      <c r="J3102">
        <v>11</v>
      </c>
      <c r="M3102">
        <v>147</v>
      </c>
      <c r="N3102">
        <v>39</v>
      </c>
      <c r="O3102">
        <v>32</v>
      </c>
      <c r="P3102">
        <v>20</v>
      </c>
      <c r="Q3102">
        <v>28</v>
      </c>
      <c r="R3102">
        <v>25</v>
      </c>
    </row>
    <row r="3103" spans="1:18" x14ac:dyDescent="0.25">
      <c r="A3103" t="s">
        <v>3322</v>
      </c>
      <c r="B3103" t="s">
        <v>55</v>
      </c>
      <c r="C3103" t="s">
        <v>3294</v>
      </c>
      <c r="D3103" t="s">
        <v>3295</v>
      </c>
      <c r="E3103" t="s">
        <v>78</v>
      </c>
      <c r="F3103" t="s">
        <v>252</v>
      </c>
      <c r="G3103">
        <v>6.6780999999999997</v>
      </c>
      <c r="H3103">
        <v>-75.811400000000006</v>
      </c>
      <c r="I3103" t="s">
        <v>3296</v>
      </c>
      <c r="J3103">
        <v>11</v>
      </c>
      <c r="M3103">
        <v>145</v>
      </c>
      <c r="N3103">
        <v>39</v>
      </c>
      <c r="O3103">
        <v>20</v>
      </c>
      <c r="P3103">
        <v>40</v>
      </c>
      <c r="Q3103">
        <v>17</v>
      </c>
      <c r="R3103">
        <v>27</v>
      </c>
    </row>
    <row r="3104" spans="1:18" x14ac:dyDescent="0.25">
      <c r="A3104" t="s">
        <v>3323</v>
      </c>
      <c r="B3104" t="s">
        <v>55</v>
      </c>
      <c r="C3104" t="s">
        <v>3294</v>
      </c>
      <c r="D3104" t="s">
        <v>3295</v>
      </c>
      <c r="E3104" t="s">
        <v>78</v>
      </c>
      <c r="F3104" t="s">
        <v>252</v>
      </c>
      <c r="G3104">
        <v>6.6780999999999997</v>
      </c>
      <c r="H3104">
        <v>-75.811400000000006</v>
      </c>
      <c r="I3104" t="s">
        <v>3296</v>
      </c>
      <c r="J3104">
        <v>11</v>
      </c>
      <c r="M3104">
        <v>143</v>
      </c>
      <c r="N3104">
        <v>32</v>
      </c>
      <c r="O3104">
        <v>26</v>
      </c>
      <c r="P3104">
        <v>30</v>
      </c>
      <c r="Q3104">
        <v>21</v>
      </c>
      <c r="R3104">
        <v>45</v>
      </c>
    </row>
    <row r="3105" spans="1:18" x14ac:dyDescent="0.25">
      <c r="A3105" t="s">
        <v>3324</v>
      </c>
      <c r="B3105" t="s">
        <v>55</v>
      </c>
      <c r="C3105" t="s">
        <v>3294</v>
      </c>
      <c r="D3105" t="s">
        <v>3295</v>
      </c>
      <c r="E3105" t="s">
        <v>78</v>
      </c>
      <c r="F3105" t="s">
        <v>252</v>
      </c>
      <c r="G3105">
        <v>6.6780999999999997</v>
      </c>
      <c r="H3105">
        <v>-75.811400000000006</v>
      </c>
      <c r="I3105" t="s">
        <v>3296</v>
      </c>
      <c r="J3105">
        <v>11</v>
      </c>
      <c r="M3105">
        <v>140</v>
      </c>
      <c r="N3105">
        <v>32</v>
      </c>
      <c r="O3105">
        <v>28</v>
      </c>
      <c r="P3105">
        <v>30</v>
      </c>
      <c r="Q3105">
        <v>22</v>
      </c>
      <c r="R3105">
        <v>27</v>
      </c>
    </row>
    <row r="3106" spans="1:18" x14ac:dyDescent="0.25">
      <c r="A3106" t="s">
        <v>3325</v>
      </c>
      <c r="B3106" t="s">
        <v>55</v>
      </c>
      <c r="C3106" t="s">
        <v>3294</v>
      </c>
      <c r="D3106" t="s">
        <v>3295</v>
      </c>
      <c r="E3106" t="s">
        <v>78</v>
      </c>
      <c r="F3106" t="s">
        <v>252</v>
      </c>
      <c r="G3106">
        <v>6.6780999999999997</v>
      </c>
      <c r="H3106">
        <v>-75.811400000000006</v>
      </c>
      <c r="I3106" t="s">
        <v>3296</v>
      </c>
      <c r="J3106">
        <v>11</v>
      </c>
      <c r="M3106">
        <v>137</v>
      </c>
      <c r="N3106">
        <v>32</v>
      </c>
      <c r="O3106">
        <v>26</v>
      </c>
      <c r="P3106">
        <v>26</v>
      </c>
      <c r="Q3106">
        <v>28</v>
      </c>
      <c r="R3106">
        <v>22</v>
      </c>
    </row>
    <row r="3107" spans="1:18" x14ac:dyDescent="0.25">
      <c r="A3107" t="s">
        <v>3326</v>
      </c>
      <c r="B3107" t="s">
        <v>55</v>
      </c>
      <c r="C3107" t="s">
        <v>3294</v>
      </c>
      <c r="D3107" t="s">
        <v>3295</v>
      </c>
      <c r="E3107" t="s">
        <v>78</v>
      </c>
      <c r="F3107" t="s">
        <v>252</v>
      </c>
      <c r="G3107">
        <v>6.6780999999999997</v>
      </c>
      <c r="H3107">
        <v>-75.811400000000006</v>
      </c>
      <c r="I3107" t="s">
        <v>3296</v>
      </c>
      <c r="J3107">
        <v>11</v>
      </c>
      <c r="M3107">
        <v>135</v>
      </c>
      <c r="N3107">
        <v>27</v>
      </c>
      <c r="O3107">
        <v>32</v>
      </c>
      <c r="P3107">
        <v>26</v>
      </c>
      <c r="Q3107">
        <v>19</v>
      </c>
      <c r="R3107">
        <v>40</v>
      </c>
    </row>
    <row r="3108" spans="1:18" x14ac:dyDescent="0.25">
      <c r="A3108" t="s">
        <v>3327</v>
      </c>
      <c r="B3108" t="s">
        <v>55</v>
      </c>
      <c r="C3108" t="s">
        <v>3294</v>
      </c>
      <c r="D3108" t="s">
        <v>3295</v>
      </c>
      <c r="E3108" t="s">
        <v>78</v>
      </c>
      <c r="F3108" t="s">
        <v>252</v>
      </c>
      <c r="G3108">
        <v>6.6780999999999997</v>
      </c>
      <c r="H3108">
        <v>-75.811400000000006</v>
      </c>
      <c r="I3108" t="s">
        <v>3296</v>
      </c>
      <c r="J3108">
        <v>11</v>
      </c>
      <c r="M3108">
        <v>132</v>
      </c>
      <c r="N3108">
        <v>37</v>
      </c>
      <c r="O3108">
        <v>16</v>
      </c>
      <c r="P3108">
        <v>26</v>
      </c>
      <c r="Q3108">
        <v>26</v>
      </c>
      <c r="R3108">
        <v>29</v>
      </c>
    </row>
    <row r="3109" spans="1:18" x14ac:dyDescent="0.25">
      <c r="A3109" t="s">
        <v>3328</v>
      </c>
      <c r="B3109" t="s">
        <v>55</v>
      </c>
      <c r="C3109" t="s">
        <v>3294</v>
      </c>
      <c r="D3109" t="s">
        <v>3295</v>
      </c>
      <c r="E3109" t="s">
        <v>78</v>
      </c>
      <c r="F3109" t="s">
        <v>252</v>
      </c>
      <c r="G3109">
        <v>6.6780999999999997</v>
      </c>
      <c r="H3109">
        <v>-75.811400000000006</v>
      </c>
      <c r="I3109" t="s">
        <v>3296</v>
      </c>
      <c r="J3109">
        <v>11</v>
      </c>
      <c r="M3109">
        <v>126</v>
      </c>
      <c r="N3109">
        <v>27</v>
      </c>
      <c r="O3109">
        <v>20</v>
      </c>
      <c r="P3109">
        <v>26</v>
      </c>
      <c r="Q3109">
        <v>29</v>
      </c>
      <c r="R3109">
        <v>22</v>
      </c>
    </row>
    <row r="3110" spans="1:18" x14ac:dyDescent="0.25">
      <c r="A3110" t="s">
        <v>3329</v>
      </c>
      <c r="B3110" t="s">
        <v>55</v>
      </c>
      <c r="C3110" t="s">
        <v>3294</v>
      </c>
      <c r="D3110" t="s">
        <v>3295</v>
      </c>
      <c r="E3110" t="s">
        <v>78</v>
      </c>
      <c r="F3110" t="s">
        <v>252</v>
      </c>
      <c r="G3110">
        <v>6.6780999999999997</v>
      </c>
      <c r="H3110">
        <v>-75.811400000000006</v>
      </c>
      <c r="I3110" t="s">
        <v>3296</v>
      </c>
      <c r="J3110">
        <v>11</v>
      </c>
      <c r="M3110">
        <v>93</v>
      </c>
      <c r="N3110">
        <v>10</v>
      </c>
      <c r="O3110">
        <v>20</v>
      </c>
      <c r="P3110">
        <v>22</v>
      </c>
      <c r="Q3110">
        <v>19</v>
      </c>
      <c r="R3110">
        <v>31</v>
      </c>
    </row>
    <row r="3111" spans="1:18" x14ac:dyDescent="0.25">
      <c r="A3111" t="s">
        <v>3330</v>
      </c>
      <c r="B3111" t="s">
        <v>55</v>
      </c>
      <c r="C3111" t="s">
        <v>3331</v>
      </c>
      <c r="D3111" t="s">
        <v>3332</v>
      </c>
      <c r="E3111" t="s">
        <v>78</v>
      </c>
      <c r="F3111" t="s">
        <v>252</v>
      </c>
      <c r="G3111">
        <v>6.1214000000000004</v>
      </c>
      <c r="H3111">
        <v>-75.715900000000005</v>
      </c>
      <c r="I3111" t="s">
        <v>170</v>
      </c>
      <c r="J3111">
        <v>11</v>
      </c>
      <c r="M3111">
        <v>195</v>
      </c>
      <c r="N3111">
        <v>29</v>
      </c>
      <c r="O3111">
        <v>36</v>
      </c>
      <c r="P3111">
        <v>58</v>
      </c>
      <c r="Q3111">
        <v>26</v>
      </c>
      <c r="R3111">
        <v>60</v>
      </c>
    </row>
    <row r="3112" spans="1:18" x14ac:dyDescent="0.25">
      <c r="A3112" t="s">
        <v>3333</v>
      </c>
      <c r="B3112" t="s">
        <v>55</v>
      </c>
      <c r="C3112" t="s">
        <v>3331</v>
      </c>
      <c r="D3112" t="s">
        <v>3332</v>
      </c>
      <c r="E3112" t="s">
        <v>78</v>
      </c>
      <c r="F3112" t="s">
        <v>252</v>
      </c>
      <c r="G3112">
        <v>6.1214000000000004</v>
      </c>
      <c r="H3112">
        <v>-75.715900000000005</v>
      </c>
      <c r="I3112" t="s">
        <v>170</v>
      </c>
      <c r="J3112">
        <v>11</v>
      </c>
      <c r="M3112">
        <v>190</v>
      </c>
      <c r="N3112">
        <v>49</v>
      </c>
      <c r="O3112">
        <v>26</v>
      </c>
      <c r="P3112">
        <v>44</v>
      </c>
      <c r="Q3112">
        <v>31</v>
      </c>
      <c r="R3112">
        <v>44</v>
      </c>
    </row>
    <row r="3113" spans="1:18" x14ac:dyDescent="0.25">
      <c r="A3113" t="s">
        <v>3334</v>
      </c>
      <c r="B3113" t="s">
        <v>55</v>
      </c>
      <c r="C3113" t="s">
        <v>3331</v>
      </c>
      <c r="D3113" t="s">
        <v>3332</v>
      </c>
      <c r="E3113" t="s">
        <v>78</v>
      </c>
      <c r="F3113" t="s">
        <v>252</v>
      </c>
      <c r="G3113">
        <v>6.1214000000000004</v>
      </c>
      <c r="H3113">
        <v>-75.715900000000005</v>
      </c>
      <c r="I3113" t="s">
        <v>170</v>
      </c>
      <c r="J3113">
        <v>11</v>
      </c>
      <c r="M3113">
        <v>184</v>
      </c>
      <c r="N3113">
        <v>54</v>
      </c>
      <c r="O3113">
        <v>28</v>
      </c>
      <c r="P3113">
        <v>40</v>
      </c>
      <c r="Q3113">
        <v>21</v>
      </c>
      <c r="R3113">
        <v>51</v>
      </c>
    </row>
    <row r="3114" spans="1:18" x14ac:dyDescent="0.25">
      <c r="A3114" t="s">
        <v>3335</v>
      </c>
      <c r="B3114" t="s">
        <v>55</v>
      </c>
      <c r="C3114" t="s">
        <v>3331</v>
      </c>
      <c r="D3114" t="s">
        <v>3332</v>
      </c>
      <c r="E3114" t="s">
        <v>78</v>
      </c>
      <c r="F3114" t="s">
        <v>252</v>
      </c>
      <c r="G3114">
        <v>6.1214000000000004</v>
      </c>
      <c r="H3114">
        <v>-75.715900000000005</v>
      </c>
      <c r="I3114" t="s">
        <v>170</v>
      </c>
      <c r="J3114">
        <v>11</v>
      </c>
      <c r="M3114">
        <v>182</v>
      </c>
      <c r="N3114">
        <v>46</v>
      </c>
      <c r="O3114">
        <v>28</v>
      </c>
      <c r="P3114">
        <v>46</v>
      </c>
      <c r="Q3114">
        <v>21</v>
      </c>
      <c r="R3114">
        <v>49</v>
      </c>
    </row>
    <row r="3115" spans="1:18" x14ac:dyDescent="0.25">
      <c r="A3115" t="s">
        <v>3336</v>
      </c>
      <c r="B3115" t="s">
        <v>55</v>
      </c>
      <c r="C3115" t="s">
        <v>3331</v>
      </c>
      <c r="D3115" t="s">
        <v>3332</v>
      </c>
      <c r="E3115" t="s">
        <v>78</v>
      </c>
      <c r="F3115" t="s">
        <v>252</v>
      </c>
      <c r="G3115">
        <v>6.1214000000000004</v>
      </c>
      <c r="H3115">
        <v>-75.715900000000005</v>
      </c>
      <c r="I3115" t="s">
        <v>170</v>
      </c>
      <c r="J3115">
        <v>11</v>
      </c>
      <c r="M3115">
        <v>174</v>
      </c>
      <c r="N3115">
        <v>51</v>
      </c>
      <c r="O3115">
        <v>32</v>
      </c>
      <c r="P3115">
        <v>42</v>
      </c>
      <c r="Q3115">
        <v>12</v>
      </c>
      <c r="R3115">
        <v>42</v>
      </c>
    </row>
    <row r="3116" spans="1:18" x14ac:dyDescent="0.25">
      <c r="A3116" t="s">
        <v>3337</v>
      </c>
      <c r="B3116" t="s">
        <v>55</v>
      </c>
      <c r="C3116" t="s">
        <v>3331</v>
      </c>
      <c r="D3116" t="s">
        <v>3332</v>
      </c>
      <c r="E3116" t="s">
        <v>78</v>
      </c>
      <c r="F3116" t="s">
        <v>252</v>
      </c>
      <c r="G3116">
        <v>6.1214000000000004</v>
      </c>
      <c r="H3116">
        <v>-75.715900000000005</v>
      </c>
      <c r="I3116" t="s">
        <v>170</v>
      </c>
      <c r="J3116">
        <v>11</v>
      </c>
      <c r="M3116">
        <v>173</v>
      </c>
      <c r="N3116">
        <v>41</v>
      </c>
      <c r="O3116">
        <v>28</v>
      </c>
      <c r="P3116">
        <v>40</v>
      </c>
      <c r="Q3116">
        <v>28</v>
      </c>
      <c r="R3116">
        <v>38</v>
      </c>
    </row>
    <row r="3117" spans="1:18" x14ac:dyDescent="0.25">
      <c r="A3117" t="s">
        <v>3338</v>
      </c>
      <c r="B3117" t="s">
        <v>55</v>
      </c>
      <c r="C3117" t="s">
        <v>3331</v>
      </c>
      <c r="D3117" t="s">
        <v>3332</v>
      </c>
      <c r="E3117" t="s">
        <v>78</v>
      </c>
      <c r="F3117" t="s">
        <v>252</v>
      </c>
      <c r="G3117">
        <v>6.1214000000000004</v>
      </c>
      <c r="H3117">
        <v>-75.715900000000005</v>
      </c>
      <c r="I3117" t="s">
        <v>170</v>
      </c>
      <c r="J3117">
        <v>11</v>
      </c>
      <c r="M3117">
        <v>173</v>
      </c>
      <c r="N3117">
        <v>51</v>
      </c>
      <c r="O3117">
        <v>24</v>
      </c>
      <c r="P3117">
        <v>40</v>
      </c>
      <c r="Q3117">
        <v>24</v>
      </c>
      <c r="R3117">
        <v>31</v>
      </c>
    </row>
    <row r="3118" spans="1:18" x14ac:dyDescent="0.25">
      <c r="A3118" t="s">
        <v>3339</v>
      </c>
      <c r="B3118" t="s">
        <v>55</v>
      </c>
      <c r="C3118" t="s">
        <v>3331</v>
      </c>
      <c r="D3118" t="s">
        <v>3332</v>
      </c>
      <c r="E3118" t="s">
        <v>78</v>
      </c>
      <c r="F3118" t="s">
        <v>252</v>
      </c>
      <c r="G3118">
        <v>6.1214000000000004</v>
      </c>
      <c r="H3118">
        <v>-75.715900000000005</v>
      </c>
      <c r="I3118" t="s">
        <v>170</v>
      </c>
      <c r="J3118">
        <v>11</v>
      </c>
      <c r="M3118">
        <v>172</v>
      </c>
      <c r="N3118">
        <v>51</v>
      </c>
      <c r="O3118">
        <v>24</v>
      </c>
      <c r="P3118">
        <v>30</v>
      </c>
      <c r="Q3118">
        <v>34</v>
      </c>
      <c r="R3118">
        <v>29</v>
      </c>
    </row>
    <row r="3119" spans="1:18" x14ac:dyDescent="0.25">
      <c r="A3119" t="s">
        <v>3340</v>
      </c>
      <c r="B3119" t="s">
        <v>55</v>
      </c>
      <c r="C3119" t="s">
        <v>3331</v>
      </c>
      <c r="D3119" t="s">
        <v>3332</v>
      </c>
      <c r="E3119" t="s">
        <v>78</v>
      </c>
      <c r="F3119" t="s">
        <v>252</v>
      </c>
      <c r="G3119">
        <v>6.1214000000000004</v>
      </c>
      <c r="H3119">
        <v>-75.715900000000005</v>
      </c>
      <c r="I3119" t="s">
        <v>170</v>
      </c>
      <c r="J3119">
        <v>11</v>
      </c>
      <c r="M3119">
        <v>172</v>
      </c>
      <c r="N3119">
        <v>39</v>
      </c>
      <c r="O3119">
        <v>24</v>
      </c>
      <c r="P3119">
        <v>36</v>
      </c>
      <c r="Q3119">
        <v>34</v>
      </c>
      <c r="R3119">
        <v>47</v>
      </c>
    </row>
    <row r="3120" spans="1:18" x14ac:dyDescent="0.25">
      <c r="A3120" t="s">
        <v>3341</v>
      </c>
      <c r="B3120" t="s">
        <v>55</v>
      </c>
      <c r="C3120" t="s">
        <v>3331</v>
      </c>
      <c r="D3120" t="s">
        <v>3332</v>
      </c>
      <c r="E3120" t="s">
        <v>78</v>
      </c>
      <c r="F3120" t="s">
        <v>252</v>
      </c>
      <c r="G3120">
        <v>6.1214000000000004</v>
      </c>
      <c r="H3120">
        <v>-75.715900000000005</v>
      </c>
      <c r="I3120" t="s">
        <v>170</v>
      </c>
      <c r="J3120">
        <v>11</v>
      </c>
      <c r="M3120">
        <v>154</v>
      </c>
      <c r="N3120">
        <v>34</v>
      </c>
      <c r="O3120">
        <v>20</v>
      </c>
      <c r="P3120">
        <v>34</v>
      </c>
      <c r="Q3120">
        <v>31</v>
      </c>
      <c r="R3120">
        <v>44</v>
      </c>
    </row>
    <row r="3121" spans="1:18" x14ac:dyDescent="0.25">
      <c r="A3121" t="s">
        <v>3342</v>
      </c>
      <c r="B3121" t="s">
        <v>55</v>
      </c>
      <c r="C3121" t="s">
        <v>3331</v>
      </c>
      <c r="D3121" t="s">
        <v>3332</v>
      </c>
      <c r="E3121" t="s">
        <v>78</v>
      </c>
      <c r="F3121" t="s">
        <v>252</v>
      </c>
      <c r="G3121">
        <v>6.1214000000000004</v>
      </c>
      <c r="H3121">
        <v>-75.715900000000005</v>
      </c>
      <c r="I3121" t="s">
        <v>170</v>
      </c>
      <c r="J3121">
        <v>11</v>
      </c>
      <c r="M3121">
        <v>144</v>
      </c>
      <c r="N3121">
        <v>39</v>
      </c>
      <c r="O3121">
        <v>14</v>
      </c>
      <c r="P3121">
        <v>34</v>
      </c>
      <c r="Q3121">
        <v>26</v>
      </c>
      <c r="R3121">
        <v>35</v>
      </c>
    </row>
    <row r="3122" spans="1:18" x14ac:dyDescent="0.25">
      <c r="A3122" t="s">
        <v>3343</v>
      </c>
      <c r="B3122" t="s">
        <v>55</v>
      </c>
      <c r="C3122" t="s">
        <v>3331</v>
      </c>
      <c r="D3122" t="s">
        <v>3332</v>
      </c>
      <c r="E3122" t="s">
        <v>78</v>
      </c>
      <c r="F3122" t="s">
        <v>252</v>
      </c>
      <c r="G3122">
        <v>6.1214000000000004</v>
      </c>
      <c r="H3122">
        <v>-75.715900000000005</v>
      </c>
      <c r="I3122" t="s">
        <v>170</v>
      </c>
      <c r="J3122">
        <v>11</v>
      </c>
      <c r="M3122">
        <v>136</v>
      </c>
      <c r="N3122">
        <v>29</v>
      </c>
      <c r="O3122">
        <v>18</v>
      </c>
      <c r="P3122">
        <v>36</v>
      </c>
      <c r="Q3122">
        <v>28</v>
      </c>
      <c r="R3122">
        <v>22</v>
      </c>
    </row>
    <row r="3123" spans="1:18" x14ac:dyDescent="0.25">
      <c r="A3123" t="s">
        <v>3344</v>
      </c>
      <c r="B3123" t="s">
        <v>55</v>
      </c>
      <c r="C3123" t="s">
        <v>3331</v>
      </c>
      <c r="D3123" t="s">
        <v>3332</v>
      </c>
      <c r="E3123" t="s">
        <v>78</v>
      </c>
      <c r="F3123" t="s">
        <v>252</v>
      </c>
      <c r="G3123">
        <v>6.1214000000000004</v>
      </c>
      <c r="H3123">
        <v>-75.715900000000005</v>
      </c>
      <c r="I3123" t="s">
        <v>170</v>
      </c>
      <c r="J3123">
        <v>11</v>
      </c>
      <c r="M3123">
        <v>132</v>
      </c>
      <c r="N3123">
        <v>27</v>
      </c>
      <c r="O3123">
        <v>24</v>
      </c>
      <c r="P3123">
        <v>30</v>
      </c>
      <c r="Q3123">
        <v>22</v>
      </c>
      <c r="R3123">
        <v>33</v>
      </c>
    </row>
    <row r="3124" spans="1:18" x14ac:dyDescent="0.25">
      <c r="A3124" t="s">
        <v>3345</v>
      </c>
      <c r="B3124" t="s">
        <v>55</v>
      </c>
      <c r="C3124" t="s">
        <v>3331</v>
      </c>
      <c r="D3124" t="s">
        <v>3332</v>
      </c>
      <c r="E3124" t="s">
        <v>78</v>
      </c>
      <c r="F3124" t="s">
        <v>252</v>
      </c>
      <c r="G3124">
        <v>6.1214000000000004</v>
      </c>
      <c r="H3124">
        <v>-75.715900000000005</v>
      </c>
      <c r="I3124" t="s">
        <v>170</v>
      </c>
      <c r="J3124">
        <v>11</v>
      </c>
      <c r="M3124">
        <v>123</v>
      </c>
      <c r="N3124">
        <v>22</v>
      </c>
      <c r="O3124">
        <v>20</v>
      </c>
      <c r="P3124">
        <v>32</v>
      </c>
      <c r="Q3124">
        <v>22</v>
      </c>
      <c r="R3124">
        <v>31</v>
      </c>
    </row>
    <row r="3125" spans="1:18" x14ac:dyDescent="0.25">
      <c r="A3125" t="s">
        <v>3346</v>
      </c>
      <c r="B3125" t="s">
        <v>55</v>
      </c>
      <c r="C3125" t="s">
        <v>3331</v>
      </c>
      <c r="D3125" t="s">
        <v>3332</v>
      </c>
      <c r="E3125" t="s">
        <v>78</v>
      </c>
      <c r="F3125" t="s">
        <v>252</v>
      </c>
      <c r="G3125">
        <v>6.1214000000000004</v>
      </c>
      <c r="H3125">
        <v>-75.715900000000005</v>
      </c>
      <c r="I3125" t="s">
        <v>170</v>
      </c>
      <c r="J3125">
        <v>11</v>
      </c>
      <c r="M3125">
        <v>123</v>
      </c>
      <c r="N3125">
        <v>22</v>
      </c>
      <c r="O3125">
        <v>20</v>
      </c>
      <c r="P3125">
        <v>34</v>
      </c>
      <c r="Q3125">
        <v>22</v>
      </c>
      <c r="R3125">
        <v>24</v>
      </c>
    </row>
    <row r="3126" spans="1:18" x14ac:dyDescent="0.25">
      <c r="A3126" t="s">
        <v>3347</v>
      </c>
      <c r="B3126" t="s">
        <v>55</v>
      </c>
      <c r="C3126" t="s">
        <v>3331</v>
      </c>
      <c r="D3126" t="s">
        <v>3332</v>
      </c>
      <c r="E3126" t="s">
        <v>78</v>
      </c>
      <c r="F3126" t="s">
        <v>252</v>
      </c>
      <c r="G3126">
        <v>6.1214000000000004</v>
      </c>
      <c r="H3126">
        <v>-75.715900000000005</v>
      </c>
      <c r="I3126" t="s">
        <v>170</v>
      </c>
      <c r="J3126">
        <v>11</v>
      </c>
      <c r="M3126">
        <v>120</v>
      </c>
      <c r="N3126">
        <v>22</v>
      </c>
      <c r="O3126">
        <v>16</v>
      </c>
      <c r="P3126">
        <v>40</v>
      </c>
      <c r="Q3126">
        <v>19</v>
      </c>
      <c r="R3126">
        <v>22</v>
      </c>
    </row>
    <row r="3127" spans="1:18" x14ac:dyDescent="0.25">
      <c r="A3127" t="s">
        <v>3348</v>
      </c>
      <c r="B3127" t="s">
        <v>55</v>
      </c>
      <c r="C3127" t="s">
        <v>3331</v>
      </c>
      <c r="D3127" t="s">
        <v>3332</v>
      </c>
      <c r="E3127" t="s">
        <v>78</v>
      </c>
      <c r="F3127" t="s">
        <v>252</v>
      </c>
      <c r="G3127">
        <v>6.1214000000000004</v>
      </c>
      <c r="H3127">
        <v>-75.715900000000005</v>
      </c>
      <c r="I3127" t="s">
        <v>170</v>
      </c>
      <c r="J3127">
        <v>11</v>
      </c>
      <c r="M3127">
        <v>115</v>
      </c>
      <c r="N3127">
        <v>29</v>
      </c>
      <c r="O3127">
        <v>18</v>
      </c>
      <c r="P3127">
        <v>16</v>
      </c>
      <c r="Q3127">
        <v>22</v>
      </c>
      <c r="R3127">
        <v>42</v>
      </c>
    </row>
    <row r="3128" spans="1:18" x14ac:dyDescent="0.25">
      <c r="A3128" t="s">
        <v>3349</v>
      </c>
      <c r="B3128" t="s">
        <v>55</v>
      </c>
      <c r="C3128" t="s">
        <v>3331</v>
      </c>
      <c r="D3128" t="s">
        <v>3332</v>
      </c>
      <c r="E3128" t="s">
        <v>78</v>
      </c>
      <c r="F3128" t="s">
        <v>252</v>
      </c>
      <c r="G3128">
        <v>6.1214000000000004</v>
      </c>
      <c r="H3128">
        <v>-75.715900000000005</v>
      </c>
      <c r="I3128" t="s">
        <v>170</v>
      </c>
      <c r="J3128">
        <v>11</v>
      </c>
      <c r="M3128">
        <v>108</v>
      </c>
      <c r="N3128">
        <v>22</v>
      </c>
      <c r="O3128">
        <v>8</v>
      </c>
      <c r="P3128">
        <v>26</v>
      </c>
      <c r="Q3128">
        <v>29</v>
      </c>
      <c r="R3128">
        <v>25</v>
      </c>
    </row>
    <row r="3129" spans="1:18" x14ac:dyDescent="0.25">
      <c r="A3129" t="s">
        <v>3350</v>
      </c>
      <c r="B3129" t="s">
        <v>55</v>
      </c>
      <c r="C3129" t="s">
        <v>3331</v>
      </c>
      <c r="D3129" t="s">
        <v>3351</v>
      </c>
      <c r="E3129" t="s">
        <v>78</v>
      </c>
      <c r="F3129" t="s">
        <v>252</v>
      </c>
      <c r="G3129">
        <v>6.1131000000000002</v>
      </c>
      <c r="H3129">
        <v>-75.981899999999996</v>
      </c>
      <c r="I3129" t="s">
        <v>170</v>
      </c>
      <c r="J3129">
        <v>11</v>
      </c>
      <c r="M3129">
        <v>230</v>
      </c>
      <c r="N3129">
        <v>68</v>
      </c>
      <c r="O3129">
        <v>20</v>
      </c>
      <c r="P3129">
        <v>62</v>
      </c>
      <c r="Q3129">
        <v>28</v>
      </c>
      <c r="R3129">
        <v>65</v>
      </c>
    </row>
    <row r="3130" spans="1:18" x14ac:dyDescent="0.25">
      <c r="A3130" t="s">
        <v>3352</v>
      </c>
      <c r="B3130" t="s">
        <v>55</v>
      </c>
      <c r="C3130" t="s">
        <v>3331</v>
      </c>
      <c r="D3130" t="s">
        <v>3351</v>
      </c>
      <c r="E3130" t="s">
        <v>78</v>
      </c>
      <c r="F3130" t="s">
        <v>252</v>
      </c>
      <c r="G3130">
        <v>6.1131000000000002</v>
      </c>
      <c r="H3130">
        <v>-75.981899999999996</v>
      </c>
      <c r="I3130" t="s">
        <v>170</v>
      </c>
      <c r="J3130">
        <v>11</v>
      </c>
      <c r="M3130">
        <v>219</v>
      </c>
      <c r="N3130">
        <v>56</v>
      </c>
      <c r="O3130">
        <v>28</v>
      </c>
      <c r="P3130">
        <v>52</v>
      </c>
      <c r="Q3130">
        <v>31</v>
      </c>
      <c r="R3130">
        <v>67</v>
      </c>
    </row>
    <row r="3131" spans="1:18" x14ac:dyDescent="0.25">
      <c r="A3131" t="s">
        <v>3353</v>
      </c>
      <c r="B3131" t="s">
        <v>55</v>
      </c>
      <c r="C3131" t="s">
        <v>3331</v>
      </c>
      <c r="D3131" t="s">
        <v>3351</v>
      </c>
      <c r="E3131" t="s">
        <v>78</v>
      </c>
      <c r="F3131" t="s">
        <v>252</v>
      </c>
      <c r="G3131">
        <v>6.1131000000000002</v>
      </c>
      <c r="H3131">
        <v>-75.981899999999996</v>
      </c>
      <c r="I3131" t="s">
        <v>170</v>
      </c>
      <c r="J3131">
        <v>11</v>
      </c>
      <c r="M3131">
        <v>207</v>
      </c>
      <c r="N3131">
        <v>46</v>
      </c>
      <c r="O3131">
        <v>32</v>
      </c>
      <c r="P3131">
        <v>58</v>
      </c>
      <c r="Q3131">
        <v>26</v>
      </c>
      <c r="R3131">
        <v>51</v>
      </c>
    </row>
    <row r="3132" spans="1:18" x14ac:dyDescent="0.25">
      <c r="A3132" t="s">
        <v>3354</v>
      </c>
      <c r="B3132" t="s">
        <v>55</v>
      </c>
      <c r="C3132" t="s">
        <v>3331</v>
      </c>
      <c r="D3132" t="s">
        <v>3351</v>
      </c>
      <c r="E3132" t="s">
        <v>78</v>
      </c>
      <c r="F3132" t="s">
        <v>252</v>
      </c>
      <c r="G3132">
        <v>6.1131000000000002</v>
      </c>
      <c r="H3132">
        <v>-75.981899999999996</v>
      </c>
      <c r="I3132" t="s">
        <v>170</v>
      </c>
      <c r="J3132">
        <v>11</v>
      </c>
      <c r="M3132">
        <v>199</v>
      </c>
      <c r="N3132">
        <v>46</v>
      </c>
      <c r="O3132">
        <v>34</v>
      </c>
      <c r="P3132">
        <v>44</v>
      </c>
      <c r="Q3132">
        <v>36</v>
      </c>
      <c r="R3132">
        <v>36</v>
      </c>
    </row>
    <row r="3133" spans="1:18" x14ac:dyDescent="0.25">
      <c r="A3133" t="s">
        <v>3355</v>
      </c>
      <c r="B3133" t="s">
        <v>55</v>
      </c>
      <c r="C3133" t="s">
        <v>3331</v>
      </c>
      <c r="D3133" t="s">
        <v>3351</v>
      </c>
      <c r="E3133" t="s">
        <v>78</v>
      </c>
      <c r="F3133" t="s">
        <v>252</v>
      </c>
      <c r="G3133">
        <v>6.1131000000000002</v>
      </c>
      <c r="H3133">
        <v>-75.981899999999996</v>
      </c>
      <c r="I3133" t="s">
        <v>170</v>
      </c>
      <c r="J3133">
        <v>11</v>
      </c>
      <c r="M3133">
        <v>192</v>
      </c>
      <c r="N3133">
        <v>49</v>
      </c>
      <c r="O3133">
        <v>26</v>
      </c>
      <c r="P3133">
        <v>46</v>
      </c>
      <c r="Q3133">
        <v>34</v>
      </c>
      <c r="R3133">
        <v>35</v>
      </c>
    </row>
    <row r="3134" spans="1:18" x14ac:dyDescent="0.25">
      <c r="A3134" t="s">
        <v>3356</v>
      </c>
      <c r="B3134" t="s">
        <v>55</v>
      </c>
      <c r="C3134" t="s">
        <v>3331</v>
      </c>
      <c r="D3134" t="s">
        <v>3351</v>
      </c>
      <c r="E3134" t="s">
        <v>78</v>
      </c>
      <c r="F3134" t="s">
        <v>252</v>
      </c>
      <c r="G3134">
        <v>6.1131000000000002</v>
      </c>
      <c r="H3134">
        <v>-75.981899999999996</v>
      </c>
      <c r="I3134" t="s">
        <v>170</v>
      </c>
      <c r="J3134">
        <v>11</v>
      </c>
      <c r="M3134">
        <v>191</v>
      </c>
      <c r="N3134">
        <v>44</v>
      </c>
      <c r="O3134">
        <v>32</v>
      </c>
      <c r="P3134">
        <v>42</v>
      </c>
      <c r="Q3134">
        <v>34</v>
      </c>
      <c r="R3134">
        <v>38</v>
      </c>
    </row>
    <row r="3135" spans="1:18" x14ac:dyDescent="0.25">
      <c r="A3135" t="s">
        <v>3357</v>
      </c>
      <c r="B3135" t="s">
        <v>55</v>
      </c>
      <c r="C3135" t="s">
        <v>3331</v>
      </c>
      <c r="D3135" t="s">
        <v>3351</v>
      </c>
      <c r="E3135" t="s">
        <v>78</v>
      </c>
      <c r="F3135" t="s">
        <v>252</v>
      </c>
      <c r="G3135">
        <v>6.1131000000000002</v>
      </c>
      <c r="H3135">
        <v>-75.981899999999996</v>
      </c>
      <c r="I3135" t="s">
        <v>170</v>
      </c>
      <c r="J3135">
        <v>11</v>
      </c>
      <c r="M3135">
        <v>190</v>
      </c>
      <c r="N3135">
        <v>41</v>
      </c>
      <c r="O3135">
        <v>26</v>
      </c>
      <c r="P3135">
        <v>48</v>
      </c>
      <c r="Q3135">
        <v>36</v>
      </c>
      <c r="R3135">
        <v>40</v>
      </c>
    </row>
    <row r="3136" spans="1:18" x14ac:dyDescent="0.25">
      <c r="A3136" t="s">
        <v>3358</v>
      </c>
      <c r="B3136" t="s">
        <v>55</v>
      </c>
      <c r="C3136" t="s">
        <v>3331</v>
      </c>
      <c r="D3136" t="s">
        <v>3351</v>
      </c>
      <c r="E3136" t="s">
        <v>78</v>
      </c>
      <c r="F3136" t="s">
        <v>252</v>
      </c>
      <c r="G3136">
        <v>6.1131000000000002</v>
      </c>
      <c r="H3136">
        <v>-75.981899999999996</v>
      </c>
      <c r="I3136" t="s">
        <v>170</v>
      </c>
      <c r="J3136">
        <v>11</v>
      </c>
      <c r="M3136">
        <v>185</v>
      </c>
      <c r="N3136">
        <v>41</v>
      </c>
      <c r="O3136">
        <v>24</v>
      </c>
      <c r="P3136">
        <v>52</v>
      </c>
      <c r="Q3136">
        <v>29</v>
      </c>
      <c r="R3136">
        <v>40</v>
      </c>
    </row>
    <row r="3137" spans="1:18" x14ac:dyDescent="0.25">
      <c r="A3137" t="s">
        <v>3359</v>
      </c>
      <c r="B3137" t="s">
        <v>55</v>
      </c>
      <c r="C3137" t="s">
        <v>3331</v>
      </c>
      <c r="D3137" t="s">
        <v>3351</v>
      </c>
      <c r="E3137" t="s">
        <v>78</v>
      </c>
      <c r="F3137" t="s">
        <v>252</v>
      </c>
      <c r="G3137">
        <v>6.1131000000000002</v>
      </c>
      <c r="H3137">
        <v>-75.981899999999996</v>
      </c>
      <c r="I3137" t="s">
        <v>170</v>
      </c>
      <c r="J3137">
        <v>11</v>
      </c>
      <c r="M3137">
        <v>184</v>
      </c>
      <c r="N3137">
        <v>51</v>
      </c>
      <c r="O3137">
        <v>32</v>
      </c>
      <c r="P3137">
        <v>32</v>
      </c>
      <c r="Q3137">
        <v>34</v>
      </c>
      <c r="R3137">
        <v>29</v>
      </c>
    </row>
    <row r="3138" spans="1:18" x14ac:dyDescent="0.25">
      <c r="A3138" t="s">
        <v>3360</v>
      </c>
      <c r="B3138" t="s">
        <v>55</v>
      </c>
      <c r="C3138" t="s">
        <v>3331</v>
      </c>
      <c r="D3138" t="s">
        <v>3351</v>
      </c>
      <c r="E3138" t="s">
        <v>78</v>
      </c>
      <c r="F3138" t="s">
        <v>252</v>
      </c>
      <c r="G3138">
        <v>6.1131000000000002</v>
      </c>
      <c r="H3138">
        <v>-75.981899999999996</v>
      </c>
      <c r="I3138" t="s">
        <v>170</v>
      </c>
      <c r="J3138">
        <v>11</v>
      </c>
      <c r="M3138">
        <v>173</v>
      </c>
      <c r="N3138">
        <v>56</v>
      </c>
      <c r="O3138">
        <v>28</v>
      </c>
      <c r="P3138">
        <v>26</v>
      </c>
      <c r="Q3138">
        <v>31</v>
      </c>
      <c r="R3138">
        <v>25</v>
      </c>
    </row>
    <row r="3139" spans="1:18" x14ac:dyDescent="0.25">
      <c r="A3139" t="s">
        <v>3361</v>
      </c>
      <c r="B3139" t="s">
        <v>55</v>
      </c>
      <c r="C3139" t="s">
        <v>3331</v>
      </c>
      <c r="D3139" t="s">
        <v>3351</v>
      </c>
      <c r="E3139" t="s">
        <v>78</v>
      </c>
      <c r="F3139" t="s">
        <v>252</v>
      </c>
      <c r="G3139">
        <v>6.1131000000000002</v>
      </c>
      <c r="H3139">
        <v>-75.981899999999996</v>
      </c>
      <c r="I3139" t="s">
        <v>170</v>
      </c>
      <c r="J3139">
        <v>11</v>
      </c>
      <c r="M3139">
        <v>172</v>
      </c>
      <c r="N3139">
        <v>44</v>
      </c>
      <c r="O3139">
        <v>20</v>
      </c>
      <c r="P3139">
        <v>38</v>
      </c>
      <c r="Q3139">
        <v>29</v>
      </c>
      <c r="R3139">
        <v>53</v>
      </c>
    </row>
    <row r="3140" spans="1:18" x14ac:dyDescent="0.25">
      <c r="A3140" t="s">
        <v>3362</v>
      </c>
      <c r="B3140" t="s">
        <v>55</v>
      </c>
      <c r="C3140" t="s">
        <v>3331</v>
      </c>
      <c r="D3140" t="s">
        <v>3351</v>
      </c>
      <c r="E3140" t="s">
        <v>78</v>
      </c>
      <c r="F3140" t="s">
        <v>252</v>
      </c>
      <c r="G3140">
        <v>6.1131000000000002</v>
      </c>
      <c r="H3140">
        <v>-75.981899999999996</v>
      </c>
      <c r="I3140" t="s">
        <v>170</v>
      </c>
      <c r="J3140">
        <v>11</v>
      </c>
      <c r="M3140">
        <v>171</v>
      </c>
      <c r="N3140">
        <v>51</v>
      </c>
      <c r="O3140">
        <v>18</v>
      </c>
      <c r="P3140">
        <v>46</v>
      </c>
      <c r="Q3140">
        <v>24</v>
      </c>
      <c r="R3140">
        <v>27</v>
      </c>
    </row>
    <row r="3141" spans="1:18" x14ac:dyDescent="0.25">
      <c r="A3141" t="s">
        <v>3363</v>
      </c>
      <c r="B3141" t="s">
        <v>55</v>
      </c>
      <c r="C3141" t="s">
        <v>3331</v>
      </c>
      <c r="D3141" t="s">
        <v>3351</v>
      </c>
      <c r="E3141" t="s">
        <v>78</v>
      </c>
      <c r="F3141" t="s">
        <v>252</v>
      </c>
      <c r="G3141">
        <v>6.1131000000000002</v>
      </c>
      <c r="H3141">
        <v>-75.981899999999996</v>
      </c>
      <c r="I3141" t="s">
        <v>170</v>
      </c>
      <c r="J3141">
        <v>11</v>
      </c>
      <c r="M3141">
        <v>171</v>
      </c>
      <c r="N3141">
        <v>34</v>
      </c>
      <c r="O3141">
        <v>30</v>
      </c>
      <c r="P3141">
        <v>30</v>
      </c>
      <c r="Q3141">
        <v>36</v>
      </c>
      <c r="R3141">
        <v>53</v>
      </c>
    </row>
    <row r="3142" spans="1:18" x14ac:dyDescent="0.25">
      <c r="A3142" t="s">
        <v>3364</v>
      </c>
      <c r="B3142" t="s">
        <v>55</v>
      </c>
      <c r="C3142" t="s">
        <v>3331</v>
      </c>
      <c r="D3142" t="s">
        <v>3351</v>
      </c>
      <c r="E3142" t="s">
        <v>78</v>
      </c>
      <c r="F3142" t="s">
        <v>252</v>
      </c>
      <c r="G3142">
        <v>6.1131000000000002</v>
      </c>
      <c r="H3142">
        <v>-75.981899999999996</v>
      </c>
      <c r="I3142" t="s">
        <v>170</v>
      </c>
      <c r="J3142">
        <v>11</v>
      </c>
      <c r="M3142">
        <v>169</v>
      </c>
      <c r="N3142">
        <v>46</v>
      </c>
      <c r="O3142">
        <v>18</v>
      </c>
      <c r="P3142">
        <v>48</v>
      </c>
      <c r="Q3142">
        <v>22</v>
      </c>
      <c r="R3142">
        <v>36</v>
      </c>
    </row>
    <row r="3143" spans="1:18" x14ac:dyDescent="0.25">
      <c r="A3143" t="s">
        <v>3365</v>
      </c>
      <c r="B3143" t="s">
        <v>55</v>
      </c>
      <c r="C3143" t="s">
        <v>3331</v>
      </c>
      <c r="D3143" t="s">
        <v>3351</v>
      </c>
      <c r="E3143" t="s">
        <v>78</v>
      </c>
      <c r="F3143" t="s">
        <v>252</v>
      </c>
      <c r="G3143">
        <v>6.1131000000000002</v>
      </c>
      <c r="H3143">
        <v>-75.981899999999996</v>
      </c>
      <c r="I3143" t="s">
        <v>170</v>
      </c>
      <c r="J3143">
        <v>11</v>
      </c>
      <c r="M3143">
        <v>168</v>
      </c>
      <c r="N3143">
        <v>37</v>
      </c>
      <c r="O3143">
        <v>26</v>
      </c>
      <c r="P3143">
        <v>40</v>
      </c>
      <c r="Q3143">
        <v>28</v>
      </c>
      <c r="R3143">
        <v>47</v>
      </c>
    </row>
    <row r="3144" spans="1:18" x14ac:dyDescent="0.25">
      <c r="A3144" t="s">
        <v>3366</v>
      </c>
      <c r="B3144" t="s">
        <v>55</v>
      </c>
      <c r="C3144" t="s">
        <v>3331</v>
      </c>
      <c r="D3144" t="s">
        <v>3351</v>
      </c>
      <c r="E3144" t="s">
        <v>78</v>
      </c>
      <c r="F3144" t="s">
        <v>252</v>
      </c>
      <c r="G3144">
        <v>6.1131000000000002</v>
      </c>
      <c r="H3144">
        <v>-75.981899999999996</v>
      </c>
      <c r="I3144" t="s">
        <v>170</v>
      </c>
      <c r="J3144">
        <v>11</v>
      </c>
      <c r="M3144">
        <v>168</v>
      </c>
      <c r="N3144">
        <v>41</v>
      </c>
      <c r="O3144">
        <v>24</v>
      </c>
      <c r="P3144">
        <v>52</v>
      </c>
      <c r="Q3144">
        <v>17</v>
      </c>
      <c r="R3144">
        <v>33</v>
      </c>
    </row>
    <row r="3145" spans="1:18" x14ac:dyDescent="0.25">
      <c r="A3145" t="s">
        <v>3367</v>
      </c>
      <c r="B3145" t="s">
        <v>55</v>
      </c>
      <c r="C3145" t="s">
        <v>3331</v>
      </c>
      <c r="D3145" t="s">
        <v>3351</v>
      </c>
      <c r="E3145" t="s">
        <v>78</v>
      </c>
      <c r="F3145" t="s">
        <v>252</v>
      </c>
      <c r="G3145">
        <v>6.1131000000000002</v>
      </c>
      <c r="H3145">
        <v>-75.981899999999996</v>
      </c>
      <c r="I3145" t="s">
        <v>170</v>
      </c>
      <c r="J3145">
        <v>11</v>
      </c>
      <c r="M3145">
        <v>168</v>
      </c>
      <c r="N3145">
        <v>54</v>
      </c>
      <c r="O3145">
        <v>16</v>
      </c>
      <c r="P3145">
        <v>44</v>
      </c>
      <c r="Q3145">
        <v>21</v>
      </c>
      <c r="R3145">
        <v>33</v>
      </c>
    </row>
    <row r="3146" spans="1:18" x14ac:dyDescent="0.25">
      <c r="A3146" t="s">
        <v>3368</v>
      </c>
      <c r="B3146" t="s">
        <v>55</v>
      </c>
      <c r="C3146" t="s">
        <v>3331</v>
      </c>
      <c r="D3146" t="s">
        <v>3351</v>
      </c>
      <c r="E3146" t="s">
        <v>78</v>
      </c>
      <c r="F3146" t="s">
        <v>252</v>
      </c>
      <c r="G3146">
        <v>6.1131000000000002</v>
      </c>
      <c r="H3146">
        <v>-75.981899999999996</v>
      </c>
      <c r="I3146" t="s">
        <v>170</v>
      </c>
      <c r="J3146">
        <v>11</v>
      </c>
      <c r="M3146">
        <v>167</v>
      </c>
      <c r="N3146">
        <v>34</v>
      </c>
      <c r="O3146">
        <v>28</v>
      </c>
      <c r="P3146">
        <v>40</v>
      </c>
      <c r="Q3146">
        <v>24</v>
      </c>
      <c r="R3146">
        <v>56</v>
      </c>
    </row>
    <row r="3147" spans="1:18" x14ac:dyDescent="0.25">
      <c r="A3147" t="s">
        <v>3369</v>
      </c>
      <c r="B3147" t="s">
        <v>55</v>
      </c>
      <c r="C3147" t="s">
        <v>3331</v>
      </c>
      <c r="D3147" t="s">
        <v>3351</v>
      </c>
      <c r="E3147" t="s">
        <v>78</v>
      </c>
      <c r="F3147" t="s">
        <v>252</v>
      </c>
      <c r="G3147">
        <v>6.1131000000000002</v>
      </c>
      <c r="H3147">
        <v>-75.981899999999996</v>
      </c>
      <c r="I3147" t="s">
        <v>170</v>
      </c>
      <c r="J3147">
        <v>11</v>
      </c>
      <c r="M3147">
        <v>165</v>
      </c>
      <c r="N3147">
        <v>39</v>
      </c>
      <c r="O3147">
        <v>18</v>
      </c>
      <c r="P3147">
        <v>40</v>
      </c>
      <c r="Q3147">
        <v>31</v>
      </c>
      <c r="R3147">
        <v>45</v>
      </c>
    </row>
    <row r="3148" spans="1:18" x14ac:dyDescent="0.25">
      <c r="A3148" t="s">
        <v>3370</v>
      </c>
      <c r="B3148" t="s">
        <v>55</v>
      </c>
      <c r="C3148" t="s">
        <v>3331</v>
      </c>
      <c r="D3148" t="s">
        <v>3351</v>
      </c>
      <c r="E3148" t="s">
        <v>78</v>
      </c>
      <c r="F3148" t="s">
        <v>252</v>
      </c>
      <c r="G3148">
        <v>6.1131000000000002</v>
      </c>
      <c r="H3148">
        <v>-75.981899999999996</v>
      </c>
      <c r="I3148" t="s">
        <v>170</v>
      </c>
      <c r="J3148">
        <v>11</v>
      </c>
      <c r="M3148">
        <v>165</v>
      </c>
      <c r="N3148">
        <v>32</v>
      </c>
      <c r="O3148">
        <v>28</v>
      </c>
      <c r="P3148">
        <v>38</v>
      </c>
      <c r="Q3148">
        <v>28</v>
      </c>
      <c r="R3148">
        <v>53</v>
      </c>
    </row>
    <row r="3149" spans="1:18" x14ac:dyDescent="0.25">
      <c r="A3149" t="s">
        <v>3371</v>
      </c>
      <c r="B3149" t="s">
        <v>55</v>
      </c>
      <c r="C3149" t="s">
        <v>3331</v>
      </c>
      <c r="D3149" t="s">
        <v>3351</v>
      </c>
      <c r="E3149" t="s">
        <v>78</v>
      </c>
      <c r="F3149" t="s">
        <v>252</v>
      </c>
      <c r="G3149">
        <v>6.1131000000000002</v>
      </c>
      <c r="H3149">
        <v>-75.981899999999996</v>
      </c>
      <c r="I3149" t="s">
        <v>170</v>
      </c>
      <c r="J3149">
        <v>11</v>
      </c>
      <c r="M3149">
        <v>165</v>
      </c>
      <c r="N3149">
        <v>34</v>
      </c>
      <c r="O3149">
        <v>14</v>
      </c>
      <c r="P3149">
        <v>54</v>
      </c>
      <c r="Q3149">
        <v>22</v>
      </c>
      <c r="R3149">
        <v>55</v>
      </c>
    </row>
    <row r="3150" spans="1:18" x14ac:dyDescent="0.25">
      <c r="A3150" t="s">
        <v>3372</v>
      </c>
      <c r="B3150" t="s">
        <v>55</v>
      </c>
      <c r="C3150" t="s">
        <v>3331</v>
      </c>
      <c r="D3150" t="s">
        <v>3351</v>
      </c>
      <c r="E3150" t="s">
        <v>78</v>
      </c>
      <c r="F3150" t="s">
        <v>252</v>
      </c>
      <c r="G3150">
        <v>6.1131000000000002</v>
      </c>
      <c r="H3150">
        <v>-75.981899999999996</v>
      </c>
      <c r="I3150" t="s">
        <v>170</v>
      </c>
      <c r="J3150">
        <v>11</v>
      </c>
      <c r="M3150">
        <v>164</v>
      </c>
      <c r="N3150">
        <v>41</v>
      </c>
      <c r="O3150">
        <v>28</v>
      </c>
      <c r="P3150">
        <v>28</v>
      </c>
      <c r="Q3150">
        <v>28</v>
      </c>
      <c r="R3150">
        <v>51</v>
      </c>
    </row>
    <row r="3151" spans="1:18" x14ac:dyDescent="0.25">
      <c r="A3151" t="s">
        <v>3373</v>
      </c>
      <c r="B3151" t="s">
        <v>55</v>
      </c>
      <c r="C3151" t="s">
        <v>3331</v>
      </c>
      <c r="D3151" t="s">
        <v>3351</v>
      </c>
      <c r="E3151" t="s">
        <v>78</v>
      </c>
      <c r="F3151" t="s">
        <v>252</v>
      </c>
      <c r="G3151">
        <v>6.1131000000000002</v>
      </c>
      <c r="H3151">
        <v>-75.981899999999996</v>
      </c>
      <c r="I3151" t="s">
        <v>170</v>
      </c>
      <c r="J3151">
        <v>11</v>
      </c>
      <c r="M3151">
        <v>162</v>
      </c>
      <c r="N3151">
        <v>34</v>
      </c>
      <c r="O3151">
        <v>12</v>
      </c>
      <c r="P3151">
        <v>50</v>
      </c>
      <c r="Q3151">
        <v>26</v>
      </c>
      <c r="R3151">
        <v>55</v>
      </c>
    </row>
    <row r="3152" spans="1:18" x14ac:dyDescent="0.25">
      <c r="A3152" t="s">
        <v>3374</v>
      </c>
      <c r="B3152" t="s">
        <v>55</v>
      </c>
      <c r="C3152" t="s">
        <v>3331</v>
      </c>
      <c r="D3152" t="s">
        <v>3351</v>
      </c>
      <c r="E3152" t="s">
        <v>78</v>
      </c>
      <c r="F3152" t="s">
        <v>252</v>
      </c>
      <c r="G3152">
        <v>6.1131000000000002</v>
      </c>
      <c r="H3152">
        <v>-75.981899999999996</v>
      </c>
      <c r="I3152" t="s">
        <v>170</v>
      </c>
      <c r="J3152">
        <v>11</v>
      </c>
      <c r="M3152">
        <v>160</v>
      </c>
      <c r="N3152">
        <v>37</v>
      </c>
      <c r="O3152">
        <v>22</v>
      </c>
      <c r="P3152">
        <v>40</v>
      </c>
      <c r="Q3152">
        <v>31</v>
      </c>
      <c r="R3152">
        <v>27</v>
      </c>
    </row>
    <row r="3153" spans="1:18" x14ac:dyDescent="0.25">
      <c r="A3153" t="s">
        <v>3375</v>
      </c>
      <c r="B3153" t="s">
        <v>55</v>
      </c>
      <c r="C3153" t="s">
        <v>3331</v>
      </c>
      <c r="D3153" t="s">
        <v>3351</v>
      </c>
      <c r="E3153" t="s">
        <v>78</v>
      </c>
      <c r="F3153" t="s">
        <v>252</v>
      </c>
      <c r="G3153">
        <v>6.1131000000000002</v>
      </c>
      <c r="H3153">
        <v>-75.981899999999996</v>
      </c>
      <c r="I3153" t="s">
        <v>170</v>
      </c>
      <c r="J3153">
        <v>11</v>
      </c>
      <c r="M3153">
        <v>159</v>
      </c>
      <c r="N3153">
        <v>39</v>
      </c>
      <c r="O3153">
        <v>20</v>
      </c>
      <c r="P3153">
        <v>34</v>
      </c>
      <c r="Q3153">
        <v>31</v>
      </c>
      <c r="R3153">
        <v>40</v>
      </c>
    </row>
    <row r="3154" spans="1:18" x14ac:dyDescent="0.25">
      <c r="A3154" t="s">
        <v>3376</v>
      </c>
      <c r="B3154" t="s">
        <v>55</v>
      </c>
      <c r="C3154" t="s">
        <v>3331</v>
      </c>
      <c r="D3154" t="s">
        <v>3351</v>
      </c>
      <c r="E3154" t="s">
        <v>78</v>
      </c>
      <c r="F3154" t="s">
        <v>252</v>
      </c>
      <c r="G3154">
        <v>6.1131000000000002</v>
      </c>
      <c r="H3154">
        <v>-75.981899999999996</v>
      </c>
      <c r="I3154" t="s">
        <v>170</v>
      </c>
      <c r="J3154">
        <v>11</v>
      </c>
      <c r="M3154">
        <v>157</v>
      </c>
      <c r="N3154">
        <v>49</v>
      </c>
      <c r="O3154">
        <v>16</v>
      </c>
      <c r="P3154">
        <v>32</v>
      </c>
      <c r="Q3154">
        <v>29</v>
      </c>
      <c r="R3154">
        <v>29</v>
      </c>
    </row>
    <row r="3155" spans="1:18" x14ac:dyDescent="0.25">
      <c r="A3155" t="s">
        <v>3377</v>
      </c>
      <c r="B3155" t="s">
        <v>55</v>
      </c>
      <c r="C3155" t="s">
        <v>3331</v>
      </c>
      <c r="D3155" t="s">
        <v>3351</v>
      </c>
      <c r="E3155" t="s">
        <v>78</v>
      </c>
      <c r="F3155" t="s">
        <v>252</v>
      </c>
      <c r="G3155">
        <v>6.1131000000000002</v>
      </c>
      <c r="H3155">
        <v>-75.981899999999996</v>
      </c>
      <c r="I3155" t="s">
        <v>170</v>
      </c>
      <c r="J3155">
        <v>11</v>
      </c>
      <c r="M3155">
        <v>155</v>
      </c>
      <c r="N3155">
        <v>51</v>
      </c>
      <c r="O3155">
        <v>18</v>
      </c>
      <c r="P3155">
        <v>24</v>
      </c>
      <c r="Q3155">
        <v>28</v>
      </c>
      <c r="R3155">
        <v>40</v>
      </c>
    </row>
    <row r="3156" spans="1:18" x14ac:dyDescent="0.25">
      <c r="A3156" t="s">
        <v>3378</v>
      </c>
      <c r="B3156" t="s">
        <v>55</v>
      </c>
      <c r="C3156" t="s">
        <v>3331</v>
      </c>
      <c r="D3156" t="s">
        <v>3351</v>
      </c>
      <c r="E3156" t="s">
        <v>78</v>
      </c>
      <c r="F3156" t="s">
        <v>252</v>
      </c>
      <c r="G3156">
        <v>6.1131000000000002</v>
      </c>
      <c r="H3156">
        <v>-75.981899999999996</v>
      </c>
      <c r="I3156" t="s">
        <v>170</v>
      </c>
      <c r="J3156">
        <v>11</v>
      </c>
      <c r="M3156">
        <v>153</v>
      </c>
      <c r="N3156">
        <v>27</v>
      </c>
      <c r="O3156">
        <v>24</v>
      </c>
      <c r="P3156">
        <v>32</v>
      </c>
      <c r="Q3156">
        <v>36</v>
      </c>
      <c r="R3156">
        <v>40</v>
      </c>
    </row>
    <row r="3157" spans="1:18" x14ac:dyDescent="0.25">
      <c r="A3157" t="s">
        <v>3379</v>
      </c>
      <c r="B3157" t="s">
        <v>55</v>
      </c>
      <c r="C3157" t="s">
        <v>3331</v>
      </c>
      <c r="D3157" t="s">
        <v>3351</v>
      </c>
      <c r="E3157" t="s">
        <v>78</v>
      </c>
      <c r="F3157" t="s">
        <v>252</v>
      </c>
      <c r="G3157">
        <v>6.1131000000000002</v>
      </c>
      <c r="H3157">
        <v>-75.981899999999996</v>
      </c>
      <c r="I3157" t="s">
        <v>170</v>
      </c>
      <c r="J3157">
        <v>11</v>
      </c>
      <c r="M3157">
        <v>152</v>
      </c>
      <c r="N3157">
        <v>51</v>
      </c>
      <c r="O3157">
        <v>14</v>
      </c>
      <c r="P3157">
        <v>36</v>
      </c>
      <c r="Q3157">
        <v>19</v>
      </c>
      <c r="R3157">
        <v>35</v>
      </c>
    </row>
    <row r="3158" spans="1:18" x14ac:dyDescent="0.25">
      <c r="A3158" t="s">
        <v>3380</v>
      </c>
      <c r="B3158" t="s">
        <v>55</v>
      </c>
      <c r="C3158" t="s">
        <v>3331</v>
      </c>
      <c r="D3158" t="s">
        <v>3351</v>
      </c>
      <c r="E3158" t="s">
        <v>78</v>
      </c>
      <c r="F3158" t="s">
        <v>252</v>
      </c>
      <c r="G3158">
        <v>6.1131000000000002</v>
      </c>
      <c r="H3158">
        <v>-75.981899999999996</v>
      </c>
      <c r="I3158" t="s">
        <v>170</v>
      </c>
      <c r="J3158">
        <v>11</v>
      </c>
      <c r="M3158">
        <v>152</v>
      </c>
      <c r="N3158">
        <v>32</v>
      </c>
      <c r="O3158">
        <v>20</v>
      </c>
      <c r="P3158">
        <v>36</v>
      </c>
      <c r="Q3158">
        <v>33</v>
      </c>
      <c r="R3158">
        <v>33</v>
      </c>
    </row>
    <row r="3159" spans="1:18" x14ac:dyDescent="0.25">
      <c r="A3159" t="s">
        <v>3381</v>
      </c>
      <c r="B3159" t="s">
        <v>55</v>
      </c>
      <c r="C3159" t="s">
        <v>3331</v>
      </c>
      <c r="D3159" t="s">
        <v>3351</v>
      </c>
      <c r="E3159" t="s">
        <v>78</v>
      </c>
      <c r="F3159" t="s">
        <v>252</v>
      </c>
      <c r="G3159">
        <v>6.1131000000000002</v>
      </c>
      <c r="H3159">
        <v>-75.981899999999996</v>
      </c>
      <c r="I3159" t="s">
        <v>170</v>
      </c>
      <c r="J3159">
        <v>11</v>
      </c>
      <c r="M3159">
        <v>147</v>
      </c>
      <c r="N3159">
        <v>32</v>
      </c>
      <c r="O3159">
        <v>22</v>
      </c>
      <c r="P3159">
        <v>28</v>
      </c>
      <c r="Q3159">
        <v>38</v>
      </c>
      <c r="R3159">
        <v>24</v>
      </c>
    </row>
    <row r="3160" spans="1:18" x14ac:dyDescent="0.25">
      <c r="A3160" t="s">
        <v>3382</v>
      </c>
      <c r="B3160" t="s">
        <v>55</v>
      </c>
      <c r="C3160" t="s">
        <v>3331</v>
      </c>
      <c r="D3160" t="s">
        <v>3351</v>
      </c>
      <c r="E3160" t="s">
        <v>78</v>
      </c>
      <c r="F3160" t="s">
        <v>252</v>
      </c>
      <c r="G3160">
        <v>6.1131000000000002</v>
      </c>
      <c r="H3160">
        <v>-75.981899999999996</v>
      </c>
      <c r="I3160" t="s">
        <v>170</v>
      </c>
      <c r="J3160">
        <v>11</v>
      </c>
      <c r="M3160">
        <v>146</v>
      </c>
      <c r="N3160">
        <v>37</v>
      </c>
      <c r="O3160">
        <v>18</v>
      </c>
      <c r="P3160">
        <v>36</v>
      </c>
      <c r="Q3160">
        <v>28</v>
      </c>
      <c r="R3160">
        <v>25</v>
      </c>
    </row>
    <row r="3161" spans="1:18" x14ac:dyDescent="0.25">
      <c r="A3161" t="s">
        <v>3383</v>
      </c>
      <c r="B3161" t="s">
        <v>55</v>
      </c>
      <c r="C3161" t="s">
        <v>3331</v>
      </c>
      <c r="D3161" t="s">
        <v>3351</v>
      </c>
      <c r="E3161" t="s">
        <v>78</v>
      </c>
      <c r="F3161" t="s">
        <v>252</v>
      </c>
      <c r="G3161">
        <v>6.1131000000000002</v>
      </c>
      <c r="H3161">
        <v>-75.981899999999996</v>
      </c>
      <c r="I3161" t="s">
        <v>170</v>
      </c>
      <c r="J3161">
        <v>11</v>
      </c>
      <c r="M3161">
        <v>134</v>
      </c>
      <c r="N3161">
        <v>32</v>
      </c>
      <c r="O3161">
        <v>20</v>
      </c>
      <c r="P3161">
        <v>34</v>
      </c>
      <c r="Q3161">
        <v>19</v>
      </c>
      <c r="R3161">
        <v>35</v>
      </c>
    </row>
    <row r="3162" spans="1:18" x14ac:dyDescent="0.25">
      <c r="A3162" t="s">
        <v>3384</v>
      </c>
      <c r="B3162" t="s">
        <v>55</v>
      </c>
      <c r="C3162" t="s">
        <v>3331</v>
      </c>
      <c r="D3162" t="s">
        <v>3351</v>
      </c>
      <c r="E3162" t="s">
        <v>78</v>
      </c>
      <c r="F3162" t="s">
        <v>252</v>
      </c>
      <c r="G3162">
        <v>6.1131000000000002</v>
      </c>
      <c r="H3162">
        <v>-75.981899999999996</v>
      </c>
      <c r="I3162" t="s">
        <v>170</v>
      </c>
      <c r="J3162">
        <v>11</v>
      </c>
      <c r="M3162">
        <v>127</v>
      </c>
      <c r="N3162">
        <v>17</v>
      </c>
      <c r="O3162">
        <v>24</v>
      </c>
      <c r="P3162">
        <v>32</v>
      </c>
      <c r="Q3162">
        <v>26</v>
      </c>
      <c r="R3162">
        <v>35</v>
      </c>
    </row>
    <row r="3163" spans="1:18" x14ac:dyDescent="0.25">
      <c r="A3163" t="s">
        <v>3385</v>
      </c>
      <c r="B3163" t="s">
        <v>55</v>
      </c>
      <c r="C3163" t="s">
        <v>3331</v>
      </c>
      <c r="D3163" t="s">
        <v>3351</v>
      </c>
      <c r="E3163" t="s">
        <v>78</v>
      </c>
      <c r="F3163" t="s">
        <v>252</v>
      </c>
      <c r="G3163">
        <v>6.1131000000000002</v>
      </c>
      <c r="H3163">
        <v>-75.981899999999996</v>
      </c>
      <c r="I3163" t="s">
        <v>170</v>
      </c>
      <c r="J3163">
        <v>11</v>
      </c>
      <c r="M3163">
        <v>123</v>
      </c>
      <c r="N3163">
        <v>20</v>
      </c>
      <c r="O3163">
        <v>22</v>
      </c>
      <c r="P3163">
        <v>26</v>
      </c>
      <c r="Q3163">
        <v>33</v>
      </c>
      <c r="R3163">
        <v>20</v>
      </c>
    </row>
    <row r="3164" spans="1:18" x14ac:dyDescent="0.25">
      <c r="A3164" t="s">
        <v>3386</v>
      </c>
      <c r="B3164" t="s">
        <v>55</v>
      </c>
      <c r="C3164" t="s">
        <v>3331</v>
      </c>
      <c r="D3164" t="s">
        <v>3351</v>
      </c>
      <c r="E3164" t="s">
        <v>78</v>
      </c>
      <c r="F3164" t="s">
        <v>252</v>
      </c>
      <c r="G3164">
        <v>6.1131000000000002</v>
      </c>
      <c r="H3164">
        <v>-75.981899999999996</v>
      </c>
      <c r="I3164" t="s">
        <v>170</v>
      </c>
      <c r="J3164">
        <v>11</v>
      </c>
      <c r="M3164">
        <v>121</v>
      </c>
      <c r="N3164">
        <v>27</v>
      </c>
      <c r="O3164">
        <v>30</v>
      </c>
      <c r="P3164">
        <v>16</v>
      </c>
      <c r="Q3164">
        <v>22</v>
      </c>
      <c r="R3164">
        <v>29</v>
      </c>
    </row>
    <row r="3165" spans="1:18" x14ac:dyDescent="0.25">
      <c r="A3165" t="s">
        <v>3387</v>
      </c>
      <c r="B3165" t="s">
        <v>55</v>
      </c>
      <c r="C3165" t="s">
        <v>3331</v>
      </c>
      <c r="D3165" t="s">
        <v>3351</v>
      </c>
      <c r="E3165" t="s">
        <v>78</v>
      </c>
      <c r="F3165" t="s">
        <v>252</v>
      </c>
      <c r="G3165">
        <v>6.1131000000000002</v>
      </c>
      <c r="H3165">
        <v>-75.981899999999996</v>
      </c>
      <c r="I3165" t="s">
        <v>170</v>
      </c>
      <c r="J3165">
        <v>11</v>
      </c>
      <c r="M3165">
        <v>117</v>
      </c>
      <c r="N3165">
        <v>27</v>
      </c>
      <c r="O3165">
        <v>10</v>
      </c>
      <c r="P3165">
        <v>28</v>
      </c>
      <c r="Q3165">
        <v>22</v>
      </c>
      <c r="R3165">
        <v>42</v>
      </c>
    </row>
    <row r="3166" spans="1:18" x14ac:dyDescent="0.25">
      <c r="A3166" t="s">
        <v>3388</v>
      </c>
      <c r="B3166" t="s">
        <v>55</v>
      </c>
      <c r="C3166" t="s">
        <v>3331</v>
      </c>
      <c r="D3166" t="s">
        <v>3351</v>
      </c>
      <c r="E3166" t="s">
        <v>78</v>
      </c>
      <c r="F3166" t="s">
        <v>252</v>
      </c>
      <c r="G3166">
        <v>6.1131000000000002</v>
      </c>
      <c r="H3166">
        <v>-75.981899999999996</v>
      </c>
      <c r="I3166" t="s">
        <v>170</v>
      </c>
      <c r="J3166">
        <v>11</v>
      </c>
      <c r="M3166">
        <v>114</v>
      </c>
      <c r="N3166">
        <v>27</v>
      </c>
      <c r="O3166">
        <v>16</v>
      </c>
      <c r="P3166">
        <v>24</v>
      </c>
      <c r="Q3166">
        <v>19</v>
      </c>
      <c r="R3166">
        <v>38</v>
      </c>
    </row>
    <row r="3167" spans="1:18" x14ac:dyDescent="0.25">
      <c r="A3167" t="s">
        <v>3389</v>
      </c>
      <c r="B3167" t="s">
        <v>55</v>
      </c>
      <c r="C3167" t="s">
        <v>3331</v>
      </c>
      <c r="D3167" t="s">
        <v>3351</v>
      </c>
      <c r="E3167" t="s">
        <v>78</v>
      </c>
      <c r="F3167" t="s">
        <v>252</v>
      </c>
      <c r="G3167">
        <v>6.1131000000000002</v>
      </c>
      <c r="H3167">
        <v>-75.981899999999996</v>
      </c>
      <c r="I3167" t="s">
        <v>170</v>
      </c>
      <c r="J3167">
        <v>11</v>
      </c>
      <c r="M3167">
        <v>100</v>
      </c>
      <c r="N3167">
        <v>44</v>
      </c>
      <c r="O3167">
        <v>20</v>
      </c>
      <c r="P3167">
        <v>16</v>
      </c>
      <c r="Q3167">
        <v>7</v>
      </c>
      <c r="R3167">
        <v>0</v>
      </c>
    </row>
    <row r="3168" spans="1:18" x14ac:dyDescent="0.25">
      <c r="A3168" t="s">
        <v>3390</v>
      </c>
      <c r="B3168" t="s">
        <v>55</v>
      </c>
      <c r="C3168" t="s">
        <v>3331</v>
      </c>
      <c r="D3168" t="s">
        <v>3351</v>
      </c>
      <c r="E3168" t="s">
        <v>78</v>
      </c>
      <c r="F3168" t="s">
        <v>252</v>
      </c>
      <c r="G3168">
        <v>6.1131000000000002</v>
      </c>
      <c r="H3168">
        <v>-75.981899999999996</v>
      </c>
      <c r="I3168" t="s">
        <v>170</v>
      </c>
      <c r="J3168">
        <v>11</v>
      </c>
      <c r="M3168">
        <v>95</v>
      </c>
      <c r="N3168">
        <v>15</v>
      </c>
      <c r="O3168">
        <v>20</v>
      </c>
      <c r="P3168">
        <v>20</v>
      </c>
      <c r="Q3168">
        <v>19</v>
      </c>
      <c r="R3168">
        <v>25</v>
      </c>
    </row>
    <row r="3169" spans="1:18" x14ac:dyDescent="0.25">
      <c r="A3169" t="s">
        <v>3391</v>
      </c>
      <c r="B3169" t="s">
        <v>55</v>
      </c>
      <c r="C3169" t="s">
        <v>3331</v>
      </c>
      <c r="D3169" t="s">
        <v>3351</v>
      </c>
      <c r="E3169" t="s">
        <v>78</v>
      </c>
      <c r="F3169" t="s">
        <v>252</v>
      </c>
      <c r="G3169">
        <v>6.1131000000000002</v>
      </c>
      <c r="H3169">
        <v>-75.981899999999996</v>
      </c>
      <c r="I3169" t="s">
        <v>170</v>
      </c>
      <c r="J3169">
        <v>11</v>
      </c>
      <c r="M3169">
        <v>94</v>
      </c>
      <c r="N3169">
        <v>39</v>
      </c>
      <c r="O3169">
        <v>18</v>
      </c>
      <c r="P3169">
        <v>14</v>
      </c>
      <c r="Q3169">
        <v>10</v>
      </c>
      <c r="R3169">
        <v>0</v>
      </c>
    </row>
    <row r="3170" spans="1:18" x14ac:dyDescent="0.25">
      <c r="A3170" t="s">
        <v>3392</v>
      </c>
      <c r="B3170" t="s">
        <v>55</v>
      </c>
      <c r="C3170" t="s">
        <v>3331</v>
      </c>
      <c r="D3170" t="s">
        <v>3351</v>
      </c>
      <c r="E3170" t="s">
        <v>78</v>
      </c>
      <c r="F3170" t="s">
        <v>252</v>
      </c>
      <c r="G3170">
        <v>6.1131000000000002</v>
      </c>
      <c r="H3170">
        <v>-75.981899999999996</v>
      </c>
      <c r="I3170" t="s">
        <v>170</v>
      </c>
      <c r="J3170">
        <v>11</v>
      </c>
      <c r="M3170">
        <v>92</v>
      </c>
      <c r="N3170">
        <v>24</v>
      </c>
      <c r="O3170">
        <v>12</v>
      </c>
      <c r="P3170">
        <v>14</v>
      </c>
      <c r="Q3170">
        <v>17</v>
      </c>
      <c r="R3170">
        <v>36</v>
      </c>
    </row>
    <row r="3171" spans="1:18" x14ac:dyDescent="0.25">
      <c r="A3171" t="s">
        <v>3393</v>
      </c>
      <c r="B3171" t="s">
        <v>55</v>
      </c>
      <c r="C3171" t="s">
        <v>3331</v>
      </c>
      <c r="D3171" t="s">
        <v>3351</v>
      </c>
      <c r="E3171" t="s">
        <v>78</v>
      </c>
      <c r="F3171" t="s">
        <v>252</v>
      </c>
      <c r="G3171">
        <v>6.1131000000000002</v>
      </c>
      <c r="H3171">
        <v>-75.981899999999996</v>
      </c>
      <c r="I3171" t="s">
        <v>170</v>
      </c>
      <c r="J3171">
        <v>11</v>
      </c>
      <c r="M3171">
        <v>70</v>
      </c>
      <c r="N3171">
        <v>22</v>
      </c>
      <c r="O3171">
        <v>12</v>
      </c>
      <c r="P3171">
        <v>20</v>
      </c>
      <c r="Q3171">
        <v>7</v>
      </c>
      <c r="R3171">
        <v>0</v>
      </c>
    </row>
    <row r="3172" spans="1:18" x14ac:dyDescent="0.25">
      <c r="A3172" t="s">
        <v>3394</v>
      </c>
      <c r="B3172" t="s">
        <v>55</v>
      </c>
      <c r="C3172" t="s">
        <v>3331</v>
      </c>
      <c r="D3172" t="s">
        <v>3395</v>
      </c>
      <c r="E3172" t="s">
        <v>78</v>
      </c>
      <c r="F3172" t="s">
        <v>252</v>
      </c>
      <c r="G3172">
        <v>6.85</v>
      </c>
      <c r="H3172">
        <v>-75.816699999999997</v>
      </c>
      <c r="I3172" t="s">
        <v>170</v>
      </c>
      <c r="J3172">
        <v>11</v>
      </c>
      <c r="M3172">
        <v>271</v>
      </c>
      <c r="N3172">
        <v>68</v>
      </c>
      <c r="O3172">
        <v>48</v>
      </c>
      <c r="P3172">
        <v>54</v>
      </c>
      <c r="Q3172">
        <v>45</v>
      </c>
      <c r="R3172">
        <v>60</v>
      </c>
    </row>
    <row r="3173" spans="1:18" x14ac:dyDescent="0.25">
      <c r="A3173" t="s">
        <v>3396</v>
      </c>
      <c r="B3173" t="s">
        <v>55</v>
      </c>
      <c r="C3173" t="s">
        <v>3331</v>
      </c>
      <c r="D3173" t="s">
        <v>3395</v>
      </c>
      <c r="E3173" t="s">
        <v>78</v>
      </c>
      <c r="F3173" t="s">
        <v>252</v>
      </c>
      <c r="G3173">
        <v>6.85</v>
      </c>
      <c r="H3173">
        <v>-75.816699999999997</v>
      </c>
      <c r="I3173" t="s">
        <v>170</v>
      </c>
      <c r="J3173">
        <v>11</v>
      </c>
      <c r="M3173">
        <v>267</v>
      </c>
      <c r="N3173">
        <v>59</v>
      </c>
      <c r="O3173">
        <v>42</v>
      </c>
      <c r="P3173">
        <v>68</v>
      </c>
      <c r="Q3173">
        <v>43</v>
      </c>
      <c r="R3173">
        <v>60</v>
      </c>
    </row>
    <row r="3174" spans="1:18" x14ac:dyDescent="0.25">
      <c r="A3174" t="s">
        <v>3397</v>
      </c>
      <c r="B3174" t="s">
        <v>55</v>
      </c>
      <c r="C3174" t="s">
        <v>3331</v>
      </c>
      <c r="D3174" t="s">
        <v>3395</v>
      </c>
      <c r="E3174" t="s">
        <v>78</v>
      </c>
      <c r="F3174" t="s">
        <v>252</v>
      </c>
      <c r="G3174">
        <v>6.85</v>
      </c>
      <c r="H3174">
        <v>-75.816699999999997</v>
      </c>
      <c r="I3174" t="s">
        <v>170</v>
      </c>
      <c r="J3174">
        <v>11</v>
      </c>
      <c r="M3174">
        <v>254</v>
      </c>
      <c r="N3174">
        <v>61</v>
      </c>
      <c r="O3174">
        <v>42</v>
      </c>
      <c r="P3174">
        <v>54</v>
      </c>
      <c r="Q3174">
        <v>40</v>
      </c>
      <c r="R3174">
        <v>71</v>
      </c>
    </row>
    <row r="3175" spans="1:18" x14ac:dyDescent="0.25">
      <c r="A3175" t="s">
        <v>3398</v>
      </c>
      <c r="B3175" t="s">
        <v>55</v>
      </c>
      <c r="C3175" t="s">
        <v>3331</v>
      </c>
      <c r="D3175" t="s">
        <v>3395</v>
      </c>
      <c r="E3175" t="s">
        <v>78</v>
      </c>
      <c r="F3175" t="s">
        <v>252</v>
      </c>
      <c r="G3175">
        <v>6.85</v>
      </c>
      <c r="H3175">
        <v>-75.816699999999997</v>
      </c>
      <c r="I3175" t="s">
        <v>170</v>
      </c>
      <c r="J3175">
        <v>11</v>
      </c>
      <c r="M3175">
        <v>249</v>
      </c>
      <c r="N3175">
        <v>54</v>
      </c>
      <c r="O3175">
        <v>34</v>
      </c>
      <c r="P3175">
        <v>66</v>
      </c>
      <c r="Q3175">
        <v>43</v>
      </c>
      <c r="R3175">
        <v>56</v>
      </c>
    </row>
    <row r="3176" spans="1:18" x14ac:dyDescent="0.25">
      <c r="A3176" t="s">
        <v>3399</v>
      </c>
      <c r="B3176" t="s">
        <v>55</v>
      </c>
      <c r="C3176" t="s">
        <v>3331</v>
      </c>
      <c r="D3176" t="s">
        <v>3395</v>
      </c>
      <c r="E3176" t="s">
        <v>78</v>
      </c>
      <c r="F3176" t="s">
        <v>252</v>
      </c>
      <c r="G3176">
        <v>6.85</v>
      </c>
      <c r="H3176">
        <v>-75.816699999999997</v>
      </c>
      <c r="I3176" t="s">
        <v>170</v>
      </c>
      <c r="J3176">
        <v>11</v>
      </c>
      <c r="M3176">
        <v>232</v>
      </c>
      <c r="N3176">
        <v>59</v>
      </c>
      <c r="O3176">
        <v>42</v>
      </c>
      <c r="P3176">
        <v>52</v>
      </c>
      <c r="Q3176">
        <v>33</v>
      </c>
      <c r="R3176">
        <v>47</v>
      </c>
    </row>
    <row r="3177" spans="1:18" x14ac:dyDescent="0.25">
      <c r="A3177" t="s">
        <v>3400</v>
      </c>
      <c r="B3177" t="s">
        <v>55</v>
      </c>
      <c r="C3177" t="s">
        <v>3331</v>
      </c>
      <c r="D3177" t="s">
        <v>3395</v>
      </c>
      <c r="E3177" t="s">
        <v>78</v>
      </c>
      <c r="F3177" t="s">
        <v>252</v>
      </c>
      <c r="G3177">
        <v>6.85</v>
      </c>
      <c r="H3177">
        <v>-75.816699999999997</v>
      </c>
      <c r="I3177" t="s">
        <v>170</v>
      </c>
      <c r="J3177">
        <v>11</v>
      </c>
      <c r="M3177">
        <v>229</v>
      </c>
      <c r="N3177">
        <v>51</v>
      </c>
      <c r="O3177">
        <v>34</v>
      </c>
      <c r="P3177">
        <v>60</v>
      </c>
      <c r="Q3177">
        <v>40</v>
      </c>
      <c r="R3177">
        <v>40</v>
      </c>
    </row>
    <row r="3178" spans="1:18" x14ac:dyDescent="0.25">
      <c r="A3178" t="s">
        <v>3401</v>
      </c>
      <c r="B3178" t="s">
        <v>55</v>
      </c>
      <c r="C3178" t="s">
        <v>3331</v>
      </c>
      <c r="D3178" t="s">
        <v>3395</v>
      </c>
      <c r="E3178" t="s">
        <v>78</v>
      </c>
      <c r="F3178" t="s">
        <v>252</v>
      </c>
      <c r="G3178">
        <v>6.85</v>
      </c>
      <c r="H3178">
        <v>-75.816699999999997</v>
      </c>
      <c r="I3178" t="s">
        <v>170</v>
      </c>
      <c r="J3178">
        <v>11</v>
      </c>
      <c r="M3178">
        <v>223</v>
      </c>
      <c r="N3178">
        <v>46</v>
      </c>
      <c r="O3178">
        <v>30</v>
      </c>
      <c r="P3178">
        <v>50</v>
      </c>
      <c r="Q3178">
        <v>43</v>
      </c>
      <c r="R3178">
        <v>73</v>
      </c>
    </row>
    <row r="3179" spans="1:18" x14ac:dyDescent="0.25">
      <c r="A3179" t="s">
        <v>3402</v>
      </c>
      <c r="B3179" t="s">
        <v>55</v>
      </c>
      <c r="C3179" t="s">
        <v>3331</v>
      </c>
      <c r="D3179" t="s">
        <v>3395</v>
      </c>
      <c r="E3179" t="s">
        <v>78</v>
      </c>
      <c r="F3179" t="s">
        <v>252</v>
      </c>
      <c r="G3179">
        <v>6.85</v>
      </c>
      <c r="H3179">
        <v>-75.816699999999997</v>
      </c>
      <c r="I3179" t="s">
        <v>170</v>
      </c>
      <c r="J3179">
        <v>11</v>
      </c>
      <c r="M3179">
        <v>220</v>
      </c>
      <c r="N3179">
        <v>63</v>
      </c>
      <c r="O3179">
        <v>28</v>
      </c>
      <c r="P3179">
        <v>50</v>
      </c>
      <c r="Q3179">
        <v>34</v>
      </c>
      <c r="R3179">
        <v>44</v>
      </c>
    </row>
    <row r="3180" spans="1:18" x14ac:dyDescent="0.25">
      <c r="A3180" t="s">
        <v>3403</v>
      </c>
      <c r="B3180" t="s">
        <v>55</v>
      </c>
      <c r="C3180" t="s">
        <v>3331</v>
      </c>
      <c r="D3180" t="s">
        <v>3395</v>
      </c>
      <c r="E3180" t="s">
        <v>78</v>
      </c>
      <c r="F3180" t="s">
        <v>252</v>
      </c>
      <c r="G3180">
        <v>6.85</v>
      </c>
      <c r="H3180">
        <v>-75.816699999999997</v>
      </c>
      <c r="I3180" t="s">
        <v>170</v>
      </c>
      <c r="J3180">
        <v>11</v>
      </c>
      <c r="M3180">
        <v>219</v>
      </c>
      <c r="N3180">
        <v>54</v>
      </c>
      <c r="O3180">
        <v>34</v>
      </c>
      <c r="P3180">
        <v>46</v>
      </c>
      <c r="Q3180">
        <v>36</v>
      </c>
      <c r="R3180">
        <v>60</v>
      </c>
    </row>
    <row r="3181" spans="1:18" x14ac:dyDescent="0.25">
      <c r="A3181" t="s">
        <v>3404</v>
      </c>
      <c r="B3181" t="s">
        <v>55</v>
      </c>
      <c r="C3181" t="s">
        <v>3331</v>
      </c>
      <c r="D3181" t="s">
        <v>3395</v>
      </c>
      <c r="E3181" t="s">
        <v>78</v>
      </c>
      <c r="F3181" t="s">
        <v>252</v>
      </c>
      <c r="G3181">
        <v>6.85</v>
      </c>
      <c r="H3181">
        <v>-75.816699999999997</v>
      </c>
      <c r="I3181" t="s">
        <v>170</v>
      </c>
      <c r="J3181">
        <v>11</v>
      </c>
      <c r="M3181">
        <v>219</v>
      </c>
      <c r="N3181">
        <v>56</v>
      </c>
      <c r="O3181">
        <v>20</v>
      </c>
      <c r="P3181">
        <v>64</v>
      </c>
      <c r="Q3181">
        <v>34</v>
      </c>
      <c r="R3181">
        <v>45</v>
      </c>
    </row>
    <row r="3182" spans="1:18" x14ac:dyDescent="0.25">
      <c r="A3182" t="s">
        <v>3405</v>
      </c>
      <c r="B3182" t="s">
        <v>55</v>
      </c>
      <c r="C3182" t="s">
        <v>3331</v>
      </c>
      <c r="D3182" t="s">
        <v>3395</v>
      </c>
      <c r="E3182" t="s">
        <v>78</v>
      </c>
      <c r="F3182" t="s">
        <v>252</v>
      </c>
      <c r="G3182">
        <v>6.85</v>
      </c>
      <c r="H3182">
        <v>-75.816699999999997</v>
      </c>
      <c r="I3182" t="s">
        <v>170</v>
      </c>
      <c r="J3182">
        <v>11</v>
      </c>
      <c r="M3182">
        <v>216</v>
      </c>
      <c r="N3182">
        <v>54</v>
      </c>
      <c r="O3182">
        <v>24</v>
      </c>
      <c r="P3182">
        <v>64</v>
      </c>
      <c r="Q3182">
        <v>33</v>
      </c>
      <c r="R3182">
        <v>38</v>
      </c>
    </row>
    <row r="3183" spans="1:18" x14ac:dyDescent="0.25">
      <c r="A3183" t="s">
        <v>3406</v>
      </c>
      <c r="B3183" t="s">
        <v>55</v>
      </c>
      <c r="C3183" t="s">
        <v>3331</v>
      </c>
      <c r="D3183" t="s">
        <v>3395</v>
      </c>
      <c r="E3183" t="s">
        <v>78</v>
      </c>
      <c r="F3183" t="s">
        <v>252</v>
      </c>
      <c r="G3183">
        <v>6.85</v>
      </c>
      <c r="H3183">
        <v>-75.816699999999997</v>
      </c>
      <c r="I3183" t="s">
        <v>170</v>
      </c>
      <c r="J3183">
        <v>11</v>
      </c>
      <c r="M3183">
        <v>215</v>
      </c>
      <c r="N3183">
        <v>54</v>
      </c>
      <c r="O3183">
        <v>26</v>
      </c>
      <c r="P3183">
        <v>58</v>
      </c>
      <c r="Q3183">
        <v>36</v>
      </c>
      <c r="R3183">
        <v>36</v>
      </c>
    </row>
    <row r="3184" spans="1:18" x14ac:dyDescent="0.25">
      <c r="A3184" t="s">
        <v>3407</v>
      </c>
      <c r="B3184" t="s">
        <v>55</v>
      </c>
      <c r="C3184" t="s">
        <v>3331</v>
      </c>
      <c r="D3184" t="s">
        <v>3395</v>
      </c>
      <c r="E3184" t="s">
        <v>78</v>
      </c>
      <c r="F3184" t="s">
        <v>252</v>
      </c>
      <c r="G3184">
        <v>6.85</v>
      </c>
      <c r="H3184">
        <v>-75.816699999999997</v>
      </c>
      <c r="I3184" t="s">
        <v>170</v>
      </c>
      <c r="J3184">
        <v>11</v>
      </c>
      <c r="M3184">
        <v>210</v>
      </c>
      <c r="N3184">
        <v>49</v>
      </c>
      <c r="O3184">
        <v>36</v>
      </c>
      <c r="P3184">
        <v>48</v>
      </c>
      <c r="Q3184">
        <v>34</v>
      </c>
      <c r="R3184">
        <v>44</v>
      </c>
    </row>
    <row r="3185" spans="1:18" x14ac:dyDescent="0.25">
      <c r="A3185" t="s">
        <v>3408</v>
      </c>
      <c r="B3185" t="s">
        <v>55</v>
      </c>
      <c r="C3185" t="s">
        <v>3331</v>
      </c>
      <c r="D3185" t="s">
        <v>3395</v>
      </c>
      <c r="E3185" t="s">
        <v>78</v>
      </c>
      <c r="F3185" t="s">
        <v>252</v>
      </c>
      <c r="G3185">
        <v>6.85</v>
      </c>
      <c r="H3185">
        <v>-75.816699999999997</v>
      </c>
      <c r="I3185" t="s">
        <v>170</v>
      </c>
      <c r="J3185">
        <v>11</v>
      </c>
      <c r="M3185">
        <v>209</v>
      </c>
      <c r="N3185">
        <v>61</v>
      </c>
      <c r="O3185">
        <v>26</v>
      </c>
      <c r="P3185">
        <v>60</v>
      </c>
      <c r="Q3185">
        <v>24</v>
      </c>
      <c r="R3185">
        <v>31</v>
      </c>
    </row>
    <row r="3186" spans="1:18" x14ac:dyDescent="0.25">
      <c r="A3186" t="s">
        <v>3409</v>
      </c>
      <c r="B3186" t="s">
        <v>55</v>
      </c>
      <c r="C3186" t="s">
        <v>3331</v>
      </c>
      <c r="D3186" t="s">
        <v>3395</v>
      </c>
      <c r="E3186" t="s">
        <v>78</v>
      </c>
      <c r="F3186" t="s">
        <v>252</v>
      </c>
      <c r="G3186">
        <v>6.85</v>
      </c>
      <c r="H3186">
        <v>-75.816699999999997</v>
      </c>
      <c r="I3186" t="s">
        <v>170</v>
      </c>
      <c r="J3186">
        <v>11</v>
      </c>
      <c r="M3186">
        <v>209</v>
      </c>
      <c r="N3186">
        <v>54</v>
      </c>
      <c r="O3186">
        <v>28</v>
      </c>
      <c r="P3186">
        <v>48</v>
      </c>
      <c r="Q3186">
        <v>36</v>
      </c>
      <c r="R3186">
        <v>45</v>
      </c>
    </row>
    <row r="3187" spans="1:18" x14ac:dyDescent="0.25">
      <c r="A3187" t="s">
        <v>3410</v>
      </c>
      <c r="B3187" t="s">
        <v>55</v>
      </c>
      <c r="C3187" t="s">
        <v>3331</v>
      </c>
      <c r="D3187" t="s">
        <v>3395</v>
      </c>
      <c r="E3187" t="s">
        <v>78</v>
      </c>
      <c r="F3187" t="s">
        <v>252</v>
      </c>
      <c r="G3187">
        <v>6.85</v>
      </c>
      <c r="H3187">
        <v>-75.816699999999997</v>
      </c>
      <c r="I3187" t="s">
        <v>170</v>
      </c>
      <c r="J3187">
        <v>11</v>
      </c>
      <c r="M3187">
        <v>207</v>
      </c>
      <c r="N3187">
        <v>51</v>
      </c>
      <c r="O3187">
        <v>40</v>
      </c>
      <c r="P3187">
        <v>48</v>
      </c>
      <c r="Q3187">
        <v>24</v>
      </c>
      <c r="R3187">
        <v>47</v>
      </c>
    </row>
    <row r="3188" spans="1:18" x14ac:dyDescent="0.25">
      <c r="A3188" t="s">
        <v>3411</v>
      </c>
      <c r="B3188" t="s">
        <v>55</v>
      </c>
      <c r="C3188" t="s">
        <v>3331</v>
      </c>
      <c r="D3188" t="s">
        <v>3395</v>
      </c>
      <c r="E3188" t="s">
        <v>78</v>
      </c>
      <c r="F3188" t="s">
        <v>252</v>
      </c>
      <c r="G3188">
        <v>6.85</v>
      </c>
      <c r="H3188">
        <v>-75.816699999999997</v>
      </c>
      <c r="I3188" t="s">
        <v>170</v>
      </c>
      <c r="J3188">
        <v>11</v>
      </c>
      <c r="M3188">
        <v>206</v>
      </c>
      <c r="N3188">
        <v>44</v>
      </c>
      <c r="O3188">
        <v>28</v>
      </c>
      <c r="P3188">
        <v>58</v>
      </c>
      <c r="Q3188">
        <v>33</v>
      </c>
      <c r="R3188">
        <v>47</v>
      </c>
    </row>
    <row r="3189" spans="1:18" x14ac:dyDescent="0.25">
      <c r="A3189" t="s">
        <v>3412</v>
      </c>
      <c r="B3189" t="s">
        <v>55</v>
      </c>
      <c r="C3189" t="s">
        <v>3331</v>
      </c>
      <c r="D3189" t="s">
        <v>3395</v>
      </c>
      <c r="E3189" t="s">
        <v>78</v>
      </c>
      <c r="F3189" t="s">
        <v>252</v>
      </c>
      <c r="G3189">
        <v>6.85</v>
      </c>
      <c r="H3189">
        <v>-75.816699999999997</v>
      </c>
      <c r="I3189" t="s">
        <v>170</v>
      </c>
      <c r="J3189">
        <v>11</v>
      </c>
      <c r="M3189">
        <v>195</v>
      </c>
      <c r="N3189">
        <v>51</v>
      </c>
      <c r="O3189">
        <v>32</v>
      </c>
      <c r="P3189">
        <v>40</v>
      </c>
      <c r="Q3189">
        <v>31</v>
      </c>
      <c r="R3189">
        <v>44</v>
      </c>
    </row>
    <row r="3190" spans="1:18" x14ac:dyDescent="0.25">
      <c r="A3190" t="s">
        <v>3413</v>
      </c>
      <c r="B3190" t="s">
        <v>55</v>
      </c>
      <c r="C3190" t="s">
        <v>3331</v>
      </c>
      <c r="D3190" t="s">
        <v>3395</v>
      </c>
      <c r="E3190" t="s">
        <v>78</v>
      </c>
      <c r="F3190" t="s">
        <v>252</v>
      </c>
      <c r="G3190">
        <v>6.85</v>
      </c>
      <c r="H3190">
        <v>-75.816699999999997</v>
      </c>
      <c r="I3190" t="s">
        <v>170</v>
      </c>
      <c r="J3190">
        <v>11</v>
      </c>
      <c r="M3190">
        <v>191</v>
      </c>
      <c r="N3190">
        <v>49</v>
      </c>
      <c r="O3190">
        <v>26</v>
      </c>
      <c r="P3190">
        <v>50</v>
      </c>
      <c r="Q3190">
        <v>28</v>
      </c>
      <c r="R3190">
        <v>40</v>
      </c>
    </row>
    <row r="3191" spans="1:18" x14ac:dyDescent="0.25">
      <c r="A3191" t="s">
        <v>3414</v>
      </c>
      <c r="B3191" t="s">
        <v>55</v>
      </c>
      <c r="C3191" t="s">
        <v>3331</v>
      </c>
      <c r="D3191" t="s">
        <v>3395</v>
      </c>
      <c r="E3191" t="s">
        <v>78</v>
      </c>
      <c r="F3191" t="s">
        <v>252</v>
      </c>
      <c r="G3191">
        <v>6.85</v>
      </c>
      <c r="H3191">
        <v>-75.816699999999997</v>
      </c>
      <c r="I3191" t="s">
        <v>170</v>
      </c>
      <c r="J3191">
        <v>11</v>
      </c>
      <c r="M3191">
        <v>184</v>
      </c>
      <c r="N3191">
        <v>56</v>
      </c>
      <c r="O3191">
        <v>28</v>
      </c>
      <c r="P3191">
        <v>32</v>
      </c>
      <c r="Q3191">
        <v>31</v>
      </c>
      <c r="R3191">
        <v>36</v>
      </c>
    </row>
    <row r="3192" spans="1:18" x14ac:dyDescent="0.25">
      <c r="A3192" t="s">
        <v>3415</v>
      </c>
      <c r="B3192" t="s">
        <v>55</v>
      </c>
      <c r="C3192" t="s">
        <v>3331</v>
      </c>
      <c r="D3192" t="s">
        <v>3395</v>
      </c>
      <c r="E3192" t="s">
        <v>78</v>
      </c>
      <c r="F3192" t="s">
        <v>252</v>
      </c>
      <c r="G3192">
        <v>6.85</v>
      </c>
      <c r="H3192">
        <v>-75.816699999999997</v>
      </c>
      <c r="I3192" t="s">
        <v>170</v>
      </c>
      <c r="J3192">
        <v>11</v>
      </c>
      <c r="M3192">
        <v>183</v>
      </c>
      <c r="N3192">
        <v>46</v>
      </c>
      <c r="O3192">
        <v>22</v>
      </c>
      <c r="P3192">
        <v>50</v>
      </c>
      <c r="Q3192">
        <v>29</v>
      </c>
      <c r="R3192">
        <v>33</v>
      </c>
    </row>
    <row r="3193" spans="1:18" x14ac:dyDescent="0.25">
      <c r="A3193" t="s">
        <v>3416</v>
      </c>
      <c r="B3193" t="s">
        <v>55</v>
      </c>
      <c r="C3193" t="s">
        <v>3331</v>
      </c>
      <c r="D3193" t="s">
        <v>3395</v>
      </c>
      <c r="E3193" t="s">
        <v>78</v>
      </c>
      <c r="F3193" t="s">
        <v>252</v>
      </c>
      <c r="G3193">
        <v>6.85</v>
      </c>
      <c r="H3193">
        <v>-75.816699999999997</v>
      </c>
      <c r="I3193" t="s">
        <v>170</v>
      </c>
      <c r="J3193">
        <v>11</v>
      </c>
      <c r="M3193">
        <v>175</v>
      </c>
      <c r="N3193">
        <v>37</v>
      </c>
      <c r="O3193">
        <v>24</v>
      </c>
      <c r="P3193">
        <v>48</v>
      </c>
      <c r="Q3193">
        <v>36</v>
      </c>
      <c r="R3193">
        <v>22</v>
      </c>
    </row>
    <row r="3194" spans="1:18" x14ac:dyDescent="0.25">
      <c r="A3194" t="s">
        <v>3417</v>
      </c>
      <c r="B3194" t="s">
        <v>55</v>
      </c>
      <c r="C3194" t="s">
        <v>3331</v>
      </c>
      <c r="D3194" t="s">
        <v>3395</v>
      </c>
      <c r="E3194" t="s">
        <v>78</v>
      </c>
      <c r="F3194" t="s">
        <v>252</v>
      </c>
      <c r="G3194">
        <v>6.85</v>
      </c>
      <c r="H3194">
        <v>-75.816699999999997</v>
      </c>
      <c r="I3194" t="s">
        <v>170</v>
      </c>
      <c r="J3194">
        <v>11</v>
      </c>
      <c r="M3194">
        <v>174</v>
      </c>
      <c r="N3194">
        <v>37</v>
      </c>
      <c r="O3194">
        <v>22</v>
      </c>
      <c r="P3194">
        <v>48</v>
      </c>
      <c r="Q3194">
        <v>33</v>
      </c>
      <c r="R3194">
        <v>35</v>
      </c>
    </row>
    <row r="3195" spans="1:18" x14ac:dyDescent="0.25">
      <c r="A3195" t="s">
        <v>3418</v>
      </c>
      <c r="B3195" t="s">
        <v>55</v>
      </c>
      <c r="C3195" t="s">
        <v>3331</v>
      </c>
      <c r="D3195" t="s">
        <v>3395</v>
      </c>
      <c r="E3195" t="s">
        <v>78</v>
      </c>
      <c r="F3195" t="s">
        <v>252</v>
      </c>
      <c r="G3195">
        <v>6.85</v>
      </c>
      <c r="H3195">
        <v>-75.816699999999997</v>
      </c>
      <c r="I3195" t="s">
        <v>170</v>
      </c>
      <c r="J3195">
        <v>11</v>
      </c>
      <c r="M3195">
        <v>173</v>
      </c>
      <c r="N3195">
        <v>44</v>
      </c>
      <c r="O3195">
        <v>28</v>
      </c>
      <c r="P3195">
        <v>44</v>
      </c>
      <c r="Q3195">
        <v>24</v>
      </c>
      <c r="R3195">
        <v>31</v>
      </c>
    </row>
    <row r="3196" spans="1:18" x14ac:dyDescent="0.25">
      <c r="A3196" t="s">
        <v>3419</v>
      </c>
      <c r="B3196" t="s">
        <v>55</v>
      </c>
      <c r="C3196" t="s">
        <v>3331</v>
      </c>
      <c r="D3196" t="s">
        <v>3395</v>
      </c>
      <c r="E3196" t="s">
        <v>78</v>
      </c>
      <c r="F3196" t="s">
        <v>252</v>
      </c>
      <c r="G3196">
        <v>6.85</v>
      </c>
      <c r="H3196">
        <v>-75.816699999999997</v>
      </c>
      <c r="I3196" t="s">
        <v>170</v>
      </c>
      <c r="J3196">
        <v>11</v>
      </c>
      <c r="M3196">
        <v>172</v>
      </c>
      <c r="N3196">
        <v>46</v>
      </c>
      <c r="O3196">
        <v>26</v>
      </c>
      <c r="P3196">
        <v>42</v>
      </c>
      <c r="Q3196">
        <v>22</v>
      </c>
      <c r="R3196">
        <v>38</v>
      </c>
    </row>
    <row r="3197" spans="1:18" x14ac:dyDescent="0.25">
      <c r="A3197" t="s">
        <v>3420</v>
      </c>
      <c r="B3197" t="s">
        <v>55</v>
      </c>
      <c r="C3197" t="s">
        <v>3331</v>
      </c>
      <c r="D3197" t="s">
        <v>3395</v>
      </c>
      <c r="E3197" t="s">
        <v>78</v>
      </c>
      <c r="F3197" t="s">
        <v>252</v>
      </c>
      <c r="G3197">
        <v>6.85</v>
      </c>
      <c r="H3197">
        <v>-75.816699999999997</v>
      </c>
      <c r="I3197" t="s">
        <v>170</v>
      </c>
      <c r="J3197">
        <v>11</v>
      </c>
      <c r="M3197">
        <v>171</v>
      </c>
      <c r="N3197">
        <v>37</v>
      </c>
      <c r="O3197">
        <v>28</v>
      </c>
      <c r="P3197">
        <v>38</v>
      </c>
      <c r="Q3197">
        <v>33</v>
      </c>
      <c r="R3197">
        <v>38</v>
      </c>
    </row>
    <row r="3198" spans="1:18" x14ac:dyDescent="0.25">
      <c r="A3198" t="s">
        <v>3421</v>
      </c>
      <c r="B3198" t="s">
        <v>55</v>
      </c>
      <c r="C3198" t="s">
        <v>3331</v>
      </c>
      <c r="D3198" t="s">
        <v>3395</v>
      </c>
      <c r="E3198" t="s">
        <v>78</v>
      </c>
      <c r="F3198" t="s">
        <v>252</v>
      </c>
      <c r="G3198">
        <v>6.85</v>
      </c>
      <c r="H3198">
        <v>-75.816699999999997</v>
      </c>
      <c r="I3198" t="s">
        <v>170</v>
      </c>
      <c r="J3198">
        <v>11</v>
      </c>
      <c r="M3198">
        <v>149</v>
      </c>
      <c r="N3198">
        <v>37</v>
      </c>
      <c r="O3198">
        <v>22</v>
      </c>
      <c r="P3198">
        <v>38</v>
      </c>
      <c r="Q3198">
        <v>21</v>
      </c>
      <c r="R3198">
        <v>36</v>
      </c>
    </row>
    <row r="3199" spans="1:18" x14ac:dyDescent="0.25">
      <c r="A3199" t="s">
        <v>3422</v>
      </c>
      <c r="B3199" t="s">
        <v>55</v>
      </c>
      <c r="C3199" t="s">
        <v>3331</v>
      </c>
      <c r="D3199" t="s">
        <v>3395</v>
      </c>
      <c r="E3199" t="s">
        <v>78</v>
      </c>
      <c r="F3199" t="s">
        <v>252</v>
      </c>
      <c r="G3199">
        <v>6.85</v>
      </c>
      <c r="H3199">
        <v>-75.816699999999997</v>
      </c>
      <c r="I3199" t="s">
        <v>170</v>
      </c>
      <c r="J3199">
        <v>11</v>
      </c>
      <c r="M3199">
        <v>147</v>
      </c>
      <c r="N3199">
        <v>29</v>
      </c>
      <c r="O3199">
        <v>16</v>
      </c>
      <c r="P3199">
        <v>38</v>
      </c>
      <c r="Q3199">
        <v>29</v>
      </c>
      <c r="R3199">
        <v>45</v>
      </c>
    </row>
    <row r="3200" spans="1:18" x14ac:dyDescent="0.25">
      <c r="A3200" t="s">
        <v>3423</v>
      </c>
      <c r="B3200" t="s">
        <v>55</v>
      </c>
      <c r="C3200" t="s">
        <v>3331</v>
      </c>
      <c r="D3200" t="s">
        <v>3395</v>
      </c>
      <c r="E3200" t="s">
        <v>78</v>
      </c>
      <c r="F3200" t="s">
        <v>252</v>
      </c>
      <c r="G3200">
        <v>6.85</v>
      </c>
      <c r="H3200">
        <v>-75.816699999999997</v>
      </c>
      <c r="I3200" t="s">
        <v>170</v>
      </c>
      <c r="J3200">
        <v>11</v>
      </c>
      <c r="M3200">
        <v>147</v>
      </c>
      <c r="N3200">
        <v>34</v>
      </c>
      <c r="O3200">
        <v>14</v>
      </c>
      <c r="P3200">
        <v>30</v>
      </c>
      <c r="Q3200">
        <v>36</v>
      </c>
      <c r="R3200">
        <v>38</v>
      </c>
    </row>
    <row r="3201" spans="1:18" x14ac:dyDescent="0.25">
      <c r="A3201" t="s">
        <v>3424</v>
      </c>
      <c r="B3201" t="s">
        <v>55</v>
      </c>
      <c r="C3201" t="s">
        <v>3331</v>
      </c>
      <c r="D3201" t="s">
        <v>3395</v>
      </c>
      <c r="E3201" t="s">
        <v>78</v>
      </c>
      <c r="F3201" t="s">
        <v>252</v>
      </c>
      <c r="G3201">
        <v>6.85</v>
      </c>
      <c r="H3201">
        <v>-75.816699999999997</v>
      </c>
      <c r="I3201" t="s">
        <v>170</v>
      </c>
      <c r="J3201">
        <v>11</v>
      </c>
      <c r="M3201">
        <v>144</v>
      </c>
      <c r="N3201">
        <v>51</v>
      </c>
      <c r="O3201">
        <v>20</v>
      </c>
      <c r="P3201">
        <v>30</v>
      </c>
      <c r="Q3201">
        <v>16</v>
      </c>
      <c r="R3201">
        <v>25</v>
      </c>
    </row>
    <row r="3202" spans="1:18" x14ac:dyDescent="0.25">
      <c r="A3202" t="s">
        <v>3425</v>
      </c>
      <c r="B3202" t="s">
        <v>55</v>
      </c>
      <c r="C3202" t="s">
        <v>3331</v>
      </c>
      <c r="D3202" t="s">
        <v>3395</v>
      </c>
      <c r="E3202" t="s">
        <v>78</v>
      </c>
      <c r="F3202" t="s">
        <v>252</v>
      </c>
      <c r="G3202">
        <v>6.85</v>
      </c>
      <c r="H3202">
        <v>-75.816699999999997</v>
      </c>
      <c r="I3202" t="s">
        <v>170</v>
      </c>
      <c r="J3202">
        <v>11</v>
      </c>
      <c r="M3202">
        <v>134</v>
      </c>
      <c r="N3202">
        <v>44</v>
      </c>
      <c r="O3202">
        <v>16</v>
      </c>
      <c r="P3202">
        <v>32</v>
      </c>
      <c r="Q3202">
        <v>16</v>
      </c>
      <c r="R3202">
        <v>27</v>
      </c>
    </row>
    <row r="3203" spans="1:18" x14ac:dyDescent="0.25">
      <c r="A3203" t="s">
        <v>3426</v>
      </c>
      <c r="B3203" t="s">
        <v>55</v>
      </c>
      <c r="C3203" t="s">
        <v>3331</v>
      </c>
      <c r="D3203" t="s">
        <v>3395</v>
      </c>
      <c r="E3203" t="s">
        <v>78</v>
      </c>
      <c r="F3203" t="s">
        <v>252</v>
      </c>
      <c r="G3203">
        <v>6.85</v>
      </c>
      <c r="H3203">
        <v>-75.816699999999997</v>
      </c>
      <c r="I3203" t="s">
        <v>170</v>
      </c>
      <c r="J3203">
        <v>11</v>
      </c>
      <c r="M3203">
        <v>123</v>
      </c>
      <c r="N3203">
        <v>39</v>
      </c>
      <c r="O3203">
        <v>22</v>
      </c>
      <c r="P3203">
        <v>18</v>
      </c>
      <c r="Q3203">
        <v>19</v>
      </c>
      <c r="R3203">
        <v>25</v>
      </c>
    </row>
    <row r="3204" spans="1:18" x14ac:dyDescent="0.25">
      <c r="A3204" t="s">
        <v>3427</v>
      </c>
      <c r="B3204" t="s">
        <v>55</v>
      </c>
      <c r="C3204" t="s">
        <v>3331</v>
      </c>
      <c r="D3204" t="s">
        <v>3395</v>
      </c>
      <c r="E3204" t="s">
        <v>78</v>
      </c>
      <c r="F3204" t="s">
        <v>252</v>
      </c>
      <c r="G3204">
        <v>6.85</v>
      </c>
      <c r="H3204">
        <v>-75.816699999999997</v>
      </c>
      <c r="I3204" t="s">
        <v>170</v>
      </c>
      <c r="J3204">
        <v>11</v>
      </c>
      <c r="M3204">
        <v>103</v>
      </c>
      <c r="N3204">
        <v>37</v>
      </c>
      <c r="O3204">
        <v>12</v>
      </c>
      <c r="P3204">
        <v>18</v>
      </c>
      <c r="Q3204">
        <v>16</v>
      </c>
      <c r="R3204">
        <v>22</v>
      </c>
    </row>
    <row r="3205" spans="1:18" x14ac:dyDescent="0.25">
      <c r="A3205" t="s">
        <v>3428</v>
      </c>
      <c r="B3205" t="s">
        <v>55</v>
      </c>
      <c r="C3205" t="s">
        <v>3331</v>
      </c>
      <c r="D3205" t="s">
        <v>3395</v>
      </c>
      <c r="E3205" t="s">
        <v>78</v>
      </c>
      <c r="F3205" t="s">
        <v>252</v>
      </c>
      <c r="G3205">
        <v>6.85</v>
      </c>
      <c r="H3205">
        <v>-75.816699999999997</v>
      </c>
      <c r="I3205" t="s">
        <v>170</v>
      </c>
      <c r="J3205">
        <v>11</v>
      </c>
      <c r="M3205">
        <v>79</v>
      </c>
      <c r="N3205">
        <v>27</v>
      </c>
      <c r="O3205">
        <v>12</v>
      </c>
      <c r="P3205">
        <v>16</v>
      </c>
      <c r="Q3205">
        <v>14</v>
      </c>
      <c r="R3205">
        <v>0</v>
      </c>
    </row>
    <row r="3206" spans="1:18" x14ac:dyDescent="0.25">
      <c r="A3206" t="s">
        <v>3429</v>
      </c>
      <c r="B3206" t="s">
        <v>55</v>
      </c>
      <c r="C3206" t="s">
        <v>3331</v>
      </c>
      <c r="D3206" t="s">
        <v>3395</v>
      </c>
      <c r="E3206" t="s">
        <v>78</v>
      </c>
      <c r="F3206" t="s">
        <v>252</v>
      </c>
      <c r="G3206">
        <v>6.85</v>
      </c>
      <c r="H3206">
        <v>-75.816699999999997</v>
      </c>
      <c r="I3206" t="s">
        <v>170</v>
      </c>
      <c r="J3206">
        <v>11</v>
      </c>
      <c r="M3206">
        <v>64</v>
      </c>
      <c r="N3206">
        <v>0</v>
      </c>
      <c r="O3206">
        <v>12</v>
      </c>
      <c r="P3206">
        <v>18</v>
      </c>
      <c r="Q3206">
        <v>16</v>
      </c>
      <c r="R3206">
        <v>29</v>
      </c>
    </row>
    <row r="3207" spans="1:18" x14ac:dyDescent="0.25">
      <c r="A3207" t="s">
        <v>3430</v>
      </c>
      <c r="B3207" t="s">
        <v>55</v>
      </c>
      <c r="C3207" t="s">
        <v>3431</v>
      </c>
      <c r="D3207" t="s">
        <v>3432</v>
      </c>
      <c r="E3207" t="s">
        <v>78</v>
      </c>
      <c r="F3207" t="s">
        <v>252</v>
      </c>
      <c r="G3207">
        <v>6.4085999999999999</v>
      </c>
      <c r="H3207">
        <v>-75.982799999999997</v>
      </c>
      <c r="I3207" t="s">
        <v>3433</v>
      </c>
      <c r="J3207">
        <v>11</v>
      </c>
      <c r="M3207">
        <v>256</v>
      </c>
      <c r="N3207">
        <v>59</v>
      </c>
      <c r="O3207">
        <v>26</v>
      </c>
      <c r="P3207">
        <v>66</v>
      </c>
      <c r="Q3207">
        <v>57</v>
      </c>
      <c r="R3207">
        <v>44</v>
      </c>
    </row>
    <row r="3208" spans="1:18" x14ac:dyDescent="0.25">
      <c r="A3208" t="s">
        <v>3434</v>
      </c>
      <c r="B3208" t="s">
        <v>55</v>
      </c>
      <c r="C3208" t="s">
        <v>3431</v>
      </c>
      <c r="D3208" t="s">
        <v>3432</v>
      </c>
      <c r="E3208" t="s">
        <v>78</v>
      </c>
      <c r="F3208" t="s">
        <v>252</v>
      </c>
      <c r="G3208">
        <v>6.4085999999999999</v>
      </c>
      <c r="H3208">
        <v>-75.982799999999997</v>
      </c>
      <c r="I3208" t="s">
        <v>3433</v>
      </c>
      <c r="J3208">
        <v>11</v>
      </c>
      <c r="M3208">
        <v>251</v>
      </c>
      <c r="N3208">
        <v>59</v>
      </c>
      <c r="O3208">
        <v>38</v>
      </c>
      <c r="P3208">
        <v>64</v>
      </c>
      <c r="Q3208">
        <v>38</v>
      </c>
      <c r="R3208">
        <v>56</v>
      </c>
    </row>
    <row r="3209" spans="1:18" x14ac:dyDescent="0.25">
      <c r="A3209" t="s">
        <v>3435</v>
      </c>
      <c r="B3209" t="s">
        <v>55</v>
      </c>
      <c r="C3209" t="s">
        <v>3431</v>
      </c>
      <c r="D3209" t="s">
        <v>3432</v>
      </c>
      <c r="E3209" t="s">
        <v>78</v>
      </c>
      <c r="F3209" t="s">
        <v>252</v>
      </c>
      <c r="G3209">
        <v>6.4085999999999999</v>
      </c>
      <c r="H3209">
        <v>-75.982799999999997</v>
      </c>
      <c r="I3209" t="s">
        <v>3433</v>
      </c>
      <c r="J3209">
        <v>11</v>
      </c>
      <c r="M3209">
        <v>236</v>
      </c>
      <c r="N3209">
        <v>56</v>
      </c>
      <c r="O3209">
        <v>24</v>
      </c>
      <c r="P3209">
        <v>60</v>
      </c>
      <c r="Q3209">
        <v>47</v>
      </c>
      <c r="R3209">
        <v>55</v>
      </c>
    </row>
    <row r="3210" spans="1:18" x14ac:dyDescent="0.25">
      <c r="A3210" t="s">
        <v>3436</v>
      </c>
      <c r="B3210" t="s">
        <v>55</v>
      </c>
      <c r="C3210" t="s">
        <v>3431</v>
      </c>
      <c r="D3210" t="s">
        <v>3432</v>
      </c>
      <c r="E3210" t="s">
        <v>78</v>
      </c>
      <c r="F3210" t="s">
        <v>252</v>
      </c>
      <c r="G3210">
        <v>6.4085999999999999</v>
      </c>
      <c r="H3210">
        <v>-75.982799999999997</v>
      </c>
      <c r="I3210" t="s">
        <v>3433</v>
      </c>
      <c r="J3210">
        <v>11</v>
      </c>
      <c r="M3210">
        <v>228</v>
      </c>
      <c r="N3210">
        <v>49</v>
      </c>
      <c r="O3210">
        <v>36</v>
      </c>
      <c r="P3210">
        <v>54</v>
      </c>
      <c r="Q3210">
        <v>40</v>
      </c>
      <c r="R3210">
        <v>58</v>
      </c>
    </row>
    <row r="3211" spans="1:18" x14ac:dyDescent="0.25">
      <c r="A3211" t="s">
        <v>3437</v>
      </c>
      <c r="B3211" t="s">
        <v>55</v>
      </c>
      <c r="C3211" t="s">
        <v>3431</v>
      </c>
      <c r="D3211" t="s">
        <v>3432</v>
      </c>
      <c r="E3211" t="s">
        <v>78</v>
      </c>
      <c r="F3211" t="s">
        <v>252</v>
      </c>
      <c r="G3211">
        <v>6.4085999999999999</v>
      </c>
      <c r="H3211">
        <v>-75.982799999999997</v>
      </c>
      <c r="I3211" t="s">
        <v>3433</v>
      </c>
      <c r="J3211">
        <v>11</v>
      </c>
      <c r="M3211">
        <v>223</v>
      </c>
      <c r="N3211">
        <v>49</v>
      </c>
      <c r="O3211">
        <v>24</v>
      </c>
      <c r="P3211">
        <v>72</v>
      </c>
      <c r="Q3211">
        <v>28</v>
      </c>
      <c r="R3211">
        <v>62</v>
      </c>
    </row>
    <row r="3212" spans="1:18" x14ac:dyDescent="0.25">
      <c r="A3212" t="s">
        <v>3438</v>
      </c>
      <c r="B3212" t="s">
        <v>55</v>
      </c>
      <c r="C3212" t="s">
        <v>3431</v>
      </c>
      <c r="D3212" t="s">
        <v>3432</v>
      </c>
      <c r="E3212" t="s">
        <v>78</v>
      </c>
      <c r="F3212" t="s">
        <v>252</v>
      </c>
      <c r="G3212">
        <v>6.4085999999999999</v>
      </c>
      <c r="H3212">
        <v>-75.982799999999997</v>
      </c>
      <c r="I3212" t="s">
        <v>3433</v>
      </c>
      <c r="J3212">
        <v>11</v>
      </c>
      <c r="M3212">
        <v>223</v>
      </c>
      <c r="N3212">
        <v>61</v>
      </c>
      <c r="O3212">
        <v>24</v>
      </c>
      <c r="P3212">
        <v>54</v>
      </c>
      <c r="Q3212">
        <v>33</v>
      </c>
      <c r="R3212">
        <v>64</v>
      </c>
    </row>
    <row r="3213" spans="1:18" x14ac:dyDescent="0.25">
      <c r="A3213" t="s">
        <v>3439</v>
      </c>
      <c r="B3213" t="s">
        <v>55</v>
      </c>
      <c r="C3213" t="s">
        <v>3431</v>
      </c>
      <c r="D3213" t="s">
        <v>3432</v>
      </c>
      <c r="E3213" t="s">
        <v>78</v>
      </c>
      <c r="F3213" t="s">
        <v>252</v>
      </c>
      <c r="G3213">
        <v>6.4085999999999999</v>
      </c>
      <c r="H3213">
        <v>-75.982799999999997</v>
      </c>
      <c r="I3213" t="s">
        <v>3433</v>
      </c>
      <c r="J3213">
        <v>11</v>
      </c>
      <c r="M3213">
        <v>214</v>
      </c>
      <c r="N3213">
        <v>56</v>
      </c>
      <c r="O3213">
        <v>32</v>
      </c>
      <c r="P3213">
        <v>58</v>
      </c>
      <c r="Q3213">
        <v>28</v>
      </c>
      <c r="R3213">
        <v>35</v>
      </c>
    </row>
    <row r="3214" spans="1:18" x14ac:dyDescent="0.25">
      <c r="A3214" t="s">
        <v>3440</v>
      </c>
      <c r="B3214" t="s">
        <v>55</v>
      </c>
      <c r="C3214" t="s">
        <v>3431</v>
      </c>
      <c r="D3214" t="s">
        <v>3432</v>
      </c>
      <c r="E3214" t="s">
        <v>78</v>
      </c>
      <c r="F3214" t="s">
        <v>252</v>
      </c>
      <c r="G3214">
        <v>6.4085999999999999</v>
      </c>
      <c r="H3214">
        <v>-75.982799999999997</v>
      </c>
      <c r="I3214" t="s">
        <v>3433</v>
      </c>
      <c r="J3214">
        <v>11</v>
      </c>
      <c r="M3214">
        <v>210</v>
      </c>
      <c r="N3214">
        <v>63</v>
      </c>
      <c r="O3214">
        <v>26</v>
      </c>
      <c r="P3214">
        <v>46</v>
      </c>
      <c r="Q3214">
        <v>34</v>
      </c>
      <c r="R3214">
        <v>36</v>
      </c>
    </row>
    <row r="3215" spans="1:18" x14ac:dyDescent="0.25">
      <c r="A3215" t="s">
        <v>3441</v>
      </c>
      <c r="B3215" t="s">
        <v>55</v>
      </c>
      <c r="C3215" t="s">
        <v>3431</v>
      </c>
      <c r="D3215" t="s">
        <v>3432</v>
      </c>
      <c r="E3215" t="s">
        <v>78</v>
      </c>
      <c r="F3215" t="s">
        <v>252</v>
      </c>
      <c r="G3215">
        <v>6.4085999999999999</v>
      </c>
      <c r="H3215">
        <v>-75.982799999999997</v>
      </c>
      <c r="I3215" t="s">
        <v>3433</v>
      </c>
      <c r="J3215">
        <v>11</v>
      </c>
      <c r="M3215">
        <v>206</v>
      </c>
      <c r="N3215">
        <v>54</v>
      </c>
      <c r="O3215">
        <v>18</v>
      </c>
      <c r="P3215">
        <v>48</v>
      </c>
      <c r="Q3215">
        <v>40</v>
      </c>
      <c r="R3215">
        <v>56</v>
      </c>
    </row>
    <row r="3216" spans="1:18" x14ac:dyDescent="0.25">
      <c r="A3216" t="s">
        <v>3442</v>
      </c>
      <c r="B3216" t="s">
        <v>55</v>
      </c>
      <c r="C3216" t="s">
        <v>3431</v>
      </c>
      <c r="D3216" t="s">
        <v>3432</v>
      </c>
      <c r="E3216" t="s">
        <v>78</v>
      </c>
      <c r="F3216" t="s">
        <v>252</v>
      </c>
      <c r="G3216">
        <v>6.4085999999999999</v>
      </c>
      <c r="H3216">
        <v>-75.982799999999997</v>
      </c>
      <c r="I3216" t="s">
        <v>3433</v>
      </c>
      <c r="J3216">
        <v>11</v>
      </c>
      <c r="M3216">
        <v>204</v>
      </c>
      <c r="N3216">
        <v>49</v>
      </c>
      <c r="O3216">
        <v>26</v>
      </c>
      <c r="P3216">
        <v>62</v>
      </c>
      <c r="Q3216">
        <v>24</v>
      </c>
      <c r="R3216">
        <v>47</v>
      </c>
    </row>
    <row r="3217" spans="1:18" x14ac:dyDescent="0.25">
      <c r="A3217" t="s">
        <v>3443</v>
      </c>
      <c r="B3217" t="s">
        <v>55</v>
      </c>
      <c r="C3217" t="s">
        <v>3431</v>
      </c>
      <c r="D3217" t="s">
        <v>3432</v>
      </c>
      <c r="E3217" t="s">
        <v>78</v>
      </c>
      <c r="F3217" t="s">
        <v>252</v>
      </c>
      <c r="G3217">
        <v>6.4085999999999999</v>
      </c>
      <c r="H3217">
        <v>-75.982799999999997</v>
      </c>
      <c r="I3217" t="s">
        <v>3433</v>
      </c>
      <c r="J3217">
        <v>11</v>
      </c>
      <c r="M3217">
        <v>199</v>
      </c>
      <c r="N3217">
        <v>54</v>
      </c>
      <c r="O3217">
        <v>32</v>
      </c>
      <c r="P3217">
        <v>46</v>
      </c>
      <c r="Q3217">
        <v>26</v>
      </c>
      <c r="R3217">
        <v>45</v>
      </c>
    </row>
    <row r="3218" spans="1:18" x14ac:dyDescent="0.25">
      <c r="A3218" t="s">
        <v>3444</v>
      </c>
      <c r="B3218" t="s">
        <v>55</v>
      </c>
      <c r="C3218" t="s">
        <v>3431</v>
      </c>
      <c r="D3218" t="s">
        <v>3432</v>
      </c>
      <c r="E3218" t="s">
        <v>78</v>
      </c>
      <c r="F3218" t="s">
        <v>252</v>
      </c>
      <c r="G3218">
        <v>6.4085999999999999</v>
      </c>
      <c r="H3218">
        <v>-75.982799999999997</v>
      </c>
      <c r="I3218" t="s">
        <v>3433</v>
      </c>
      <c r="J3218">
        <v>11</v>
      </c>
      <c r="M3218">
        <v>196</v>
      </c>
      <c r="N3218">
        <v>49</v>
      </c>
      <c r="O3218">
        <v>20</v>
      </c>
      <c r="P3218">
        <v>50</v>
      </c>
      <c r="Q3218">
        <v>38</v>
      </c>
      <c r="R3218">
        <v>38</v>
      </c>
    </row>
    <row r="3219" spans="1:18" x14ac:dyDescent="0.25">
      <c r="A3219" t="s">
        <v>3445</v>
      </c>
      <c r="B3219" t="s">
        <v>55</v>
      </c>
      <c r="C3219" t="s">
        <v>3431</v>
      </c>
      <c r="D3219" t="s">
        <v>3432</v>
      </c>
      <c r="E3219" t="s">
        <v>78</v>
      </c>
      <c r="F3219" t="s">
        <v>252</v>
      </c>
      <c r="G3219">
        <v>6.4085999999999999</v>
      </c>
      <c r="H3219">
        <v>-75.982799999999997</v>
      </c>
      <c r="I3219" t="s">
        <v>3433</v>
      </c>
      <c r="J3219">
        <v>11</v>
      </c>
      <c r="M3219">
        <v>193</v>
      </c>
      <c r="N3219">
        <v>54</v>
      </c>
      <c r="O3219">
        <v>22</v>
      </c>
      <c r="P3219">
        <v>48</v>
      </c>
      <c r="Q3219">
        <v>29</v>
      </c>
      <c r="R3219">
        <v>44</v>
      </c>
    </row>
    <row r="3220" spans="1:18" x14ac:dyDescent="0.25">
      <c r="A3220" t="s">
        <v>3446</v>
      </c>
      <c r="B3220" t="s">
        <v>55</v>
      </c>
      <c r="C3220" t="s">
        <v>3431</v>
      </c>
      <c r="D3220" t="s">
        <v>3432</v>
      </c>
      <c r="E3220" t="s">
        <v>78</v>
      </c>
      <c r="F3220" t="s">
        <v>252</v>
      </c>
      <c r="G3220">
        <v>6.4085999999999999</v>
      </c>
      <c r="H3220">
        <v>-75.982799999999997</v>
      </c>
      <c r="I3220" t="s">
        <v>3433</v>
      </c>
      <c r="J3220">
        <v>11</v>
      </c>
      <c r="M3220">
        <v>193</v>
      </c>
      <c r="N3220">
        <v>44</v>
      </c>
      <c r="O3220">
        <v>42</v>
      </c>
      <c r="P3220">
        <v>48</v>
      </c>
      <c r="Q3220">
        <v>22</v>
      </c>
      <c r="R3220">
        <v>33</v>
      </c>
    </row>
    <row r="3221" spans="1:18" x14ac:dyDescent="0.25">
      <c r="A3221" t="s">
        <v>3447</v>
      </c>
      <c r="B3221" t="s">
        <v>55</v>
      </c>
      <c r="C3221" t="s">
        <v>3431</v>
      </c>
      <c r="D3221" t="s">
        <v>3432</v>
      </c>
      <c r="E3221" t="s">
        <v>78</v>
      </c>
      <c r="F3221" t="s">
        <v>252</v>
      </c>
      <c r="G3221">
        <v>6.4085999999999999</v>
      </c>
      <c r="H3221">
        <v>-75.982799999999997</v>
      </c>
      <c r="I3221" t="s">
        <v>3433</v>
      </c>
      <c r="J3221">
        <v>11</v>
      </c>
      <c r="M3221">
        <v>191</v>
      </c>
      <c r="N3221">
        <v>51</v>
      </c>
      <c r="O3221">
        <v>30</v>
      </c>
      <c r="P3221">
        <v>46</v>
      </c>
      <c r="Q3221">
        <v>28</v>
      </c>
      <c r="R3221">
        <v>33</v>
      </c>
    </row>
    <row r="3222" spans="1:18" x14ac:dyDescent="0.25">
      <c r="A3222" t="s">
        <v>3448</v>
      </c>
      <c r="B3222" t="s">
        <v>55</v>
      </c>
      <c r="C3222" t="s">
        <v>3431</v>
      </c>
      <c r="D3222" t="s">
        <v>3432</v>
      </c>
      <c r="E3222" t="s">
        <v>78</v>
      </c>
      <c r="F3222" t="s">
        <v>252</v>
      </c>
      <c r="G3222">
        <v>6.4085999999999999</v>
      </c>
      <c r="H3222">
        <v>-75.982799999999997</v>
      </c>
      <c r="I3222" t="s">
        <v>3433</v>
      </c>
      <c r="J3222">
        <v>11</v>
      </c>
      <c r="M3222">
        <v>184</v>
      </c>
      <c r="N3222">
        <v>46</v>
      </c>
      <c r="O3222">
        <v>20</v>
      </c>
      <c r="P3222">
        <v>42</v>
      </c>
      <c r="Q3222">
        <v>38</v>
      </c>
      <c r="R3222">
        <v>40</v>
      </c>
    </row>
    <row r="3223" spans="1:18" x14ac:dyDescent="0.25">
      <c r="A3223" t="s">
        <v>3449</v>
      </c>
      <c r="B3223" t="s">
        <v>55</v>
      </c>
      <c r="C3223" t="s">
        <v>3431</v>
      </c>
      <c r="D3223" t="s">
        <v>3432</v>
      </c>
      <c r="E3223" t="s">
        <v>78</v>
      </c>
      <c r="F3223" t="s">
        <v>252</v>
      </c>
      <c r="G3223">
        <v>6.4085999999999999</v>
      </c>
      <c r="H3223">
        <v>-75.982799999999997</v>
      </c>
      <c r="I3223" t="s">
        <v>3433</v>
      </c>
      <c r="J3223">
        <v>11</v>
      </c>
      <c r="M3223">
        <v>182</v>
      </c>
      <c r="N3223">
        <v>44</v>
      </c>
      <c r="O3223">
        <v>24</v>
      </c>
      <c r="P3223">
        <v>40</v>
      </c>
      <c r="Q3223">
        <v>36</v>
      </c>
      <c r="R3223">
        <v>42</v>
      </c>
    </row>
    <row r="3224" spans="1:18" x14ac:dyDescent="0.25">
      <c r="A3224" t="s">
        <v>3450</v>
      </c>
      <c r="B3224" t="s">
        <v>55</v>
      </c>
      <c r="C3224" t="s">
        <v>3431</v>
      </c>
      <c r="D3224" t="s">
        <v>3432</v>
      </c>
      <c r="E3224" t="s">
        <v>78</v>
      </c>
      <c r="F3224" t="s">
        <v>252</v>
      </c>
      <c r="G3224">
        <v>6.4085999999999999</v>
      </c>
      <c r="H3224">
        <v>-75.982799999999997</v>
      </c>
      <c r="I3224" t="s">
        <v>3433</v>
      </c>
      <c r="J3224">
        <v>11</v>
      </c>
      <c r="M3224">
        <v>179</v>
      </c>
      <c r="N3224">
        <v>44</v>
      </c>
      <c r="O3224">
        <v>30</v>
      </c>
      <c r="P3224">
        <v>44</v>
      </c>
      <c r="Q3224">
        <v>28</v>
      </c>
      <c r="R3224">
        <v>29</v>
      </c>
    </row>
    <row r="3225" spans="1:18" x14ac:dyDescent="0.25">
      <c r="A3225" t="s">
        <v>3451</v>
      </c>
      <c r="B3225" t="s">
        <v>55</v>
      </c>
      <c r="C3225" t="s">
        <v>3431</v>
      </c>
      <c r="D3225" t="s">
        <v>3432</v>
      </c>
      <c r="E3225" t="s">
        <v>78</v>
      </c>
      <c r="F3225" t="s">
        <v>252</v>
      </c>
      <c r="G3225">
        <v>6.4085999999999999</v>
      </c>
      <c r="H3225">
        <v>-75.982799999999997</v>
      </c>
      <c r="I3225" t="s">
        <v>3433</v>
      </c>
      <c r="J3225">
        <v>11</v>
      </c>
      <c r="M3225">
        <v>175</v>
      </c>
      <c r="N3225">
        <v>41</v>
      </c>
      <c r="O3225">
        <v>28</v>
      </c>
      <c r="P3225">
        <v>34</v>
      </c>
      <c r="Q3225">
        <v>33</v>
      </c>
      <c r="R3225">
        <v>47</v>
      </c>
    </row>
    <row r="3226" spans="1:18" x14ac:dyDescent="0.25">
      <c r="A3226" t="s">
        <v>3452</v>
      </c>
      <c r="B3226" t="s">
        <v>55</v>
      </c>
      <c r="C3226" t="s">
        <v>3431</v>
      </c>
      <c r="D3226" t="s">
        <v>3432</v>
      </c>
      <c r="E3226" t="s">
        <v>78</v>
      </c>
      <c r="F3226" t="s">
        <v>252</v>
      </c>
      <c r="G3226">
        <v>6.4085999999999999</v>
      </c>
      <c r="H3226">
        <v>-75.982799999999997</v>
      </c>
      <c r="I3226" t="s">
        <v>3433</v>
      </c>
      <c r="J3226">
        <v>11</v>
      </c>
      <c r="M3226">
        <v>152</v>
      </c>
      <c r="N3226">
        <v>34</v>
      </c>
      <c r="O3226">
        <v>28</v>
      </c>
      <c r="P3226">
        <v>40</v>
      </c>
      <c r="Q3226">
        <v>19</v>
      </c>
      <c r="R3226">
        <v>31</v>
      </c>
    </row>
    <row r="3227" spans="1:18" x14ac:dyDescent="0.25">
      <c r="A3227" t="s">
        <v>3453</v>
      </c>
      <c r="B3227" t="s">
        <v>55</v>
      </c>
      <c r="C3227" t="s">
        <v>3431</v>
      </c>
      <c r="D3227" t="s">
        <v>3432</v>
      </c>
      <c r="E3227" t="s">
        <v>78</v>
      </c>
      <c r="F3227" t="s">
        <v>252</v>
      </c>
      <c r="G3227">
        <v>6.4085999999999999</v>
      </c>
      <c r="H3227">
        <v>-75.982799999999997</v>
      </c>
      <c r="I3227" t="s">
        <v>3433</v>
      </c>
      <c r="J3227">
        <v>11</v>
      </c>
      <c r="M3227">
        <v>145</v>
      </c>
      <c r="N3227">
        <v>27</v>
      </c>
      <c r="O3227">
        <v>30</v>
      </c>
      <c r="P3227">
        <v>30</v>
      </c>
      <c r="Q3227">
        <v>31</v>
      </c>
      <c r="R3227">
        <v>24</v>
      </c>
    </row>
    <row r="3228" spans="1:18" x14ac:dyDescent="0.25">
      <c r="A3228" t="s">
        <v>3454</v>
      </c>
      <c r="B3228" t="s">
        <v>55</v>
      </c>
      <c r="C3228" t="s">
        <v>3431</v>
      </c>
      <c r="D3228" t="s">
        <v>3432</v>
      </c>
      <c r="E3228" t="s">
        <v>78</v>
      </c>
      <c r="F3228" t="s">
        <v>252</v>
      </c>
      <c r="G3228">
        <v>6.4085999999999999</v>
      </c>
      <c r="H3228">
        <v>-75.982799999999997</v>
      </c>
      <c r="I3228" t="s">
        <v>3433</v>
      </c>
      <c r="J3228">
        <v>11</v>
      </c>
      <c r="M3228">
        <v>132</v>
      </c>
      <c r="N3228">
        <v>34</v>
      </c>
      <c r="O3228">
        <v>20</v>
      </c>
      <c r="P3228">
        <v>24</v>
      </c>
      <c r="Q3228">
        <v>29</v>
      </c>
      <c r="R3228">
        <v>20</v>
      </c>
    </row>
    <row r="3229" spans="1:18" x14ac:dyDescent="0.25">
      <c r="A3229" t="s">
        <v>3455</v>
      </c>
      <c r="B3229" t="s">
        <v>55</v>
      </c>
      <c r="C3229" t="s">
        <v>3431</v>
      </c>
      <c r="D3229" t="s">
        <v>3432</v>
      </c>
      <c r="E3229" t="s">
        <v>78</v>
      </c>
      <c r="F3229" t="s">
        <v>252</v>
      </c>
      <c r="G3229">
        <v>6.4085999999999999</v>
      </c>
      <c r="H3229">
        <v>-75.982799999999997</v>
      </c>
      <c r="I3229" t="s">
        <v>3433</v>
      </c>
      <c r="J3229">
        <v>11</v>
      </c>
      <c r="M3229">
        <v>130</v>
      </c>
      <c r="N3229">
        <v>29</v>
      </c>
      <c r="O3229">
        <v>20</v>
      </c>
      <c r="P3229">
        <v>26</v>
      </c>
      <c r="Q3229">
        <v>24</v>
      </c>
      <c r="R3229">
        <v>40</v>
      </c>
    </row>
    <row r="3230" spans="1:18" x14ac:dyDescent="0.25">
      <c r="A3230" t="s">
        <v>3456</v>
      </c>
      <c r="B3230" t="s">
        <v>55</v>
      </c>
      <c r="C3230" t="s">
        <v>3457</v>
      </c>
      <c r="D3230" t="s">
        <v>3458</v>
      </c>
      <c r="E3230" t="s">
        <v>78</v>
      </c>
      <c r="F3230" t="s">
        <v>252</v>
      </c>
      <c r="G3230">
        <v>8.7611000000000008</v>
      </c>
      <c r="H3230">
        <v>-76.530299999999997</v>
      </c>
      <c r="I3230" t="s">
        <v>3459</v>
      </c>
      <c r="J3230">
        <v>11</v>
      </c>
      <c r="M3230">
        <v>305</v>
      </c>
      <c r="N3230">
        <v>73</v>
      </c>
      <c r="O3230">
        <v>54</v>
      </c>
      <c r="P3230">
        <v>68</v>
      </c>
      <c r="Q3230">
        <v>41</v>
      </c>
      <c r="R3230">
        <v>84</v>
      </c>
    </row>
    <row r="3231" spans="1:18" x14ac:dyDescent="0.25">
      <c r="A3231" t="s">
        <v>3460</v>
      </c>
      <c r="B3231" t="s">
        <v>55</v>
      </c>
      <c r="C3231" t="s">
        <v>3457</v>
      </c>
      <c r="D3231" t="s">
        <v>3458</v>
      </c>
      <c r="E3231" t="s">
        <v>78</v>
      </c>
      <c r="F3231" t="s">
        <v>252</v>
      </c>
      <c r="G3231">
        <v>8.7611000000000008</v>
      </c>
      <c r="H3231">
        <v>-76.530299999999997</v>
      </c>
      <c r="I3231" t="s">
        <v>3459</v>
      </c>
      <c r="J3231">
        <v>11</v>
      </c>
      <c r="M3231">
        <v>253</v>
      </c>
      <c r="N3231">
        <v>59</v>
      </c>
      <c r="O3231">
        <v>30</v>
      </c>
      <c r="P3231">
        <v>64</v>
      </c>
      <c r="Q3231">
        <v>38</v>
      </c>
      <c r="R3231">
        <v>85</v>
      </c>
    </row>
    <row r="3232" spans="1:18" x14ac:dyDescent="0.25">
      <c r="A3232" t="s">
        <v>3461</v>
      </c>
      <c r="B3232" t="s">
        <v>55</v>
      </c>
      <c r="C3232" t="s">
        <v>3457</v>
      </c>
      <c r="D3232" t="s">
        <v>3458</v>
      </c>
      <c r="E3232" t="s">
        <v>78</v>
      </c>
      <c r="F3232" t="s">
        <v>252</v>
      </c>
      <c r="G3232">
        <v>8.7611000000000008</v>
      </c>
      <c r="H3232">
        <v>-76.530299999999997</v>
      </c>
      <c r="I3232" t="s">
        <v>3459</v>
      </c>
      <c r="J3232">
        <v>11</v>
      </c>
      <c r="M3232">
        <v>241</v>
      </c>
      <c r="N3232">
        <v>63</v>
      </c>
      <c r="O3232">
        <v>28</v>
      </c>
      <c r="P3232">
        <v>58</v>
      </c>
      <c r="Q3232">
        <v>45</v>
      </c>
      <c r="R3232">
        <v>44</v>
      </c>
    </row>
    <row r="3233" spans="1:18" x14ac:dyDescent="0.25">
      <c r="A3233" t="s">
        <v>3462</v>
      </c>
      <c r="B3233" t="s">
        <v>55</v>
      </c>
      <c r="C3233" t="s">
        <v>3457</v>
      </c>
      <c r="D3233" t="s">
        <v>3458</v>
      </c>
      <c r="E3233" t="s">
        <v>78</v>
      </c>
      <c r="F3233" t="s">
        <v>252</v>
      </c>
      <c r="G3233">
        <v>8.7611000000000008</v>
      </c>
      <c r="H3233">
        <v>-76.530299999999997</v>
      </c>
      <c r="I3233" t="s">
        <v>3459</v>
      </c>
      <c r="J3233">
        <v>11</v>
      </c>
      <c r="M3233">
        <v>240</v>
      </c>
      <c r="N3233">
        <v>41</v>
      </c>
      <c r="O3233">
        <v>14</v>
      </c>
      <c r="P3233">
        <v>70</v>
      </c>
      <c r="Q3233">
        <v>59</v>
      </c>
      <c r="R3233">
        <v>73</v>
      </c>
    </row>
    <row r="3234" spans="1:18" x14ac:dyDescent="0.25">
      <c r="A3234" t="s">
        <v>3463</v>
      </c>
      <c r="B3234" t="s">
        <v>55</v>
      </c>
      <c r="C3234" t="s">
        <v>3457</v>
      </c>
      <c r="D3234" t="s">
        <v>3458</v>
      </c>
      <c r="E3234" t="s">
        <v>78</v>
      </c>
      <c r="F3234" t="s">
        <v>252</v>
      </c>
      <c r="G3234">
        <v>8.7611000000000008</v>
      </c>
      <c r="H3234">
        <v>-76.530299999999997</v>
      </c>
      <c r="I3234" t="s">
        <v>3459</v>
      </c>
      <c r="J3234">
        <v>11</v>
      </c>
      <c r="M3234">
        <v>240</v>
      </c>
      <c r="N3234">
        <v>54</v>
      </c>
      <c r="O3234">
        <v>38</v>
      </c>
      <c r="P3234">
        <v>58</v>
      </c>
      <c r="Q3234">
        <v>45</v>
      </c>
      <c r="R3234">
        <v>40</v>
      </c>
    </row>
    <row r="3235" spans="1:18" x14ac:dyDescent="0.25">
      <c r="A3235" t="s">
        <v>3464</v>
      </c>
      <c r="B3235" t="s">
        <v>55</v>
      </c>
      <c r="C3235" t="s">
        <v>3457</v>
      </c>
      <c r="D3235" t="s">
        <v>3458</v>
      </c>
      <c r="E3235" t="s">
        <v>78</v>
      </c>
      <c r="F3235" t="s">
        <v>252</v>
      </c>
      <c r="G3235">
        <v>8.7611000000000008</v>
      </c>
      <c r="H3235">
        <v>-76.530299999999997</v>
      </c>
      <c r="I3235" t="s">
        <v>3459</v>
      </c>
      <c r="J3235">
        <v>11</v>
      </c>
      <c r="M3235">
        <v>237</v>
      </c>
      <c r="N3235">
        <v>51</v>
      </c>
      <c r="O3235">
        <v>22</v>
      </c>
      <c r="P3235">
        <v>62</v>
      </c>
      <c r="Q3235">
        <v>43</v>
      </c>
      <c r="R3235">
        <v>82</v>
      </c>
    </row>
    <row r="3236" spans="1:18" x14ac:dyDescent="0.25">
      <c r="A3236" t="s">
        <v>3465</v>
      </c>
      <c r="B3236" t="s">
        <v>55</v>
      </c>
      <c r="C3236" t="s">
        <v>3457</v>
      </c>
      <c r="D3236" t="s">
        <v>3458</v>
      </c>
      <c r="E3236" t="s">
        <v>78</v>
      </c>
      <c r="F3236" t="s">
        <v>252</v>
      </c>
      <c r="G3236">
        <v>8.7611000000000008</v>
      </c>
      <c r="H3236">
        <v>-76.530299999999997</v>
      </c>
      <c r="I3236" t="s">
        <v>3459</v>
      </c>
      <c r="J3236">
        <v>11</v>
      </c>
      <c r="M3236">
        <v>236</v>
      </c>
      <c r="N3236">
        <v>59</v>
      </c>
      <c r="O3236">
        <v>26</v>
      </c>
      <c r="P3236">
        <v>62</v>
      </c>
      <c r="Q3236">
        <v>43</v>
      </c>
      <c r="R3236">
        <v>45</v>
      </c>
    </row>
    <row r="3237" spans="1:18" x14ac:dyDescent="0.25">
      <c r="A3237" t="s">
        <v>3466</v>
      </c>
      <c r="B3237" t="s">
        <v>55</v>
      </c>
      <c r="C3237" t="s">
        <v>3457</v>
      </c>
      <c r="D3237" t="s">
        <v>3458</v>
      </c>
      <c r="E3237" t="s">
        <v>78</v>
      </c>
      <c r="F3237" t="s">
        <v>252</v>
      </c>
      <c r="G3237">
        <v>8.7611000000000008</v>
      </c>
      <c r="H3237">
        <v>-76.530299999999997</v>
      </c>
      <c r="I3237" t="s">
        <v>3459</v>
      </c>
      <c r="J3237">
        <v>11</v>
      </c>
      <c r="M3237">
        <v>216</v>
      </c>
      <c r="N3237">
        <v>59</v>
      </c>
      <c r="O3237">
        <v>32</v>
      </c>
      <c r="P3237">
        <v>52</v>
      </c>
      <c r="Q3237">
        <v>29</v>
      </c>
      <c r="R3237">
        <v>45</v>
      </c>
    </row>
    <row r="3238" spans="1:18" x14ac:dyDescent="0.25">
      <c r="A3238" t="s">
        <v>3467</v>
      </c>
      <c r="B3238" t="s">
        <v>55</v>
      </c>
      <c r="C3238" t="s">
        <v>3457</v>
      </c>
      <c r="D3238" t="s">
        <v>3458</v>
      </c>
      <c r="E3238" t="s">
        <v>78</v>
      </c>
      <c r="F3238" t="s">
        <v>252</v>
      </c>
      <c r="G3238">
        <v>8.7611000000000008</v>
      </c>
      <c r="H3238">
        <v>-76.530299999999997</v>
      </c>
      <c r="I3238" t="s">
        <v>3459</v>
      </c>
      <c r="J3238">
        <v>11</v>
      </c>
      <c r="M3238">
        <v>214</v>
      </c>
      <c r="N3238">
        <v>56</v>
      </c>
      <c r="O3238">
        <v>32</v>
      </c>
      <c r="P3238">
        <v>50</v>
      </c>
      <c r="Q3238">
        <v>31</v>
      </c>
      <c r="R3238">
        <v>49</v>
      </c>
    </row>
    <row r="3239" spans="1:18" x14ac:dyDescent="0.25">
      <c r="A3239" t="s">
        <v>3468</v>
      </c>
      <c r="B3239" t="s">
        <v>55</v>
      </c>
      <c r="C3239" t="s">
        <v>3457</v>
      </c>
      <c r="D3239" t="s">
        <v>3458</v>
      </c>
      <c r="E3239" t="s">
        <v>78</v>
      </c>
      <c r="F3239" t="s">
        <v>252</v>
      </c>
      <c r="G3239">
        <v>8.7611000000000008</v>
      </c>
      <c r="H3239">
        <v>-76.530299999999997</v>
      </c>
      <c r="I3239" t="s">
        <v>3459</v>
      </c>
      <c r="J3239">
        <v>11</v>
      </c>
      <c r="M3239">
        <v>213</v>
      </c>
      <c r="N3239">
        <v>59</v>
      </c>
      <c r="O3239">
        <v>22</v>
      </c>
      <c r="P3239">
        <v>56</v>
      </c>
      <c r="Q3239">
        <v>34</v>
      </c>
      <c r="R3239">
        <v>42</v>
      </c>
    </row>
    <row r="3240" spans="1:18" x14ac:dyDescent="0.25">
      <c r="A3240" t="s">
        <v>3469</v>
      </c>
      <c r="B3240" t="s">
        <v>55</v>
      </c>
      <c r="C3240" t="s">
        <v>3457</v>
      </c>
      <c r="D3240" t="s">
        <v>3458</v>
      </c>
      <c r="E3240" t="s">
        <v>78</v>
      </c>
      <c r="F3240" t="s">
        <v>252</v>
      </c>
      <c r="G3240">
        <v>8.7611000000000008</v>
      </c>
      <c r="H3240">
        <v>-76.530299999999997</v>
      </c>
      <c r="I3240" t="s">
        <v>3459</v>
      </c>
      <c r="J3240">
        <v>11</v>
      </c>
      <c r="M3240">
        <v>203</v>
      </c>
      <c r="N3240">
        <v>44</v>
      </c>
      <c r="O3240">
        <v>32</v>
      </c>
      <c r="P3240">
        <v>54</v>
      </c>
      <c r="Q3240">
        <v>34</v>
      </c>
      <c r="R3240">
        <v>35</v>
      </c>
    </row>
    <row r="3241" spans="1:18" x14ac:dyDescent="0.25">
      <c r="A3241" t="s">
        <v>3470</v>
      </c>
      <c r="B3241" t="s">
        <v>55</v>
      </c>
      <c r="C3241" t="s">
        <v>3457</v>
      </c>
      <c r="D3241" t="s">
        <v>3458</v>
      </c>
      <c r="E3241" t="s">
        <v>78</v>
      </c>
      <c r="F3241" t="s">
        <v>252</v>
      </c>
      <c r="G3241">
        <v>8.7611000000000008</v>
      </c>
      <c r="H3241">
        <v>-76.530299999999997</v>
      </c>
      <c r="I3241" t="s">
        <v>3459</v>
      </c>
      <c r="J3241">
        <v>11</v>
      </c>
      <c r="M3241">
        <v>203</v>
      </c>
      <c r="N3241">
        <v>49</v>
      </c>
      <c r="O3241">
        <v>26</v>
      </c>
      <c r="P3241">
        <v>54</v>
      </c>
      <c r="Q3241">
        <v>36</v>
      </c>
      <c r="R3241">
        <v>33</v>
      </c>
    </row>
    <row r="3242" spans="1:18" x14ac:dyDescent="0.25">
      <c r="A3242" t="s">
        <v>3471</v>
      </c>
      <c r="B3242" t="s">
        <v>55</v>
      </c>
      <c r="C3242" t="s">
        <v>3457</v>
      </c>
      <c r="D3242" t="s">
        <v>3458</v>
      </c>
      <c r="E3242" t="s">
        <v>78</v>
      </c>
      <c r="F3242" t="s">
        <v>252</v>
      </c>
      <c r="G3242">
        <v>8.7611000000000008</v>
      </c>
      <c r="H3242">
        <v>-76.530299999999997</v>
      </c>
      <c r="I3242" t="s">
        <v>3459</v>
      </c>
      <c r="J3242">
        <v>11</v>
      </c>
      <c r="M3242">
        <v>203</v>
      </c>
      <c r="N3242">
        <v>59</v>
      </c>
      <c r="O3242">
        <v>26</v>
      </c>
      <c r="P3242">
        <v>48</v>
      </c>
      <c r="Q3242">
        <v>28</v>
      </c>
      <c r="R3242">
        <v>47</v>
      </c>
    </row>
    <row r="3243" spans="1:18" x14ac:dyDescent="0.25">
      <c r="A3243" t="s">
        <v>3472</v>
      </c>
      <c r="B3243" t="s">
        <v>55</v>
      </c>
      <c r="C3243" t="s">
        <v>3457</v>
      </c>
      <c r="D3243" t="s">
        <v>3458</v>
      </c>
      <c r="E3243" t="s">
        <v>78</v>
      </c>
      <c r="F3243" t="s">
        <v>252</v>
      </c>
      <c r="G3243">
        <v>8.7611000000000008</v>
      </c>
      <c r="H3243">
        <v>-76.530299999999997</v>
      </c>
      <c r="I3243" t="s">
        <v>3459</v>
      </c>
      <c r="J3243">
        <v>11</v>
      </c>
      <c r="M3243">
        <v>203</v>
      </c>
      <c r="N3243">
        <v>51</v>
      </c>
      <c r="O3243">
        <v>32</v>
      </c>
      <c r="P3243">
        <v>56</v>
      </c>
      <c r="Q3243">
        <v>31</v>
      </c>
      <c r="R3243">
        <v>16</v>
      </c>
    </row>
    <row r="3244" spans="1:18" x14ac:dyDescent="0.25">
      <c r="A3244" t="s">
        <v>3473</v>
      </c>
      <c r="B3244" t="s">
        <v>55</v>
      </c>
      <c r="C3244" t="s">
        <v>3457</v>
      </c>
      <c r="D3244" t="s">
        <v>3458</v>
      </c>
      <c r="E3244" t="s">
        <v>78</v>
      </c>
      <c r="F3244" t="s">
        <v>252</v>
      </c>
      <c r="G3244">
        <v>8.7611000000000008</v>
      </c>
      <c r="H3244">
        <v>-76.530299999999997</v>
      </c>
      <c r="I3244" t="s">
        <v>3459</v>
      </c>
      <c r="J3244">
        <v>11</v>
      </c>
      <c r="M3244">
        <v>202</v>
      </c>
      <c r="N3244">
        <v>44</v>
      </c>
      <c r="O3244">
        <v>32</v>
      </c>
      <c r="P3244">
        <v>50</v>
      </c>
      <c r="Q3244">
        <v>31</v>
      </c>
      <c r="R3244">
        <v>55</v>
      </c>
    </row>
    <row r="3245" spans="1:18" x14ac:dyDescent="0.25">
      <c r="A3245" t="s">
        <v>3474</v>
      </c>
      <c r="B3245" t="s">
        <v>55</v>
      </c>
      <c r="C3245" t="s">
        <v>3457</v>
      </c>
      <c r="D3245" t="s">
        <v>3458</v>
      </c>
      <c r="E3245" t="s">
        <v>78</v>
      </c>
      <c r="F3245" t="s">
        <v>252</v>
      </c>
      <c r="G3245">
        <v>8.7611000000000008</v>
      </c>
      <c r="H3245">
        <v>-76.530299999999997</v>
      </c>
      <c r="I3245" t="s">
        <v>3459</v>
      </c>
      <c r="J3245">
        <v>11</v>
      </c>
      <c r="M3245">
        <v>201</v>
      </c>
      <c r="N3245">
        <v>39</v>
      </c>
      <c r="O3245">
        <v>18</v>
      </c>
      <c r="P3245">
        <v>54</v>
      </c>
      <c r="Q3245">
        <v>48</v>
      </c>
      <c r="R3245">
        <v>45</v>
      </c>
    </row>
    <row r="3246" spans="1:18" x14ac:dyDescent="0.25">
      <c r="A3246" t="s">
        <v>3475</v>
      </c>
      <c r="B3246" t="s">
        <v>55</v>
      </c>
      <c r="C3246" t="s">
        <v>3457</v>
      </c>
      <c r="D3246" t="s">
        <v>3458</v>
      </c>
      <c r="E3246" t="s">
        <v>78</v>
      </c>
      <c r="F3246" t="s">
        <v>252</v>
      </c>
      <c r="G3246">
        <v>8.7611000000000008</v>
      </c>
      <c r="H3246">
        <v>-76.530299999999997</v>
      </c>
      <c r="I3246" t="s">
        <v>3459</v>
      </c>
      <c r="J3246">
        <v>11</v>
      </c>
      <c r="M3246">
        <v>199</v>
      </c>
      <c r="N3246">
        <v>54</v>
      </c>
      <c r="O3246">
        <v>30</v>
      </c>
      <c r="P3246">
        <v>40</v>
      </c>
      <c r="Q3246">
        <v>31</v>
      </c>
      <c r="R3246">
        <v>55</v>
      </c>
    </row>
    <row r="3247" spans="1:18" x14ac:dyDescent="0.25">
      <c r="A3247" t="s">
        <v>3476</v>
      </c>
      <c r="B3247" t="s">
        <v>55</v>
      </c>
      <c r="C3247" t="s">
        <v>3457</v>
      </c>
      <c r="D3247" t="s">
        <v>3458</v>
      </c>
      <c r="E3247" t="s">
        <v>78</v>
      </c>
      <c r="F3247" t="s">
        <v>252</v>
      </c>
      <c r="G3247">
        <v>8.7611000000000008</v>
      </c>
      <c r="H3247">
        <v>-76.530299999999997</v>
      </c>
      <c r="I3247" t="s">
        <v>3459</v>
      </c>
      <c r="J3247">
        <v>11</v>
      </c>
      <c r="M3247">
        <v>198</v>
      </c>
      <c r="N3247">
        <v>49</v>
      </c>
      <c r="O3247">
        <v>18</v>
      </c>
      <c r="P3247">
        <v>56</v>
      </c>
      <c r="Q3247">
        <v>33</v>
      </c>
      <c r="R3247">
        <v>47</v>
      </c>
    </row>
    <row r="3248" spans="1:18" x14ac:dyDescent="0.25">
      <c r="A3248" t="s">
        <v>3477</v>
      </c>
      <c r="B3248" t="s">
        <v>55</v>
      </c>
      <c r="C3248" t="s">
        <v>3457</v>
      </c>
      <c r="D3248" t="s">
        <v>3458</v>
      </c>
      <c r="E3248" t="s">
        <v>78</v>
      </c>
      <c r="F3248" t="s">
        <v>252</v>
      </c>
      <c r="G3248">
        <v>8.7611000000000008</v>
      </c>
      <c r="H3248">
        <v>-76.530299999999997</v>
      </c>
      <c r="I3248" t="s">
        <v>3459</v>
      </c>
      <c r="J3248">
        <v>11</v>
      </c>
      <c r="M3248">
        <v>197</v>
      </c>
      <c r="N3248">
        <v>41</v>
      </c>
      <c r="O3248">
        <v>32</v>
      </c>
      <c r="P3248">
        <v>46</v>
      </c>
      <c r="Q3248">
        <v>31</v>
      </c>
      <c r="R3248">
        <v>60</v>
      </c>
    </row>
    <row r="3249" spans="1:18" x14ac:dyDescent="0.25">
      <c r="A3249" t="s">
        <v>3478</v>
      </c>
      <c r="B3249" t="s">
        <v>55</v>
      </c>
      <c r="C3249" t="s">
        <v>3457</v>
      </c>
      <c r="D3249" t="s">
        <v>3458</v>
      </c>
      <c r="E3249" t="s">
        <v>78</v>
      </c>
      <c r="F3249" t="s">
        <v>252</v>
      </c>
      <c r="G3249">
        <v>8.7611000000000008</v>
      </c>
      <c r="H3249">
        <v>-76.530299999999997</v>
      </c>
      <c r="I3249" t="s">
        <v>3459</v>
      </c>
      <c r="J3249">
        <v>11</v>
      </c>
      <c r="M3249">
        <v>196</v>
      </c>
      <c r="N3249">
        <v>39</v>
      </c>
      <c r="O3249">
        <v>26</v>
      </c>
      <c r="P3249">
        <v>56</v>
      </c>
      <c r="Q3249">
        <v>33</v>
      </c>
      <c r="R3249">
        <v>49</v>
      </c>
    </row>
    <row r="3250" spans="1:18" x14ac:dyDescent="0.25">
      <c r="A3250" t="s">
        <v>3479</v>
      </c>
      <c r="B3250" t="s">
        <v>55</v>
      </c>
      <c r="C3250" t="s">
        <v>3457</v>
      </c>
      <c r="D3250" t="s">
        <v>3458</v>
      </c>
      <c r="E3250" t="s">
        <v>78</v>
      </c>
      <c r="F3250" t="s">
        <v>252</v>
      </c>
      <c r="G3250">
        <v>8.7611000000000008</v>
      </c>
      <c r="H3250">
        <v>-76.530299999999997</v>
      </c>
      <c r="I3250" t="s">
        <v>3459</v>
      </c>
      <c r="J3250">
        <v>11</v>
      </c>
      <c r="M3250">
        <v>196</v>
      </c>
      <c r="N3250">
        <v>56</v>
      </c>
      <c r="O3250">
        <v>28</v>
      </c>
      <c r="P3250">
        <v>44</v>
      </c>
      <c r="Q3250">
        <v>28</v>
      </c>
      <c r="R3250">
        <v>42</v>
      </c>
    </row>
    <row r="3251" spans="1:18" x14ac:dyDescent="0.25">
      <c r="A3251" t="s">
        <v>3480</v>
      </c>
      <c r="B3251" t="s">
        <v>55</v>
      </c>
      <c r="C3251" t="s">
        <v>3457</v>
      </c>
      <c r="D3251" t="s">
        <v>3458</v>
      </c>
      <c r="E3251" t="s">
        <v>78</v>
      </c>
      <c r="F3251" t="s">
        <v>252</v>
      </c>
      <c r="G3251">
        <v>8.7611000000000008</v>
      </c>
      <c r="H3251">
        <v>-76.530299999999997</v>
      </c>
      <c r="I3251" t="s">
        <v>3459</v>
      </c>
      <c r="J3251">
        <v>11</v>
      </c>
      <c r="M3251">
        <v>194</v>
      </c>
      <c r="N3251">
        <v>49</v>
      </c>
      <c r="O3251">
        <v>26</v>
      </c>
      <c r="P3251">
        <v>52</v>
      </c>
      <c r="Q3251">
        <v>26</v>
      </c>
      <c r="R3251">
        <v>47</v>
      </c>
    </row>
    <row r="3252" spans="1:18" x14ac:dyDescent="0.25">
      <c r="A3252" t="s">
        <v>3481</v>
      </c>
      <c r="B3252" t="s">
        <v>55</v>
      </c>
      <c r="C3252" t="s">
        <v>3457</v>
      </c>
      <c r="D3252" t="s">
        <v>3458</v>
      </c>
      <c r="E3252" t="s">
        <v>78</v>
      </c>
      <c r="F3252" t="s">
        <v>252</v>
      </c>
      <c r="G3252">
        <v>8.7611000000000008</v>
      </c>
      <c r="H3252">
        <v>-76.530299999999997</v>
      </c>
      <c r="I3252" t="s">
        <v>3459</v>
      </c>
      <c r="J3252">
        <v>11</v>
      </c>
      <c r="M3252">
        <v>194</v>
      </c>
      <c r="N3252">
        <v>49</v>
      </c>
      <c r="O3252">
        <v>28</v>
      </c>
      <c r="P3252">
        <v>50</v>
      </c>
      <c r="Q3252">
        <v>26</v>
      </c>
      <c r="R3252">
        <v>47</v>
      </c>
    </row>
    <row r="3253" spans="1:18" x14ac:dyDescent="0.25">
      <c r="A3253" t="s">
        <v>3482</v>
      </c>
      <c r="B3253" t="s">
        <v>55</v>
      </c>
      <c r="C3253" t="s">
        <v>3457</v>
      </c>
      <c r="D3253" t="s">
        <v>3458</v>
      </c>
      <c r="E3253" t="s">
        <v>78</v>
      </c>
      <c r="F3253" t="s">
        <v>252</v>
      </c>
      <c r="G3253">
        <v>8.7611000000000008</v>
      </c>
      <c r="H3253">
        <v>-76.530299999999997</v>
      </c>
      <c r="I3253" t="s">
        <v>3459</v>
      </c>
      <c r="J3253">
        <v>11</v>
      </c>
      <c r="M3253">
        <v>193</v>
      </c>
      <c r="N3253">
        <v>49</v>
      </c>
      <c r="O3253">
        <v>38</v>
      </c>
      <c r="P3253">
        <v>38</v>
      </c>
      <c r="Q3253">
        <v>29</v>
      </c>
      <c r="R3253">
        <v>40</v>
      </c>
    </row>
    <row r="3254" spans="1:18" x14ac:dyDescent="0.25">
      <c r="A3254" t="s">
        <v>3483</v>
      </c>
      <c r="B3254" t="s">
        <v>55</v>
      </c>
      <c r="C3254" t="s">
        <v>3457</v>
      </c>
      <c r="D3254" t="s">
        <v>3458</v>
      </c>
      <c r="E3254" t="s">
        <v>78</v>
      </c>
      <c r="F3254" t="s">
        <v>252</v>
      </c>
      <c r="G3254">
        <v>8.7611000000000008</v>
      </c>
      <c r="H3254">
        <v>-76.530299999999997</v>
      </c>
      <c r="I3254" t="s">
        <v>3459</v>
      </c>
      <c r="J3254">
        <v>11</v>
      </c>
      <c r="M3254">
        <v>193</v>
      </c>
      <c r="N3254">
        <v>44</v>
      </c>
      <c r="O3254">
        <v>32</v>
      </c>
      <c r="P3254">
        <v>44</v>
      </c>
      <c r="Q3254">
        <v>33</v>
      </c>
      <c r="R3254">
        <v>44</v>
      </c>
    </row>
    <row r="3255" spans="1:18" x14ac:dyDescent="0.25">
      <c r="A3255" t="s">
        <v>3484</v>
      </c>
      <c r="B3255" t="s">
        <v>55</v>
      </c>
      <c r="C3255" t="s">
        <v>3457</v>
      </c>
      <c r="D3255" t="s">
        <v>3458</v>
      </c>
      <c r="E3255" t="s">
        <v>78</v>
      </c>
      <c r="F3255" t="s">
        <v>252</v>
      </c>
      <c r="G3255">
        <v>8.7611000000000008</v>
      </c>
      <c r="H3255">
        <v>-76.530299999999997</v>
      </c>
      <c r="I3255" t="s">
        <v>3459</v>
      </c>
      <c r="J3255">
        <v>11</v>
      </c>
      <c r="M3255">
        <v>193</v>
      </c>
      <c r="N3255">
        <v>44</v>
      </c>
      <c r="O3255">
        <v>28</v>
      </c>
      <c r="P3255">
        <v>46</v>
      </c>
      <c r="Q3255">
        <v>31</v>
      </c>
      <c r="R3255">
        <v>55</v>
      </c>
    </row>
    <row r="3256" spans="1:18" x14ac:dyDescent="0.25">
      <c r="A3256" t="s">
        <v>3485</v>
      </c>
      <c r="B3256" t="s">
        <v>55</v>
      </c>
      <c r="C3256" t="s">
        <v>3457</v>
      </c>
      <c r="D3256" t="s">
        <v>3458</v>
      </c>
      <c r="E3256" t="s">
        <v>78</v>
      </c>
      <c r="F3256" t="s">
        <v>252</v>
      </c>
      <c r="G3256">
        <v>8.7611000000000008</v>
      </c>
      <c r="H3256">
        <v>-76.530299999999997</v>
      </c>
      <c r="I3256" t="s">
        <v>3459</v>
      </c>
      <c r="J3256">
        <v>11</v>
      </c>
      <c r="M3256">
        <v>191</v>
      </c>
      <c r="N3256">
        <v>51</v>
      </c>
      <c r="O3256">
        <v>24</v>
      </c>
      <c r="P3256">
        <v>46</v>
      </c>
      <c r="Q3256">
        <v>28</v>
      </c>
      <c r="R3256">
        <v>51</v>
      </c>
    </row>
    <row r="3257" spans="1:18" x14ac:dyDescent="0.25">
      <c r="A3257" t="s">
        <v>3486</v>
      </c>
      <c r="B3257" t="s">
        <v>55</v>
      </c>
      <c r="C3257" t="s">
        <v>3457</v>
      </c>
      <c r="D3257" t="s">
        <v>3458</v>
      </c>
      <c r="E3257" t="s">
        <v>78</v>
      </c>
      <c r="F3257" t="s">
        <v>252</v>
      </c>
      <c r="G3257">
        <v>8.7611000000000008</v>
      </c>
      <c r="H3257">
        <v>-76.530299999999997</v>
      </c>
      <c r="I3257" t="s">
        <v>3459</v>
      </c>
      <c r="J3257">
        <v>11</v>
      </c>
      <c r="M3257">
        <v>191</v>
      </c>
      <c r="N3257">
        <v>54</v>
      </c>
      <c r="O3257">
        <v>36</v>
      </c>
      <c r="P3257">
        <v>32</v>
      </c>
      <c r="Q3257">
        <v>29</v>
      </c>
      <c r="R3257">
        <v>44</v>
      </c>
    </row>
    <row r="3258" spans="1:18" x14ac:dyDescent="0.25">
      <c r="A3258" t="s">
        <v>3487</v>
      </c>
      <c r="B3258" t="s">
        <v>55</v>
      </c>
      <c r="C3258" t="s">
        <v>3457</v>
      </c>
      <c r="D3258" t="s">
        <v>3458</v>
      </c>
      <c r="E3258" t="s">
        <v>78</v>
      </c>
      <c r="F3258" t="s">
        <v>252</v>
      </c>
      <c r="G3258">
        <v>8.7611000000000008</v>
      </c>
      <c r="H3258">
        <v>-76.530299999999997</v>
      </c>
      <c r="I3258" t="s">
        <v>3459</v>
      </c>
      <c r="J3258">
        <v>11</v>
      </c>
      <c r="M3258">
        <v>189</v>
      </c>
      <c r="N3258">
        <v>39</v>
      </c>
      <c r="O3258">
        <v>26</v>
      </c>
      <c r="P3258">
        <v>46</v>
      </c>
      <c r="Q3258">
        <v>36</v>
      </c>
      <c r="R3258">
        <v>51</v>
      </c>
    </row>
    <row r="3259" spans="1:18" x14ac:dyDescent="0.25">
      <c r="A3259" t="s">
        <v>3488</v>
      </c>
      <c r="B3259" t="s">
        <v>55</v>
      </c>
      <c r="C3259" t="s">
        <v>3457</v>
      </c>
      <c r="D3259" t="s">
        <v>3458</v>
      </c>
      <c r="E3259" t="s">
        <v>78</v>
      </c>
      <c r="F3259" t="s">
        <v>252</v>
      </c>
      <c r="G3259">
        <v>8.7611000000000008</v>
      </c>
      <c r="H3259">
        <v>-76.530299999999997</v>
      </c>
      <c r="I3259" t="s">
        <v>3459</v>
      </c>
      <c r="J3259">
        <v>11</v>
      </c>
      <c r="M3259">
        <v>189</v>
      </c>
      <c r="N3259">
        <v>54</v>
      </c>
      <c r="O3259">
        <v>24</v>
      </c>
      <c r="P3259">
        <v>46</v>
      </c>
      <c r="Q3259">
        <v>28</v>
      </c>
      <c r="R3259">
        <v>38</v>
      </c>
    </row>
    <row r="3260" spans="1:18" x14ac:dyDescent="0.25">
      <c r="A3260" t="s">
        <v>3489</v>
      </c>
      <c r="B3260" t="s">
        <v>55</v>
      </c>
      <c r="C3260" t="s">
        <v>3457</v>
      </c>
      <c r="D3260" t="s">
        <v>3458</v>
      </c>
      <c r="E3260" t="s">
        <v>78</v>
      </c>
      <c r="F3260" t="s">
        <v>252</v>
      </c>
      <c r="G3260">
        <v>8.7611000000000008</v>
      </c>
      <c r="H3260">
        <v>-76.530299999999997</v>
      </c>
      <c r="I3260" t="s">
        <v>3459</v>
      </c>
      <c r="J3260">
        <v>11</v>
      </c>
      <c r="M3260">
        <v>189</v>
      </c>
      <c r="N3260">
        <v>44</v>
      </c>
      <c r="O3260">
        <v>30</v>
      </c>
      <c r="P3260">
        <v>42</v>
      </c>
      <c r="Q3260">
        <v>36</v>
      </c>
      <c r="R3260">
        <v>35</v>
      </c>
    </row>
    <row r="3261" spans="1:18" x14ac:dyDescent="0.25">
      <c r="A3261" t="s">
        <v>3490</v>
      </c>
      <c r="B3261" t="s">
        <v>55</v>
      </c>
      <c r="C3261" t="s">
        <v>3457</v>
      </c>
      <c r="D3261" t="s">
        <v>3458</v>
      </c>
      <c r="E3261" t="s">
        <v>78</v>
      </c>
      <c r="F3261" t="s">
        <v>252</v>
      </c>
      <c r="G3261">
        <v>8.7611000000000008</v>
      </c>
      <c r="H3261">
        <v>-76.530299999999997</v>
      </c>
      <c r="I3261" t="s">
        <v>3459</v>
      </c>
      <c r="J3261">
        <v>11</v>
      </c>
      <c r="M3261">
        <v>189</v>
      </c>
      <c r="N3261">
        <v>49</v>
      </c>
      <c r="O3261">
        <v>30</v>
      </c>
      <c r="P3261">
        <v>42</v>
      </c>
      <c r="Q3261">
        <v>29</v>
      </c>
      <c r="R3261">
        <v>40</v>
      </c>
    </row>
    <row r="3262" spans="1:18" x14ac:dyDescent="0.25">
      <c r="A3262" t="s">
        <v>3491</v>
      </c>
      <c r="B3262" t="s">
        <v>55</v>
      </c>
      <c r="C3262" t="s">
        <v>3457</v>
      </c>
      <c r="D3262" t="s">
        <v>3458</v>
      </c>
      <c r="E3262" t="s">
        <v>78</v>
      </c>
      <c r="F3262" t="s">
        <v>252</v>
      </c>
      <c r="G3262">
        <v>8.7611000000000008</v>
      </c>
      <c r="H3262">
        <v>-76.530299999999997</v>
      </c>
      <c r="I3262" t="s">
        <v>3459</v>
      </c>
      <c r="J3262">
        <v>11</v>
      </c>
      <c r="M3262">
        <v>187</v>
      </c>
      <c r="N3262">
        <v>46</v>
      </c>
      <c r="O3262">
        <v>28</v>
      </c>
      <c r="P3262">
        <v>52</v>
      </c>
      <c r="Q3262">
        <v>22</v>
      </c>
      <c r="R3262">
        <v>40</v>
      </c>
    </row>
    <row r="3263" spans="1:18" x14ac:dyDescent="0.25">
      <c r="A3263" t="s">
        <v>3492</v>
      </c>
      <c r="B3263" t="s">
        <v>55</v>
      </c>
      <c r="C3263" t="s">
        <v>3457</v>
      </c>
      <c r="D3263" t="s">
        <v>3458</v>
      </c>
      <c r="E3263" t="s">
        <v>78</v>
      </c>
      <c r="F3263" t="s">
        <v>252</v>
      </c>
      <c r="G3263">
        <v>8.7611000000000008</v>
      </c>
      <c r="H3263">
        <v>-76.530299999999997</v>
      </c>
      <c r="I3263" t="s">
        <v>3459</v>
      </c>
      <c r="J3263">
        <v>11</v>
      </c>
      <c r="M3263">
        <v>187</v>
      </c>
      <c r="N3263">
        <v>46</v>
      </c>
      <c r="O3263">
        <v>22</v>
      </c>
      <c r="P3263">
        <v>50</v>
      </c>
      <c r="Q3263">
        <v>34</v>
      </c>
      <c r="R3263">
        <v>27</v>
      </c>
    </row>
    <row r="3264" spans="1:18" x14ac:dyDescent="0.25">
      <c r="A3264" t="s">
        <v>3493</v>
      </c>
      <c r="B3264" t="s">
        <v>55</v>
      </c>
      <c r="C3264" t="s">
        <v>3457</v>
      </c>
      <c r="D3264" t="s">
        <v>3458</v>
      </c>
      <c r="E3264" t="s">
        <v>78</v>
      </c>
      <c r="F3264" t="s">
        <v>252</v>
      </c>
      <c r="G3264">
        <v>8.7611000000000008</v>
      </c>
      <c r="H3264">
        <v>-76.530299999999997</v>
      </c>
      <c r="I3264" t="s">
        <v>3459</v>
      </c>
      <c r="J3264">
        <v>11</v>
      </c>
      <c r="M3264">
        <v>186</v>
      </c>
      <c r="N3264">
        <v>41</v>
      </c>
      <c r="O3264">
        <v>22</v>
      </c>
      <c r="P3264">
        <v>50</v>
      </c>
      <c r="Q3264">
        <v>33</v>
      </c>
      <c r="R3264">
        <v>44</v>
      </c>
    </row>
    <row r="3265" spans="1:18" x14ac:dyDescent="0.25">
      <c r="A3265" t="s">
        <v>3494</v>
      </c>
      <c r="B3265" t="s">
        <v>55</v>
      </c>
      <c r="C3265" t="s">
        <v>3457</v>
      </c>
      <c r="D3265" t="s">
        <v>3458</v>
      </c>
      <c r="E3265" t="s">
        <v>78</v>
      </c>
      <c r="F3265" t="s">
        <v>252</v>
      </c>
      <c r="G3265">
        <v>8.7611000000000008</v>
      </c>
      <c r="H3265">
        <v>-76.530299999999997</v>
      </c>
      <c r="I3265" t="s">
        <v>3459</v>
      </c>
      <c r="J3265">
        <v>11</v>
      </c>
      <c r="M3265">
        <v>185</v>
      </c>
      <c r="N3265">
        <v>49</v>
      </c>
      <c r="O3265">
        <v>24</v>
      </c>
      <c r="P3265">
        <v>36</v>
      </c>
      <c r="Q3265">
        <v>38</v>
      </c>
      <c r="R3265">
        <v>42</v>
      </c>
    </row>
    <row r="3266" spans="1:18" x14ac:dyDescent="0.25">
      <c r="A3266" t="s">
        <v>3495</v>
      </c>
      <c r="B3266" t="s">
        <v>55</v>
      </c>
      <c r="C3266" t="s">
        <v>3457</v>
      </c>
      <c r="D3266" t="s">
        <v>3458</v>
      </c>
      <c r="E3266" t="s">
        <v>78</v>
      </c>
      <c r="F3266" t="s">
        <v>252</v>
      </c>
      <c r="G3266">
        <v>8.7611000000000008</v>
      </c>
      <c r="H3266">
        <v>-76.530299999999997</v>
      </c>
      <c r="I3266" t="s">
        <v>3459</v>
      </c>
      <c r="J3266">
        <v>11</v>
      </c>
      <c r="M3266">
        <v>185</v>
      </c>
      <c r="N3266">
        <v>51</v>
      </c>
      <c r="O3266">
        <v>28</v>
      </c>
      <c r="P3266">
        <v>34</v>
      </c>
      <c r="Q3266">
        <v>34</v>
      </c>
      <c r="R3266">
        <v>38</v>
      </c>
    </row>
    <row r="3267" spans="1:18" x14ac:dyDescent="0.25">
      <c r="A3267" t="s">
        <v>3496</v>
      </c>
      <c r="B3267" t="s">
        <v>55</v>
      </c>
      <c r="C3267" t="s">
        <v>3457</v>
      </c>
      <c r="D3267" t="s">
        <v>3458</v>
      </c>
      <c r="E3267" t="s">
        <v>78</v>
      </c>
      <c r="F3267" t="s">
        <v>252</v>
      </c>
      <c r="G3267">
        <v>8.7611000000000008</v>
      </c>
      <c r="H3267">
        <v>-76.530299999999997</v>
      </c>
      <c r="I3267" t="s">
        <v>3459</v>
      </c>
      <c r="J3267">
        <v>11</v>
      </c>
      <c r="M3267">
        <v>182</v>
      </c>
      <c r="N3267">
        <v>39</v>
      </c>
      <c r="O3267">
        <v>34</v>
      </c>
      <c r="P3267">
        <v>36</v>
      </c>
      <c r="Q3267">
        <v>40</v>
      </c>
      <c r="R3267">
        <v>27</v>
      </c>
    </row>
    <row r="3268" spans="1:18" x14ac:dyDescent="0.25">
      <c r="A3268" t="s">
        <v>3497</v>
      </c>
      <c r="B3268" t="s">
        <v>55</v>
      </c>
      <c r="C3268" t="s">
        <v>3457</v>
      </c>
      <c r="D3268" t="s">
        <v>3458</v>
      </c>
      <c r="E3268" t="s">
        <v>78</v>
      </c>
      <c r="F3268" t="s">
        <v>252</v>
      </c>
      <c r="G3268">
        <v>8.7611000000000008</v>
      </c>
      <c r="H3268">
        <v>-76.530299999999997</v>
      </c>
      <c r="I3268" t="s">
        <v>3459</v>
      </c>
      <c r="J3268">
        <v>11</v>
      </c>
      <c r="M3268">
        <v>182</v>
      </c>
      <c r="N3268">
        <v>49</v>
      </c>
      <c r="O3268">
        <v>28</v>
      </c>
      <c r="P3268">
        <v>46</v>
      </c>
      <c r="Q3268">
        <v>26</v>
      </c>
      <c r="R3268">
        <v>27</v>
      </c>
    </row>
    <row r="3269" spans="1:18" x14ac:dyDescent="0.25">
      <c r="A3269" t="s">
        <v>3498</v>
      </c>
      <c r="B3269" t="s">
        <v>55</v>
      </c>
      <c r="C3269" t="s">
        <v>3457</v>
      </c>
      <c r="D3269" t="s">
        <v>3458</v>
      </c>
      <c r="E3269" t="s">
        <v>78</v>
      </c>
      <c r="F3269" t="s">
        <v>252</v>
      </c>
      <c r="G3269">
        <v>8.7611000000000008</v>
      </c>
      <c r="H3269">
        <v>-76.530299999999997</v>
      </c>
      <c r="I3269" t="s">
        <v>3459</v>
      </c>
      <c r="J3269">
        <v>11</v>
      </c>
      <c r="M3269">
        <v>182</v>
      </c>
      <c r="N3269">
        <v>49</v>
      </c>
      <c r="O3269">
        <v>22</v>
      </c>
      <c r="P3269">
        <v>36</v>
      </c>
      <c r="Q3269">
        <v>34</v>
      </c>
      <c r="R3269">
        <v>49</v>
      </c>
    </row>
    <row r="3270" spans="1:18" x14ac:dyDescent="0.25">
      <c r="A3270" t="s">
        <v>3499</v>
      </c>
      <c r="B3270" t="s">
        <v>55</v>
      </c>
      <c r="C3270" t="s">
        <v>3457</v>
      </c>
      <c r="D3270" t="s">
        <v>3458</v>
      </c>
      <c r="E3270" t="s">
        <v>78</v>
      </c>
      <c r="F3270" t="s">
        <v>252</v>
      </c>
      <c r="G3270">
        <v>8.7611000000000008</v>
      </c>
      <c r="H3270">
        <v>-76.530299999999997</v>
      </c>
      <c r="I3270" t="s">
        <v>3459</v>
      </c>
      <c r="J3270">
        <v>11</v>
      </c>
      <c r="M3270">
        <v>181</v>
      </c>
      <c r="N3270">
        <v>46</v>
      </c>
      <c r="O3270">
        <v>42</v>
      </c>
      <c r="P3270">
        <v>26</v>
      </c>
      <c r="Q3270">
        <v>29</v>
      </c>
      <c r="R3270">
        <v>40</v>
      </c>
    </row>
    <row r="3271" spans="1:18" x14ac:dyDescent="0.25">
      <c r="A3271" t="s">
        <v>3500</v>
      </c>
      <c r="B3271" t="s">
        <v>55</v>
      </c>
      <c r="C3271" t="s">
        <v>3457</v>
      </c>
      <c r="D3271" t="s">
        <v>3458</v>
      </c>
      <c r="E3271" t="s">
        <v>78</v>
      </c>
      <c r="F3271" t="s">
        <v>252</v>
      </c>
      <c r="G3271">
        <v>8.7611000000000008</v>
      </c>
      <c r="H3271">
        <v>-76.530299999999997</v>
      </c>
      <c r="I3271" t="s">
        <v>3459</v>
      </c>
      <c r="J3271">
        <v>11</v>
      </c>
      <c r="M3271">
        <v>178</v>
      </c>
      <c r="N3271">
        <v>41</v>
      </c>
      <c r="O3271">
        <v>22</v>
      </c>
      <c r="P3271">
        <v>52</v>
      </c>
      <c r="Q3271">
        <v>21</v>
      </c>
      <c r="R3271">
        <v>55</v>
      </c>
    </row>
    <row r="3272" spans="1:18" x14ac:dyDescent="0.25">
      <c r="A3272" t="s">
        <v>3501</v>
      </c>
      <c r="B3272" t="s">
        <v>55</v>
      </c>
      <c r="C3272" t="s">
        <v>3457</v>
      </c>
      <c r="D3272" t="s">
        <v>3458</v>
      </c>
      <c r="E3272" t="s">
        <v>78</v>
      </c>
      <c r="F3272" t="s">
        <v>252</v>
      </c>
      <c r="G3272">
        <v>8.7611000000000008</v>
      </c>
      <c r="H3272">
        <v>-76.530299999999997</v>
      </c>
      <c r="I3272" t="s">
        <v>3459</v>
      </c>
      <c r="J3272">
        <v>11</v>
      </c>
      <c r="M3272">
        <v>177</v>
      </c>
      <c r="N3272">
        <v>44</v>
      </c>
      <c r="O3272">
        <v>22</v>
      </c>
      <c r="P3272">
        <v>42</v>
      </c>
      <c r="Q3272">
        <v>34</v>
      </c>
      <c r="R3272">
        <v>33</v>
      </c>
    </row>
    <row r="3273" spans="1:18" x14ac:dyDescent="0.25">
      <c r="A3273" t="s">
        <v>3502</v>
      </c>
      <c r="B3273" t="s">
        <v>55</v>
      </c>
      <c r="C3273" t="s">
        <v>3457</v>
      </c>
      <c r="D3273" t="s">
        <v>3458</v>
      </c>
      <c r="E3273" t="s">
        <v>78</v>
      </c>
      <c r="F3273" t="s">
        <v>252</v>
      </c>
      <c r="G3273">
        <v>8.7611000000000008</v>
      </c>
      <c r="H3273">
        <v>-76.530299999999997</v>
      </c>
      <c r="I3273" t="s">
        <v>3459</v>
      </c>
      <c r="J3273">
        <v>11</v>
      </c>
      <c r="M3273">
        <v>173</v>
      </c>
      <c r="N3273">
        <v>56</v>
      </c>
      <c r="O3273">
        <v>18</v>
      </c>
      <c r="P3273">
        <v>40</v>
      </c>
      <c r="Q3273">
        <v>24</v>
      </c>
      <c r="R3273">
        <v>36</v>
      </c>
    </row>
    <row r="3274" spans="1:18" x14ac:dyDescent="0.25">
      <c r="A3274" t="s">
        <v>3503</v>
      </c>
      <c r="B3274" t="s">
        <v>55</v>
      </c>
      <c r="C3274" t="s">
        <v>3457</v>
      </c>
      <c r="D3274" t="s">
        <v>3458</v>
      </c>
      <c r="E3274" t="s">
        <v>78</v>
      </c>
      <c r="F3274" t="s">
        <v>252</v>
      </c>
      <c r="G3274">
        <v>8.7611000000000008</v>
      </c>
      <c r="H3274">
        <v>-76.530299999999997</v>
      </c>
      <c r="I3274" t="s">
        <v>3459</v>
      </c>
      <c r="J3274">
        <v>11</v>
      </c>
      <c r="M3274">
        <v>173</v>
      </c>
      <c r="N3274">
        <v>46</v>
      </c>
      <c r="O3274">
        <v>20</v>
      </c>
      <c r="P3274">
        <v>44</v>
      </c>
      <c r="Q3274">
        <v>26</v>
      </c>
      <c r="R3274">
        <v>42</v>
      </c>
    </row>
    <row r="3275" spans="1:18" x14ac:dyDescent="0.25">
      <c r="A3275" t="s">
        <v>3504</v>
      </c>
      <c r="B3275" t="s">
        <v>55</v>
      </c>
      <c r="C3275" t="s">
        <v>3457</v>
      </c>
      <c r="D3275" t="s">
        <v>3458</v>
      </c>
      <c r="E3275" t="s">
        <v>78</v>
      </c>
      <c r="F3275" t="s">
        <v>252</v>
      </c>
      <c r="G3275">
        <v>8.7611000000000008</v>
      </c>
      <c r="H3275">
        <v>-76.530299999999997</v>
      </c>
      <c r="I3275" t="s">
        <v>3459</v>
      </c>
      <c r="J3275">
        <v>11</v>
      </c>
      <c r="M3275">
        <v>173</v>
      </c>
      <c r="N3275">
        <v>49</v>
      </c>
      <c r="O3275">
        <v>32</v>
      </c>
      <c r="P3275">
        <v>30</v>
      </c>
      <c r="Q3275">
        <v>24</v>
      </c>
      <c r="R3275">
        <v>45</v>
      </c>
    </row>
    <row r="3276" spans="1:18" x14ac:dyDescent="0.25">
      <c r="A3276" t="s">
        <v>3505</v>
      </c>
      <c r="B3276" t="s">
        <v>55</v>
      </c>
      <c r="C3276" t="s">
        <v>3457</v>
      </c>
      <c r="D3276" t="s">
        <v>3458</v>
      </c>
      <c r="E3276" t="s">
        <v>78</v>
      </c>
      <c r="F3276" t="s">
        <v>252</v>
      </c>
      <c r="G3276">
        <v>8.7611000000000008</v>
      </c>
      <c r="H3276">
        <v>-76.530299999999997</v>
      </c>
      <c r="I3276" t="s">
        <v>3459</v>
      </c>
      <c r="J3276">
        <v>11</v>
      </c>
      <c r="M3276">
        <v>173</v>
      </c>
      <c r="N3276">
        <v>49</v>
      </c>
      <c r="O3276">
        <v>14</v>
      </c>
      <c r="P3276">
        <v>48</v>
      </c>
      <c r="Q3276">
        <v>26</v>
      </c>
      <c r="R3276">
        <v>40</v>
      </c>
    </row>
    <row r="3277" spans="1:18" x14ac:dyDescent="0.25">
      <c r="A3277" t="s">
        <v>3506</v>
      </c>
      <c r="B3277" t="s">
        <v>55</v>
      </c>
      <c r="C3277" t="s">
        <v>3457</v>
      </c>
      <c r="D3277" t="s">
        <v>3458</v>
      </c>
      <c r="E3277" t="s">
        <v>78</v>
      </c>
      <c r="F3277" t="s">
        <v>252</v>
      </c>
      <c r="G3277">
        <v>8.7611000000000008</v>
      </c>
      <c r="H3277">
        <v>-76.530299999999997</v>
      </c>
      <c r="I3277" t="s">
        <v>3459</v>
      </c>
      <c r="J3277">
        <v>11</v>
      </c>
      <c r="M3277">
        <v>171</v>
      </c>
      <c r="N3277">
        <v>34</v>
      </c>
      <c r="O3277">
        <v>24</v>
      </c>
      <c r="P3277">
        <v>30</v>
      </c>
      <c r="Q3277">
        <v>48</v>
      </c>
      <c r="R3277">
        <v>36</v>
      </c>
    </row>
    <row r="3278" spans="1:18" x14ac:dyDescent="0.25">
      <c r="A3278" t="s">
        <v>3507</v>
      </c>
      <c r="B3278" t="s">
        <v>55</v>
      </c>
      <c r="C3278" t="s">
        <v>3457</v>
      </c>
      <c r="D3278" t="s">
        <v>3458</v>
      </c>
      <c r="E3278" t="s">
        <v>78</v>
      </c>
      <c r="F3278" t="s">
        <v>252</v>
      </c>
      <c r="G3278">
        <v>8.7611000000000008</v>
      </c>
      <c r="H3278">
        <v>-76.530299999999997</v>
      </c>
      <c r="I3278" t="s">
        <v>3459</v>
      </c>
      <c r="J3278">
        <v>11</v>
      </c>
      <c r="M3278">
        <v>169</v>
      </c>
      <c r="N3278">
        <v>39</v>
      </c>
      <c r="O3278">
        <v>26</v>
      </c>
      <c r="P3278">
        <v>40</v>
      </c>
      <c r="Q3278">
        <v>28</v>
      </c>
      <c r="R3278">
        <v>42</v>
      </c>
    </row>
    <row r="3279" spans="1:18" x14ac:dyDescent="0.25">
      <c r="A3279" t="s">
        <v>3508</v>
      </c>
      <c r="B3279" t="s">
        <v>55</v>
      </c>
      <c r="C3279" t="s">
        <v>3457</v>
      </c>
      <c r="D3279" t="s">
        <v>3458</v>
      </c>
      <c r="E3279" t="s">
        <v>78</v>
      </c>
      <c r="F3279" t="s">
        <v>252</v>
      </c>
      <c r="G3279">
        <v>8.7611000000000008</v>
      </c>
      <c r="H3279">
        <v>-76.530299999999997</v>
      </c>
      <c r="I3279" t="s">
        <v>3459</v>
      </c>
      <c r="J3279">
        <v>11</v>
      </c>
      <c r="M3279">
        <v>168</v>
      </c>
      <c r="N3279">
        <v>51</v>
      </c>
      <c r="O3279">
        <v>34</v>
      </c>
      <c r="P3279">
        <v>28</v>
      </c>
      <c r="Q3279">
        <v>21</v>
      </c>
      <c r="R3279">
        <v>36</v>
      </c>
    </row>
    <row r="3280" spans="1:18" x14ac:dyDescent="0.25">
      <c r="A3280" t="s">
        <v>3509</v>
      </c>
      <c r="B3280" t="s">
        <v>55</v>
      </c>
      <c r="C3280" t="s">
        <v>3457</v>
      </c>
      <c r="D3280" t="s">
        <v>3458</v>
      </c>
      <c r="E3280" t="s">
        <v>78</v>
      </c>
      <c r="F3280" t="s">
        <v>252</v>
      </c>
      <c r="G3280">
        <v>8.7611000000000008</v>
      </c>
      <c r="H3280">
        <v>-76.530299999999997</v>
      </c>
      <c r="I3280" t="s">
        <v>3459</v>
      </c>
      <c r="J3280">
        <v>11</v>
      </c>
      <c r="M3280">
        <v>168</v>
      </c>
      <c r="N3280">
        <v>41</v>
      </c>
      <c r="O3280">
        <v>22</v>
      </c>
      <c r="P3280">
        <v>48</v>
      </c>
      <c r="Q3280">
        <v>26</v>
      </c>
      <c r="R3280">
        <v>25</v>
      </c>
    </row>
    <row r="3281" spans="1:18" x14ac:dyDescent="0.25">
      <c r="A3281" t="s">
        <v>3510</v>
      </c>
      <c r="B3281" t="s">
        <v>55</v>
      </c>
      <c r="C3281" t="s">
        <v>3457</v>
      </c>
      <c r="D3281" t="s">
        <v>3458</v>
      </c>
      <c r="E3281" t="s">
        <v>78</v>
      </c>
      <c r="F3281" t="s">
        <v>252</v>
      </c>
      <c r="G3281">
        <v>8.7611000000000008</v>
      </c>
      <c r="H3281">
        <v>-76.530299999999997</v>
      </c>
      <c r="I3281" t="s">
        <v>3459</v>
      </c>
      <c r="J3281">
        <v>11</v>
      </c>
      <c r="M3281">
        <v>168</v>
      </c>
      <c r="N3281">
        <v>39</v>
      </c>
      <c r="O3281">
        <v>12</v>
      </c>
      <c r="P3281">
        <v>38</v>
      </c>
      <c r="Q3281">
        <v>40</v>
      </c>
      <c r="R3281">
        <v>51</v>
      </c>
    </row>
    <row r="3282" spans="1:18" x14ac:dyDescent="0.25">
      <c r="A3282" t="s">
        <v>3511</v>
      </c>
      <c r="B3282" t="s">
        <v>55</v>
      </c>
      <c r="C3282" t="s">
        <v>3457</v>
      </c>
      <c r="D3282" t="s">
        <v>3458</v>
      </c>
      <c r="E3282" t="s">
        <v>78</v>
      </c>
      <c r="F3282" t="s">
        <v>252</v>
      </c>
      <c r="G3282">
        <v>8.7611000000000008</v>
      </c>
      <c r="H3282">
        <v>-76.530299999999997</v>
      </c>
      <c r="I3282" t="s">
        <v>3459</v>
      </c>
      <c r="J3282">
        <v>11</v>
      </c>
      <c r="M3282">
        <v>167</v>
      </c>
      <c r="N3282">
        <v>37</v>
      </c>
      <c r="O3282">
        <v>34</v>
      </c>
      <c r="P3282">
        <v>32</v>
      </c>
      <c r="Q3282">
        <v>33</v>
      </c>
      <c r="R3282">
        <v>29</v>
      </c>
    </row>
    <row r="3283" spans="1:18" x14ac:dyDescent="0.25">
      <c r="A3283" t="s">
        <v>3512</v>
      </c>
      <c r="B3283" t="s">
        <v>55</v>
      </c>
      <c r="C3283" t="s">
        <v>3457</v>
      </c>
      <c r="D3283" t="s">
        <v>3458</v>
      </c>
      <c r="E3283" t="s">
        <v>78</v>
      </c>
      <c r="F3283" t="s">
        <v>252</v>
      </c>
      <c r="G3283">
        <v>8.7611000000000008</v>
      </c>
      <c r="H3283">
        <v>-76.530299999999997</v>
      </c>
      <c r="I3283" t="s">
        <v>3459</v>
      </c>
      <c r="J3283">
        <v>11</v>
      </c>
      <c r="M3283">
        <v>167</v>
      </c>
      <c r="N3283">
        <v>41</v>
      </c>
      <c r="O3283">
        <v>32</v>
      </c>
      <c r="P3283">
        <v>34</v>
      </c>
      <c r="Q3283">
        <v>26</v>
      </c>
      <c r="R3283">
        <v>35</v>
      </c>
    </row>
    <row r="3284" spans="1:18" x14ac:dyDescent="0.25">
      <c r="A3284" t="s">
        <v>3513</v>
      </c>
      <c r="B3284" t="s">
        <v>55</v>
      </c>
      <c r="C3284" t="s">
        <v>3457</v>
      </c>
      <c r="D3284" t="s">
        <v>3458</v>
      </c>
      <c r="E3284" t="s">
        <v>78</v>
      </c>
      <c r="F3284" t="s">
        <v>252</v>
      </c>
      <c r="G3284">
        <v>8.7611000000000008</v>
      </c>
      <c r="H3284">
        <v>-76.530299999999997</v>
      </c>
      <c r="I3284" t="s">
        <v>3459</v>
      </c>
      <c r="J3284">
        <v>11</v>
      </c>
      <c r="M3284">
        <v>167</v>
      </c>
      <c r="N3284">
        <v>34</v>
      </c>
      <c r="O3284">
        <v>18</v>
      </c>
      <c r="P3284">
        <v>48</v>
      </c>
      <c r="Q3284">
        <v>29</v>
      </c>
      <c r="R3284">
        <v>45</v>
      </c>
    </row>
    <row r="3285" spans="1:18" x14ac:dyDescent="0.25">
      <c r="A3285" t="s">
        <v>3514</v>
      </c>
      <c r="B3285" t="s">
        <v>55</v>
      </c>
      <c r="C3285" t="s">
        <v>3457</v>
      </c>
      <c r="D3285" t="s">
        <v>3458</v>
      </c>
      <c r="E3285" t="s">
        <v>78</v>
      </c>
      <c r="F3285" t="s">
        <v>252</v>
      </c>
      <c r="G3285">
        <v>8.7611000000000008</v>
      </c>
      <c r="H3285">
        <v>-76.530299999999997</v>
      </c>
      <c r="I3285" t="s">
        <v>3459</v>
      </c>
      <c r="J3285">
        <v>11</v>
      </c>
      <c r="M3285">
        <v>163</v>
      </c>
      <c r="N3285">
        <v>46</v>
      </c>
      <c r="O3285">
        <v>26</v>
      </c>
      <c r="P3285">
        <v>32</v>
      </c>
      <c r="Q3285">
        <v>19</v>
      </c>
      <c r="R3285">
        <v>55</v>
      </c>
    </row>
    <row r="3286" spans="1:18" x14ac:dyDescent="0.25">
      <c r="A3286" t="s">
        <v>3515</v>
      </c>
      <c r="B3286" t="s">
        <v>55</v>
      </c>
      <c r="C3286" t="s">
        <v>3457</v>
      </c>
      <c r="D3286" t="s">
        <v>3458</v>
      </c>
      <c r="E3286" t="s">
        <v>78</v>
      </c>
      <c r="F3286" t="s">
        <v>252</v>
      </c>
      <c r="G3286">
        <v>8.7611000000000008</v>
      </c>
      <c r="H3286">
        <v>-76.530299999999997</v>
      </c>
      <c r="I3286" t="s">
        <v>3459</v>
      </c>
      <c r="J3286">
        <v>11</v>
      </c>
      <c r="M3286">
        <v>163</v>
      </c>
      <c r="N3286">
        <v>44</v>
      </c>
      <c r="O3286">
        <v>36</v>
      </c>
      <c r="P3286">
        <v>32</v>
      </c>
      <c r="Q3286">
        <v>21</v>
      </c>
      <c r="R3286">
        <v>25</v>
      </c>
    </row>
    <row r="3287" spans="1:18" x14ac:dyDescent="0.25">
      <c r="A3287" t="s">
        <v>3516</v>
      </c>
      <c r="B3287" t="s">
        <v>55</v>
      </c>
      <c r="C3287" t="s">
        <v>3457</v>
      </c>
      <c r="D3287" t="s">
        <v>3458</v>
      </c>
      <c r="E3287" t="s">
        <v>78</v>
      </c>
      <c r="F3287" t="s">
        <v>252</v>
      </c>
      <c r="G3287">
        <v>8.7611000000000008</v>
      </c>
      <c r="H3287">
        <v>-76.530299999999997</v>
      </c>
      <c r="I3287" t="s">
        <v>3459</v>
      </c>
      <c r="J3287">
        <v>11</v>
      </c>
      <c r="M3287">
        <v>163</v>
      </c>
      <c r="N3287">
        <v>49</v>
      </c>
      <c r="O3287">
        <v>20</v>
      </c>
      <c r="P3287">
        <v>32</v>
      </c>
      <c r="Q3287">
        <v>29</v>
      </c>
      <c r="R3287">
        <v>33</v>
      </c>
    </row>
    <row r="3288" spans="1:18" x14ac:dyDescent="0.25">
      <c r="A3288" t="s">
        <v>3517</v>
      </c>
      <c r="B3288" t="s">
        <v>55</v>
      </c>
      <c r="C3288" t="s">
        <v>3457</v>
      </c>
      <c r="D3288" t="s">
        <v>3458</v>
      </c>
      <c r="E3288" t="s">
        <v>78</v>
      </c>
      <c r="F3288" t="s">
        <v>252</v>
      </c>
      <c r="G3288">
        <v>8.7611000000000008</v>
      </c>
      <c r="H3288">
        <v>-76.530299999999997</v>
      </c>
      <c r="I3288" t="s">
        <v>3459</v>
      </c>
      <c r="J3288">
        <v>11</v>
      </c>
      <c r="M3288">
        <v>162</v>
      </c>
      <c r="N3288">
        <v>34</v>
      </c>
      <c r="O3288">
        <v>22</v>
      </c>
      <c r="P3288">
        <v>42</v>
      </c>
      <c r="Q3288">
        <v>33</v>
      </c>
      <c r="R3288">
        <v>27</v>
      </c>
    </row>
    <row r="3289" spans="1:18" x14ac:dyDescent="0.25">
      <c r="A3289" t="s">
        <v>3518</v>
      </c>
      <c r="B3289" t="s">
        <v>55</v>
      </c>
      <c r="C3289" t="s">
        <v>3457</v>
      </c>
      <c r="D3289" t="s">
        <v>3458</v>
      </c>
      <c r="E3289" t="s">
        <v>78</v>
      </c>
      <c r="F3289" t="s">
        <v>252</v>
      </c>
      <c r="G3289">
        <v>8.7611000000000008</v>
      </c>
      <c r="H3289">
        <v>-76.530299999999997</v>
      </c>
      <c r="I3289" t="s">
        <v>3459</v>
      </c>
      <c r="J3289">
        <v>11</v>
      </c>
      <c r="M3289">
        <v>161</v>
      </c>
      <c r="N3289">
        <v>46</v>
      </c>
      <c r="O3289">
        <v>24</v>
      </c>
      <c r="P3289">
        <v>30</v>
      </c>
      <c r="Q3289">
        <v>26</v>
      </c>
      <c r="R3289">
        <v>40</v>
      </c>
    </row>
    <row r="3290" spans="1:18" x14ac:dyDescent="0.25">
      <c r="A3290" t="s">
        <v>3519</v>
      </c>
      <c r="B3290" t="s">
        <v>55</v>
      </c>
      <c r="C3290" t="s">
        <v>3457</v>
      </c>
      <c r="D3290" t="s">
        <v>3458</v>
      </c>
      <c r="E3290" t="s">
        <v>78</v>
      </c>
      <c r="F3290" t="s">
        <v>252</v>
      </c>
      <c r="G3290">
        <v>8.7611000000000008</v>
      </c>
      <c r="H3290">
        <v>-76.530299999999997</v>
      </c>
      <c r="I3290" t="s">
        <v>3459</v>
      </c>
      <c r="J3290">
        <v>11</v>
      </c>
      <c r="M3290">
        <v>160</v>
      </c>
      <c r="N3290">
        <v>32</v>
      </c>
      <c r="O3290">
        <v>32</v>
      </c>
      <c r="P3290">
        <v>28</v>
      </c>
      <c r="Q3290">
        <v>34</v>
      </c>
      <c r="R3290">
        <v>36</v>
      </c>
    </row>
    <row r="3291" spans="1:18" x14ac:dyDescent="0.25">
      <c r="A3291" t="s">
        <v>3520</v>
      </c>
      <c r="B3291" t="s">
        <v>55</v>
      </c>
      <c r="C3291" t="s">
        <v>3457</v>
      </c>
      <c r="D3291" t="s">
        <v>3458</v>
      </c>
      <c r="E3291" t="s">
        <v>78</v>
      </c>
      <c r="F3291" t="s">
        <v>252</v>
      </c>
      <c r="G3291">
        <v>8.7611000000000008</v>
      </c>
      <c r="H3291">
        <v>-76.530299999999997</v>
      </c>
      <c r="I3291" t="s">
        <v>3459</v>
      </c>
      <c r="J3291">
        <v>11</v>
      </c>
      <c r="M3291">
        <v>159</v>
      </c>
      <c r="N3291">
        <v>49</v>
      </c>
      <c r="O3291">
        <v>32</v>
      </c>
      <c r="P3291">
        <v>18</v>
      </c>
      <c r="Q3291">
        <v>26</v>
      </c>
      <c r="R3291">
        <v>40</v>
      </c>
    </row>
    <row r="3292" spans="1:18" x14ac:dyDescent="0.25">
      <c r="A3292" t="s">
        <v>3521</v>
      </c>
      <c r="B3292" t="s">
        <v>55</v>
      </c>
      <c r="C3292" t="s">
        <v>3457</v>
      </c>
      <c r="D3292" t="s">
        <v>3458</v>
      </c>
      <c r="E3292" t="s">
        <v>78</v>
      </c>
      <c r="F3292" t="s">
        <v>252</v>
      </c>
      <c r="G3292">
        <v>8.7611000000000008</v>
      </c>
      <c r="H3292">
        <v>-76.530299999999997</v>
      </c>
      <c r="I3292" t="s">
        <v>3459</v>
      </c>
      <c r="J3292">
        <v>11</v>
      </c>
      <c r="M3292">
        <v>159</v>
      </c>
      <c r="N3292">
        <v>32</v>
      </c>
      <c r="O3292">
        <v>40</v>
      </c>
      <c r="P3292">
        <v>28</v>
      </c>
      <c r="Q3292">
        <v>28</v>
      </c>
      <c r="R3292">
        <v>31</v>
      </c>
    </row>
    <row r="3293" spans="1:18" x14ac:dyDescent="0.25">
      <c r="A3293" t="s">
        <v>3522</v>
      </c>
      <c r="B3293" t="s">
        <v>55</v>
      </c>
      <c r="C3293" t="s">
        <v>3457</v>
      </c>
      <c r="D3293" t="s">
        <v>3458</v>
      </c>
      <c r="E3293" t="s">
        <v>78</v>
      </c>
      <c r="F3293" t="s">
        <v>252</v>
      </c>
      <c r="G3293">
        <v>8.7611000000000008</v>
      </c>
      <c r="H3293">
        <v>-76.530299999999997</v>
      </c>
      <c r="I3293" t="s">
        <v>3459</v>
      </c>
      <c r="J3293">
        <v>11</v>
      </c>
      <c r="M3293">
        <v>158</v>
      </c>
      <c r="N3293">
        <v>29</v>
      </c>
      <c r="O3293">
        <v>30</v>
      </c>
      <c r="P3293">
        <v>38</v>
      </c>
      <c r="Q3293">
        <v>24</v>
      </c>
      <c r="R3293">
        <v>47</v>
      </c>
    </row>
    <row r="3294" spans="1:18" x14ac:dyDescent="0.25">
      <c r="A3294" t="s">
        <v>3523</v>
      </c>
      <c r="B3294" t="s">
        <v>55</v>
      </c>
      <c r="C3294" t="s">
        <v>3457</v>
      </c>
      <c r="D3294" t="s">
        <v>3458</v>
      </c>
      <c r="E3294" t="s">
        <v>78</v>
      </c>
      <c r="F3294" t="s">
        <v>252</v>
      </c>
      <c r="G3294">
        <v>8.7611000000000008</v>
      </c>
      <c r="H3294">
        <v>-76.530299999999997</v>
      </c>
      <c r="I3294" t="s">
        <v>3459</v>
      </c>
      <c r="J3294">
        <v>11</v>
      </c>
      <c r="M3294">
        <v>158</v>
      </c>
      <c r="N3294">
        <v>44</v>
      </c>
      <c r="O3294">
        <v>18</v>
      </c>
      <c r="P3294">
        <v>34</v>
      </c>
      <c r="Q3294">
        <v>29</v>
      </c>
      <c r="R3294">
        <v>35</v>
      </c>
    </row>
    <row r="3295" spans="1:18" x14ac:dyDescent="0.25">
      <c r="A3295" t="s">
        <v>3524</v>
      </c>
      <c r="B3295" t="s">
        <v>55</v>
      </c>
      <c r="C3295" t="s">
        <v>3457</v>
      </c>
      <c r="D3295" t="s">
        <v>3458</v>
      </c>
      <c r="E3295" t="s">
        <v>78</v>
      </c>
      <c r="F3295" t="s">
        <v>252</v>
      </c>
      <c r="G3295">
        <v>8.7611000000000008</v>
      </c>
      <c r="H3295">
        <v>-76.530299999999997</v>
      </c>
      <c r="I3295" t="s">
        <v>3459</v>
      </c>
      <c r="J3295">
        <v>11</v>
      </c>
      <c r="M3295">
        <v>157</v>
      </c>
      <c r="N3295">
        <v>32</v>
      </c>
      <c r="O3295">
        <v>38</v>
      </c>
      <c r="P3295">
        <v>24</v>
      </c>
      <c r="Q3295">
        <v>29</v>
      </c>
      <c r="R3295">
        <v>38</v>
      </c>
    </row>
    <row r="3296" spans="1:18" x14ac:dyDescent="0.25">
      <c r="A3296" t="s">
        <v>3525</v>
      </c>
      <c r="B3296" t="s">
        <v>55</v>
      </c>
      <c r="C3296" t="s">
        <v>3457</v>
      </c>
      <c r="D3296" t="s">
        <v>3458</v>
      </c>
      <c r="E3296" t="s">
        <v>78</v>
      </c>
      <c r="F3296" t="s">
        <v>252</v>
      </c>
      <c r="G3296">
        <v>8.7611000000000008</v>
      </c>
      <c r="H3296">
        <v>-76.530299999999997</v>
      </c>
      <c r="I3296" t="s">
        <v>3459</v>
      </c>
      <c r="J3296">
        <v>11</v>
      </c>
      <c r="M3296">
        <v>156</v>
      </c>
      <c r="N3296">
        <v>44</v>
      </c>
      <c r="O3296">
        <v>20</v>
      </c>
      <c r="P3296">
        <v>36</v>
      </c>
      <c r="Q3296">
        <v>28</v>
      </c>
      <c r="R3296">
        <v>24</v>
      </c>
    </row>
    <row r="3297" spans="1:18" x14ac:dyDescent="0.25">
      <c r="A3297" t="s">
        <v>3526</v>
      </c>
      <c r="B3297" t="s">
        <v>55</v>
      </c>
      <c r="C3297" t="s">
        <v>3457</v>
      </c>
      <c r="D3297" t="s">
        <v>3458</v>
      </c>
      <c r="E3297" t="s">
        <v>78</v>
      </c>
      <c r="F3297" t="s">
        <v>252</v>
      </c>
      <c r="G3297">
        <v>8.7611000000000008</v>
      </c>
      <c r="H3297">
        <v>-76.530299999999997</v>
      </c>
      <c r="I3297" t="s">
        <v>3459</v>
      </c>
      <c r="J3297">
        <v>11</v>
      </c>
      <c r="M3297">
        <v>155</v>
      </c>
      <c r="N3297">
        <v>37</v>
      </c>
      <c r="O3297">
        <v>20</v>
      </c>
      <c r="P3297">
        <v>44</v>
      </c>
      <c r="Q3297">
        <v>21</v>
      </c>
      <c r="R3297">
        <v>38</v>
      </c>
    </row>
    <row r="3298" spans="1:18" x14ac:dyDescent="0.25">
      <c r="A3298" t="s">
        <v>3527</v>
      </c>
      <c r="B3298" t="s">
        <v>55</v>
      </c>
      <c r="C3298" t="s">
        <v>3457</v>
      </c>
      <c r="D3298" t="s">
        <v>3458</v>
      </c>
      <c r="E3298" t="s">
        <v>78</v>
      </c>
      <c r="F3298" t="s">
        <v>252</v>
      </c>
      <c r="G3298">
        <v>8.7611000000000008</v>
      </c>
      <c r="H3298">
        <v>-76.530299999999997</v>
      </c>
      <c r="I3298" t="s">
        <v>3459</v>
      </c>
      <c r="J3298">
        <v>11</v>
      </c>
      <c r="M3298">
        <v>153</v>
      </c>
      <c r="N3298">
        <v>32</v>
      </c>
      <c r="O3298">
        <v>24</v>
      </c>
      <c r="P3298">
        <v>38</v>
      </c>
      <c r="Q3298">
        <v>26</v>
      </c>
      <c r="R3298">
        <v>40</v>
      </c>
    </row>
    <row r="3299" spans="1:18" x14ac:dyDescent="0.25">
      <c r="A3299" t="s">
        <v>3528</v>
      </c>
      <c r="B3299" t="s">
        <v>55</v>
      </c>
      <c r="C3299" t="s">
        <v>3457</v>
      </c>
      <c r="D3299" t="s">
        <v>3458</v>
      </c>
      <c r="E3299" t="s">
        <v>78</v>
      </c>
      <c r="F3299" t="s">
        <v>252</v>
      </c>
      <c r="G3299">
        <v>8.7611000000000008</v>
      </c>
      <c r="H3299">
        <v>-76.530299999999997</v>
      </c>
      <c r="I3299" t="s">
        <v>3459</v>
      </c>
      <c r="J3299">
        <v>11</v>
      </c>
      <c r="M3299">
        <v>153</v>
      </c>
      <c r="N3299">
        <v>32</v>
      </c>
      <c r="O3299">
        <v>28</v>
      </c>
      <c r="P3299">
        <v>40</v>
      </c>
      <c r="Q3299">
        <v>22</v>
      </c>
      <c r="R3299">
        <v>31</v>
      </c>
    </row>
    <row r="3300" spans="1:18" x14ac:dyDescent="0.25">
      <c r="A3300" t="s">
        <v>3529</v>
      </c>
      <c r="B3300" t="s">
        <v>55</v>
      </c>
      <c r="C3300" t="s">
        <v>3457</v>
      </c>
      <c r="D3300" t="s">
        <v>3458</v>
      </c>
      <c r="E3300" t="s">
        <v>78</v>
      </c>
      <c r="F3300" t="s">
        <v>252</v>
      </c>
      <c r="G3300">
        <v>8.7611000000000008</v>
      </c>
      <c r="H3300">
        <v>-76.530299999999997</v>
      </c>
      <c r="I3300" t="s">
        <v>3459</v>
      </c>
      <c r="J3300">
        <v>11</v>
      </c>
      <c r="M3300">
        <v>152</v>
      </c>
      <c r="N3300">
        <v>41</v>
      </c>
      <c r="O3300">
        <v>30</v>
      </c>
      <c r="P3300">
        <v>28</v>
      </c>
      <c r="Q3300">
        <v>22</v>
      </c>
      <c r="R3300">
        <v>29</v>
      </c>
    </row>
    <row r="3301" spans="1:18" x14ac:dyDescent="0.25">
      <c r="A3301" t="s">
        <v>3530</v>
      </c>
      <c r="B3301" t="s">
        <v>55</v>
      </c>
      <c r="C3301" t="s">
        <v>3457</v>
      </c>
      <c r="D3301" t="s">
        <v>3458</v>
      </c>
      <c r="E3301" t="s">
        <v>78</v>
      </c>
      <c r="F3301" t="s">
        <v>252</v>
      </c>
      <c r="G3301">
        <v>8.7611000000000008</v>
      </c>
      <c r="H3301">
        <v>-76.530299999999997</v>
      </c>
      <c r="I3301" t="s">
        <v>3459</v>
      </c>
      <c r="J3301">
        <v>11</v>
      </c>
      <c r="M3301">
        <v>149</v>
      </c>
      <c r="N3301">
        <v>22</v>
      </c>
      <c r="O3301">
        <v>22</v>
      </c>
      <c r="P3301">
        <v>46</v>
      </c>
      <c r="Q3301">
        <v>31</v>
      </c>
      <c r="R3301">
        <v>25</v>
      </c>
    </row>
    <row r="3302" spans="1:18" x14ac:dyDescent="0.25">
      <c r="A3302" t="s">
        <v>3531</v>
      </c>
      <c r="B3302" t="s">
        <v>55</v>
      </c>
      <c r="C3302" t="s">
        <v>3457</v>
      </c>
      <c r="D3302" t="s">
        <v>3458</v>
      </c>
      <c r="E3302" t="s">
        <v>78</v>
      </c>
      <c r="F3302" t="s">
        <v>252</v>
      </c>
      <c r="G3302">
        <v>8.7611000000000008</v>
      </c>
      <c r="H3302">
        <v>-76.530299999999997</v>
      </c>
      <c r="I3302" t="s">
        <v>3459</v>
      </c>
      <c r="J3302">
        <v>11</v>
      </c>
      <c r="M3302">
        <v>149</v>
      </c>
      <c r="N3302">
        <v>24</v>
      </c>
      <c r="O3302">
        <v>32</v>
      </c>
      <c r="P3302">
        <v>32</v>
      </c>
      <c r="Q3302">
        <v>29</v>
      </c>
      <c r="R3302">
        <v>35</v>
      </c>
    </row>
    <row r="3303" spans="1:18" x14ac:dyDescent="0.25">
      <c r="A3303" t="s">
        <v>3532</v>
      </c>
      <c r="B3303" t="s">
        <v>55</v>
      </c>
      <c r="C3303" t="s">
        <v>3457</v>
      </c>
      <c r="D3303" t="s">
        <v>3458</v>
      </c>
      <c r="E3303" t="s">
        <v>78</v>
      </c>
      <c r="F3303" t="s">
        <v>252</v>
      </c>
      <c r="G3303">
        <v>8.7611000000000008</v>
      </c>
      <c r="H3303">
        <v>-76.530299999999997</v>
      </c>
      <c r="I3303" t="s">
        <v>3459</v>
      </c>
      <c r="J3303">
        <v>11</v>
      </c>
      <c r="M3303">
        <v>148</v>
      </c>
      <c r="N3303">
        <v>37</v>
      </c>
      <c r="O3303">
        <v>20</v>
      </c>
      <c r="P3303">
        <v>36</v>
      </c>
      <c r="Q3303">
        <v>28</v>
      </c>
      <c r="R3303">
        <v>25</v>
      </c>
    </row>
    <row r="3304" spans="1:18" x14ac:dyDescent="0.25">
      <c r="A3304" t="s">
        <v>3533</v>
      </c>
      <c r="B3304" t="s">
        <v>55</v>
      </c>
      <c r="C3304" t="s">
        <v>3457</v>
      </c>
      <c r="D3304" t="s">
        <v>3458</v>
      </c>
      <c r="E3304" t="s">
        <v>78</v>
      </c>
      <c r="F3304" t="s">
        <v>252</v>
      </c>
      <c r="G3304">
        <v>8.7611000000000008</v>
      </c>
      <c r="H3304">
        <v>-76.530299999999997</v>
      </c>
      <c r="I3304" t="s">
        <v>3459</v>
      </c>
      <c r="J3304">
        <v>11</v>
      </c>
      <c r="M3304">
        <v>146</v>
      </c>
      <c r="N3304">
        <v>39</v>
      </c>
      <c r="O3304">
        <v>16</v>
      </c>
      <c r="P3304">
        <v>34</v>
      </c>
      <c r="Q3304">
        <v>24</v>
      </c>
      <c r="R3304">
        <v>40</v>
      </c>
    </row>
    <row r="3305" spans="1:18" x14ac:dyDescent="0.25">
      <c r="A3305" t="s">
        <v>3534</v>
      </c>
      <c r="B3305" t="s">
        <v>55</v>
      </c>
      <c r="C3305" t="s">
        <v>3457</v>
      </c>
      <c r="D3305" t="s">
        <v>3458</v>
      </c>
      <c r="E3305" t="s">
        <v>78</v>
      </c>
      <c r="F3305" t="s">
        <v>252</v>
      </c>
      <c r="G3305">
        <v>8.7611000000000008</v>
      </c>
      <c r="H3305">
        <v>-76.530299999999997</v>
      </c>
      <c r="I3305" t="s">
        <v>3459</v>
      </c>
      <c r="J3305">
        <v>11</v>
      </c>
      <c r="M3305">
        <v>145</v>
      </c>
      <c r="N3305">
        <v>32</v>
      </c>
      <c r="O3305">
        <v>24</v>
      </c>
      <c r="P3305">
        <v>30</v>
      </c>
      <c r="Q3305">
        <v>28</v>
      </c>
      <c r="R3305">
        <v>36</v>
      </c>
    </row>
    <row r="3306" spans="1:18" x14ac:dyDescent="0.25">
      <c r="A3306" t="s">
        <v>3535</v>
      </c>
      <c r="B3306" t="s">
        <v>55</v>
      </c>
      <c r="C3306" t="s">
        <v>3457</v>
      </c>
      <c r="D3306" t="s">
        <v>3458</v>
      </c>
      <c r="E3306" t="s">
        <v>78</v>
      </c>
      <c r="F3306" t="s">
        <v>252</v>
      </c>
      <c r="G3306">
        <v>8.7611000000000008</v>
      </c>
      <c r="H3306">
        <v>-76.530299999999997</v>
      </c>
      <c r="I3306" t="s">
        <v>3459</v>
      </c>
      <c r="J3306">
        <v>11</v>
      </c>
      <c r="M3306">
        <v>144</v>
      </c>
      <c r="N3306">
        <v>41</v>
      </c>
      <c r="O3306">
        <v>20</v>
      </c>
      <c r="P3306">
        <v>22</v>
      </c>
      <c r="Q3306">
        <v>29</v>
      </c>
      <c r="R3306">
        <v>36</v>
      </c>
    </row>
    <row r="3307" spans="1:18" x14ac:dyDescent="0.25">
      <c r="A3307" t="s">
        <v>3536</v>
      </c>
      <c r="B3307" t="s">
        <v>55</v>
      </c>
      <c r="C3307" t="s">
        <v>3457</v>
      </c>
      <c r="D3307" t="s">
        <v>3458</v>
      </c>
      <c r="E3307" t="s">
        <v>78</v>
      </c>
      <c r="F3307" t="s">
        <v>252</v>
      </c>
      <c r="G3307">
        <v>8.7611000000000008</v>
      </c>
      <c r="H3307">
        <v>-76.530299999999997</v>
      </c>
      <c r="I3307" t="s">
        <v>3459</v>
      </c>
      <c r="J3307">
        <v>11</v>
      </c>
      <c r="M3307">
        <v>144</v>
      </c>
      <c r="N3307">
        <v>39</v>
      </c>
      <c r="O3307">
        <v>20</v>
      </c>
      <c r="P3307">
        <v>18</v>
      </c>
      <c r="Q3307">
        <v>34</v>
      </c>
      <c r="R3307">
        <v>40</v>
      </c>
    </row>
    <row r="3308" spans="1:18" x14ac:dyDescent="0.25">
      <c r="A3308" t="s">
        <v>3537</v>
      </c>
      <c r="B3308" t="s">
        <v>55</v>
      </c>
      <c r="C3308" t="s">
        <v>3457</v>
      </c>
      <c r="D3308" t="s">
        <v>3458</v>
      </c>
      <c r="E3308" t="s">
        <v>78</v>
      </c>
      <c r="F3308" t="s">
        <v>252</v>
      </c>
      <c r="G3308">
        <v>8.7611000000000008</v>
      </c>
      <c r="H3308">
        <v>-76.530299999999997</v>
      </c>
      <c r="I3308" t="s">
        <v>3459</v>
      </c>
      <c r="J3308">
        <v>11</v>
      </c>
      <c r="M3308">
        <v>143</v>
      </c>
      <c r="N3308">
        <v>29</v>
      </c>
      <c r="O3308">
        <v>24</v>
      </c>
      <c r="P3308">
        <v>34</v>
      </c>
      <c r="Q3308">
        <v>24</v>
      </c>
      <c r="R3308">
        <v>38</v>
      </c>
    </row>
    <row r="3309" spans="1:18" x14ac:dyDescent="0.25">
      <c r="A3309" t="s">
        <v>3538</v>
      </c>
      <c r="B3309" t="s">
        <v>55</v>
      </c>
      <c r="C3309" t="s">
        <v>3457</v>
      </c>
      <c r="D3309" t="s">
        <v>3458</v>
      </c>
      <c r="E3309" t="s">
        <v>78</v>
      </c>
      <c r="F3309" t="s">
        <v>252</v>
      </c>
      <c r="G3309">
        <v>8.7611000000000008</v>
      </c>
      <c r="H3309">
        <v>-76.530299999999997</v>
      </c>
      <c r="I3309" t="s">
        <v>3459</v>
      </c>
      <c r="J3309">
        <v>11</v>
      </c>
      <c r="M3309">
        <v>142</v>
      </c>
      <c r="N3309">
        <v>34</v>
      </c>
      <c r="O3309">
        <v>22</v>
      </c>
      <c r="P3309">
        <v>32</v>
      </c>
      <c r="Q3309">
        <v>28</v>
      </c>
      <c r="R3309">
        <v>22</v>
      </c>
    </row>
    <row r="3310" spans="1:18" x14ac:dyDescent="0.25">
      <c r="A3310" t="s">
        <v>3539</v>
      </c>
      <c r="B3310" t="s">
        <v>55</v>
      </c>
      <c r="C3310" t="s">
        <v>3457</v>
      </c>
      <c r="D3310" t="s">
        <v>3458</v>
      </c>
      <c r="E3310" t="s">
        <v>78</v>
      </c>
      <c r="F3310" t="s">
        <v>252</v>
      </c>
      <c r="G3310">
        <v>8.7611000000000008</v>
      </c>
      <c r="H3310">
        <v>-76.530299999999997</v>
      </c>
      <c r="I3310" t="s">
        <v>3459</v>
      </c>
      <c r="J3310">
        <v>11</v>
      </c>
      <c r="M3310">
        <v>141</v>
      </c>
      <c r="N3310">
        <v>34</v>
      </c>
      <c r="O3310">
        <v>22</v>
      </c>
      <c r="P3310">
        <v>30</v>
      </c>
      <c r="Q3310">
        <v>24</v>
      </c>
      <c r="R3310">
        <v>36</v>
      </c>
    </row>
    <row r="3311" spans="1:18" x14ac:dyDescent="0.25">
      <c r="A3311" t="s">
        <v>3540</v>
      </c>
      <c r="B3311" t="s">
        <v>55</v>
      </c>
      <c r="C3311" t="s">
        <v>3457</v>
      </c>
      <c r="D3311" t="s">
        <v>3458</v>
      </c>
      <c r="E3311" t="s">
        <v>78</v>
      </c>
      <c r="F3311" t="s">
        <v>252</v>
      </c>
      <c r="G3311">
        <v>8.7611000000000008</v>
      </c>
      <c r="H3311">
        <v>-76.530299999999997</v>
      </c>
      <c r="I3311" t="s">
        <v>3459</v>
      </c>
      <c r="J3311">
        <v>11</v>
      </c>
      <c r="M3311">
        <v>141</v>
      </c>
      <c r="N3311">
        <v>34</v>
      </c>
      <c r="O3311">
        <v>18</v>
      </c>
      <c r="P3311">
        <v>34</v>
      </c>
      <c r="Q3311">
        <v>24</v>
      </c>
      <c r="R3311">
        <v>35</v>
      </c>
    </row>
    <row r="3312" spans="1:18" x14ac:dyDescent="0.25">
      <c r="A3312" t="s">
        <v>3541</v>
      </c>
      <c r="B3312" t="s">
        <v>55</v>
      </c>
      <c r="C3312" t="s">
        <v>3457</v>
      </c>
      <c r="D3312" t="s">
        <v>3458</v>
      </c>
      <c r="E3312" t="s">
        <v>78</v>
      </c>
      <c r="F3312" t="s">
        <v>252</v>
      </c>
      <c r="G3312">
        <v>8.7611000000000008</v>
      </c>
      <c r="H3312">
        <v>-76.530299999999997</v>
      </c>
      <c r="I3312" t="s">
        <v>3459</v>
      </c>
      <c r="J3312">
        <v>11</v>
      </c>
      <c r="M3312">
        <v>140</v>
      </c>
      <c r="N3312">
        <v>32</v>
      </c>
      <c r="O3312">
        <v>20</v>
      </c>
      <c r="P3312">
        <v>42</v>
      </c>
      <c r="Q3312">
        <v>14</v>
      </c>
      <c r="R3312">
        <v>42</v>
      </c>
    </row>
    <row r="3313" spans="1:18" x14ac:dyDescent="0.25">
      <c r="A3313" t="s">
        <v>3542</v>
      </c>
      <c r="B3313" t="s">
        <v>55</v>
      </c>
      <c r="C3313" t="s">
        <v>3457</v>
      </c>
      <c r="D3313" t="s">
        <v>3458</v>
      </c>
      <c r="E3313" t="s">
        <v>78</v>
      </c>
      <c r="F3313" t="s">
        <v>252</v>
      </c>
      <c r="G3313">
        <v>8.7611000000000008</v>
      </c>
      <c r="H3313">
        <v>-76.530299999999997</v>
      </c>
      <c r="I3313" t="s">
        <v>3459</v>
      </c>
      <c r="J3313">
        <v>11</v>
      </c>
      <c r="M3313">
        <v>138</v>
      </c>
      <c r="N3313">
        <v>27</v>
      </c>
      <c r="O3313">
        <v>32</v>
      </c>
      <c r="P3313">
        <v>26</v>
      </c>
      <c r="Q3313">
        <v>22</v>
      </c>
      <c r="R3313">
        <v>36</v>
      </c>
    </row>
    <row r="3314" spans="1:18" x14ac:dyDescent="0.25">
      <c r="A3314" t="s">
        <v>3543</v>
      </c>
      <c r="B3314" t="s">
        <v>55</v>
      </c>
      <c r="C3314" t="s">
        <v>3457</v>
      </c>
      <c r="D3314" t="s">
        <v>3458</v>
      </c>
      <c r="E3314" t="s">
        <v>78</v>
      </c>
      <c r="F3314" t="s">
        <v>252</v>
      </c>
      <c r="G3314">
        <v>8.7611000000000008</v>
      </c>
      <c r="H3314">
        <v>-76.530299999999997</v>
      </c>
      <c r="I3314" t="s">
        <v>3459</v>
      </c>
      <c r="J3314">
        <v>11</v>
      </c>
      <c r="M3314">
        <v>130</v>
      </c>
      <c r="N3314">
        <v>32</v>
      </c>
      <c r="O3314">
        <v>22</v>
      </c>
      <c r="P3314">
        <v>30</v>
      </c>
      <c r="Q3314">
        <v>21</v>
      </c>
      <c r="R3314">
        <v>25</v>
      </c>
    </row>
    <row r="3315" spans="1:18" x14ac:dyDescent="0.25">
      <c r="A3315" t="s">
        <v>3544</v>
      </c>
      <c r="B3315" t="s">
        <v>55</v>
      </c>
      <c r="C3315" t="s">
        <v>3545</v>
      </c>
      <c r="D3315" t="s">
        <v>3546</v>
      </c>
      <c r="E3315" t="s">
        <v>78</v>
      </c>
      <c r="F3315" t="s">
        <v>252</v>
      </c>
      <c r="G3315">
        <v>6.5568999999999997</v>
      </c>
      <c r="H3315">
        <v>-75.828100000000006</v>
      </c>
      <c r="I3315" t="s">
        <v>3547</v>
      </c>
      <c r="J3315">
        <v>11</v>
      </c>
      <c r="M3315">
        <v>335</v>
      </c>
      <c r="N3315">
        <v>76</v>
      </c>
      <c r="O3315">
        <v>54</v>
      </c>
      <c r="P3315">
        <v>78</v>
      </c>
      <c r="Q3315">
        <v>53</v>
      </c>
      <c r="R3315">
        <v>87</v>
      </c>
    </row>
    <row r="3316" spans="1:18" x14ac:dyDescent="0.25">
      <c r="A3316" t="s">
        <v>3548</v>
      </c>
      <c r="B3316" t="s">
        <v>55</v>
      </c>
      <c r="C3316" t="s">
        <v>3545</v>
      </c>
      <c r="D3316" t="s">
        <v>3546</v>
      </c>
      <c r="E3316" t="s">
        <v>78</v>
      </c>
      <c r="F3316" t="s">
        <v>252</v>
      </c>
      <c r="G3316">
        <v>6.5568999999999997</v>
      </c>
      <c r="H3316">
        <v>-75.828100000000006</v>
      </c>
      <c r="I3316" t="s">
        <v>3547</v>
      </c>
      <c r="J3316">
        <v>11</v>
      </c>
      <c r="M3316">
        <v>272</v>
      </c>
      <c r="N3316">
        <v>80</v>
      </c>
      <c r="O3316">
        <v>34</v>
      </c>
      <c r="P3316">
        <v>70</v>
      </c>
      <c r="Q3316">
        <v>33</v>
      </c>
      <c r="R3316">
        <v>56</v>
      </c>
    </row>
    <row r="3317" spans="1:18" x14ac:dyDescent="0.25">
      <c r="A3317" t="s">
        <v>3549</v>
      </c>
      <c r="B3317" t="s">
        <v>55</v>
      </c>
      <c r="C3317" t="s">
        <v>3545</v>
      </c>
      <c r="D3317" t="s">
        <v>3546</v>
      </c>
      <c r="E3317" t="s">
        <v>78</v>
      </c>
      <c r="F3317" t="s">
        <v>252</v>
      </c>
      <c r="G3317">
        <v>6.5568999999999997</v>
      </c>
      <c r="H3317">
        <v>-75.828100000000006</v>
      </c>
      <c r="I3317" t="s">
        <v>3547</v>
      </c>
      <c r="J3317">
        <v>11</v>
      </c>
      <c r="M3317">
        <v>272</v>
      </c>
      <c r="N3317">
        <v>61</v>
      </c>
      <c r="O3317">
        <v>48</v>
      </c>
      <c r="P3317">
        <v>68</v>
      </c>
      <c r="Q3317">
        <v>43</v>
      </c>
      <c r="R3317">
        <v>47</v>
      </c>
    </row>
    <row r="3318" spans="1:18" x14ac:dyDescent="0.25">
      <c r="A3318" t="s">
        <v>3550</v>
      </c>
      <c r="B3318" t="s">
        <v>55</v>
      </c>
      <c r="C3318" t="s">
        <v>3545</v>
      </c>
      <c r="D3318" t="s">
        <v>3546</v>
      </c>
      <c r="E3318" t="s">
        <v>78</v>
      </c>
      <c r="F3318" t="s">
        <v>252</v>
      </c>
      <c r="G3318">
        <v>6.5568999999999997</v>
      </c>
      <c r="H3318">
        <v>-75.828100000000006</v>
      </c>
      <c r="I3318" t="s">
        <v>3547</v>
      </c>
      <c r="J3318">
        <v>11</v>
      </c>
      <c r="M3318">
        <v>255</v>
      </c>
      <c r="N3318">
        <v>56</v>
      </c>
      <c r="O3318">
        <v>42</v>
      </c>
      <c r="P3318">
        <v>58</v>
      </c>
      <c r="Q3318">
        <v>36</v>
      </c>
      <c r="R3318">
        <v>87</v>
      </c>
    </row>
    <row r="3319" spans="1:18" x14ac:dyDescent="0.25">
      <c r="A3319" t="s">
        <v>3551</v>
      </c>
      <c r="B3319" t="s">
        <v>55</v>
      </c>
      <c r="C3319" t="s">
        <v>3545</v>
      </c>
      <c r="D3319" t="s">
        <v>3546</v>
      </c>
      <c r="E3319" t="s">
        <v>78</v>
      </c>
      <c r="F3319" t="s">
        <v>252</v>
      </c>
      <c r="G3319">
        <v>6.5568999999999997</v>
      </c>
      <c r="H3319">
        <v>-75.828100000000006</v>
      </c>
      <c r="I3319" t="s">
        <v>3547</v>
      </c>
      <c r="J3319">
        <v>11</v>
      </c>
      <c r="M3319">
        <v>245</v>
      </c>
      <c r="N3319">
        <v>68</v>
      </c>
      <c r="O3319">
        <v>38</v>
      </c>
      <c r="P3319">
        <v>60</v>
      </c>
      <c r="Q3319">
        <v>26</v>
      </c>
      <c r="R3319">
        <v>60</v>
      </c>
    </row>
    <row r="3320" spans="1:18" x14ac:dyDescent="0.25">
      <c r="A3320" t="s">
        <v>3552</v>
      </c>
      <c r="B3320" t="s">
        <v>55</v>
      </c>
      <c r="C3320" t="s">
        <v>3545</v>
      </c>
      <c r="D3320" t="s">
        <v>3546</v>
      </c>
      <c r="E3320" t="s">
        <v>78</v>
      </c>
      <c r="F3320" t="s">
        <v>252</v>
      </c>
      <c r="G3320">
        <v>6.5568999999999997</v>
      </c>
      <c r="H3320">
        <v>-75.828100000000006</v>
      </c>
      <c r="I3320" t="s">
        <v>3547</v>
      </c>
      <c r="J3320">
        <v>11</v>
      </c>
      <c r="M3320">
        <v>242</v>
      </c>
      <c r="N3320">
        <v>61</v>
      </c>
      <c r="O3320">
        <v>36</v>
      </c>
      <c r="P3320">
        <v>56</v>
      </c>
      <c r="Q3320">
        <v>36</v>
      </c>
      <c r="R3320">
        <v>62</v>
      </c>
    </row>
    <row r="3321" spans="1:18" x14ac:dyDescent="0.25">
      <c r="A3321" t="s">
        <v>3553</v>
      </c>
      <c r="B3321" t="s">
        <v>55</v>
      </c>
      <c r="C3321" t="s">
        <v>3545</v>
      </c>
      <c r="D3321" t="s">
        <v>3546</v>
      </c>
      <c r="E3321" t="s">
        <v>78</v>
      </c>
      <c r="F3321" t="s">
        <v>252</v>
      </c>
      <c r="G3321">
        <v>6.5568999999999997</v>
      </c>
      <c r="H3321">
        <v>-75.828100000000006</v>
      </c>
      <c r="I3321" t="s">
        <v>3547</v>
      </c>
      <c r="J3321">
        <v>11</v>
      </c>
      <c r="M3321">
        <v>239</v>
      </c>
      <c r="N3321">
        <v>59</v>
      </c>
      <c r="O3321">
        <v>24</v>
      </c>
      <c r="P3321">
        <v>54</v>
      </c>
      <c r="Q3321">
        <v>43</v>
      </c>
      <c r="R3321">
        <v>84</v>
      </c>
    </row>
    <row r="3322" spans="1:18" x14ac:dyDescent="0.25">
      <c r="A3322" t="s">
        <v>3554</v>
      </c>
      <c r="B3322" t="s">
        <v>55</v>
      </c>
      <c r="C3322" t="s">
        <v>3545</v>
      </c>
      <c r="D3322" t="s">
        <v>3546</v>
      </c>
      <c r="E3322" t="s">
        <v>78</v>
      </c>
      <c r="F3322" t="s">
        <v>252</v>
      </c>
      <c r="G3322">
        <v>6.5568999999999997</v>
      </c>
      <c r="H3322">
        <v>-75.828100000000006</v>
      </c>
      <c r="I3322" t="s">
        <v>3547</v>
      </c>
      <c r="J3322">
        <v>11</v>
      </c>
      <c r="M3322">
        <v>238</v>
      </c>
      <c r="N3322">
        <v>73</v>
      </c>
      <c r="O3322">
        <v>28</v>
      </c>
      <c r="P3322">
        <v>62</v>
      </c>
      <c r="Q3322">
        <v>29</v>
      </c>
      <c r="R3322">
        <v>42</v>
      </c>
    </row>
    <row r="3323" spans="1:18" x14ac:dyDescent="0.25">
      <c r="A3323" t="s">
        <v>3555</v>
      </c>
      <c r="B3323" t="s">
        <v>55</v>
      </c>
      <c r="C3323" t="s">
        <v>3545</v>
      </c>
      <c r="D3323" t="s">
        <v>3546</v>
      </c>
      <c r="E3323" t="s">
        <v>78</v>
      </c>
      <c r="F3323" t="s">
        <v>252</v>
      </c>
      <c r="G3323">
        <v>6.5568999999999997</v>
      </c>
      <c r="H3323">
        <v>-75.828100000000006</v>
      </c>
      <c r="I3323" t="s">
        <v>3547</v>
      </c>
      <c r="J3323">
        <v>11</v>
      </c>
      <c r="M3323">
        <v>235</v>
      </c>
      <c r="N3323">
        <v>49</v>
      </c>
      <c r="O3323">
        <v>26</v>
      </c>
      <c r="P3323">
        <v>62</v>
      </c>
      <c r="Q3323">
        <v>40</v>
      </c>
      <c r="R3323">
        <v>82</v>
      </c>
    </row>
    <row r="3324" spans="1:18" x14ac:dyDescent="0.25">
      <c r="A3324" t="s">
        <v>3556</v>
      </c>
      <c r="B3324" t="s">
        <v>55</v>
      </c>
      <c r="C3324" t="s">
        <v>3545</v>
      </c>
      <c r="D3324" t="s">
        <v>3546</v>
      </c>
      <c r="E3324" t="s">
        <v>78</v>
      </c>
      <c r="F3324" t="s">
        <v>252</v>
      </c>
      <c r="G3324">
        <v>6.5568999999999997</v>
      </c>
      <c r="H3324">
        <v>-75.828100000000006</v>
      </c>
      <c r="I3324" t="s">
        <v>3547</v>
      </c>
      <c r="J3324">
        <v>11</v>
      </c>
      <c r="M3324">
        <v>233</v>
      </c>
      <c r="N3324">
        <v>54</v>
      </c>
      <c r="O3324">
        <v>28</v>
      </c>
      <c r="P3324">
        <v>66</v>
      </c>
      <c r="Q3324">
        <v>36</v>
      </c>
      <c r="R3324">
        <v>55</v>
      </c>
    </row>
    <row r="3325" spans="1:18" x14ac:dyDescent="0.25">
      <c r="A3325" t="s">
        <v>3557</v>
      </c>
      <c r="B3325" t="s">
        <v>55</v>
      </c>
      <c r="C3325" t="s">
        <v>3545</v>
      </c>
      <c r="D3325" t="s">
        <v>3546</v>
      </c>
      <c r="E3325" t="s">
        <v>78</v>
      </c>
      <c r="F3325" t="s">
        <v>252</v>
      </c>
      <c r="G3325">
        <v>6.5568999999999997</v>
      </c>
      <c r="H3325">
        <v>-75.828100000000006</v>
      </c>
      <c r="I3325" t="s">
        <v>3547</v>
      </c>
      <c r="J3325">
        <v>11</v>
      </c>
      <c r="M3325">
        <v>231</v>
      </c>
      <c r="N3325">
        <v>59</v>
      </c>
      <c r="O3325">
        <v>22</v>
      </c>
      <c r="P3325">
        <v>62</v>
      </c>
      <c r="Q3325">
        <v>38</v>
      </c>
      <c r="R3325">
        <v>58</v>
      </c>
    </row>
    <row r="3326" spans="1:18" x14ac:dyDescent="0.25">
      <c r="A3326" t="s">
        <v>3558</v>
      </c>
      <c r="B3326" t="s">
        <v>55</v>
      </c>
      <c r="C3326" t="s">
        <v>3545</v>
      </c>
      <c r="D3326" t="s">
        <v>3546</v>
      </c>
      <c r="E3326" t="s">
        <v>78</v>
      </c>
      <c r="F3326" t="s">
        <v>252</v>
      </c>
      <c r="G3326">
        <v>6.5568999999999997</v>
      </c>
      <c r="H3326">
        <v>-75.828100000000006</v>
      </c>
      <c r="I3326" t="s">
        <v>3547</v>
      </c>
      <c r="J3326">
        <v>11</v>
      </c>
      <c r="M3326">
        <v>230</v>
      </c>
      <c r="N3326">
        <v>56</v>
      </c>
      <c r="O3326">
        <v>40</v>
      </c>
      <c r="P3326">
        <v>42</v>
      </c>
      <c r="Q3326">
        <v>29</v>
      </c>
      <c r="R3326">
        <v>95</v>
      </c>
    </row>
    <row r="3327" spans="1:18" x14ac:dyDescent="0.25">
      <c r="A3327" t="s">
        <v>3559</v>
      </c>
      <c r="B3327" t="s">
        <v>55</v>
      </c>
      <c r="C3327" t="s">
        <v>3545</v>
      </c>
      <c r="D3327" t="s">
        <v>3546</v>
      </c>
      <c r="E3327" t="s">
        <v>78</v>
      </c>
      <c r="F3327" t="s">
        <v>252</v>
      </c>
      <c r="G3327">
        <v>6.5568999999999997</v>
      </c>
      <c r="H3327">
        <v>-75.828100000000006</v>
      </c>
      <c r="I3327" t="s">
        <v>3547</v>
      </c>
      <c r="J3327">
        <v>11</v>
      </c>
      <c r="M3327">
        <v>229</v>
      </c>
      <c r="N3327">
        <v>54</v>
      </c>
      <c r="O3327">
        <v>30</v>
      </c>
      <c r="P3327">
        <v>60</v>
      </c>
      <c r="Q3327">
        <v>40</v>
      </c>
      <c r="R3327">
        <v>45</v>
      </c>
    </row>
    <row r="3328" spans="1:18" x14ac:dyDescent="0.25">
      <c r="A3328" t="s">
        <v>3560</v>
      </c>
      <c r="B3328" t="s">
        <v>55</v>
      </c>
      <c r="C3328" t="s">
        <v>3545</v>
      </c>
      <c r="D3328" t="s">
        <v>3546</v>
      </c>
      <c r="E3328" t="s">
        <v>78</v>
      </c>
      <c r="F3328" t="s">
        <v>252</v>
      </c>
      <c r="G3328">
        <v>6.5568999999999997</v>
      </c>
      <c r="H3328">
        <v>-75.828100000000006</v>
      </c>
      <c r="I3328" t="s">
        <v>3547</v>
      </c>
      <c r="J3328">
        <v>11</v>
      </c>
      <c r="M3328">
        <v>222</v>
      </c>
      <c r="N3328">
        <v>44</v>
      </c>
      <c r="O3328">
        <v>46</v>
      </c>
      <c r="P3328">
        <v>56</v>
      </c>
      <c r="Q3328">
        <v>21</v>
      </c>
      <c r="R3328">
        <v>78</v>
      </c>
    </row>
    <row r="3329" spans="1:18" x14ac:dyDescent="0.25">
      <c r="A3329" t="s">
        <v>3561</v>
      </c>
      <c r="B3329" t="s">
        <v>55</v>
      </c>
      <c r="C3329" t="s">
        <v>3545</v>
      </c>
      <c r="D3329" t="s">
        <v>3546</v>
      </c>
      <c r="E3329" t="s">
        <v>78</v>
      </c>
      <c r="F3329" t="s">
        <v>252</v>
      </c>
      <c r="G3329">
        <v>6.5568999999999997</v>
      </c>
      <c r="H3329">
        <v>-75.828100000000006</v>
      </c>
      <c r="I3329" t="s">
        <v>3547</v>
      </c>
      <c r="J3329">
        <v>11</v>
      </c>
      <c r="M3329">
        <v>221</v>
      </c>
      <c r="N3329">
        <v>56</v>
      </c>
      <c r="O3329">
        <v>28</v>
      </c>
      <c r="P3329">
        <v>58</v>
      </c>
      <c r="Q3329">
        <v>33</v>
      </c>
      <c r="R3329">
        <v>51</v>
      </c>
    </row>
    <row r="3330" spans="1:18" x14ac:dyDescent="0.25">
      <c r="A3330" t="s">
        <v>3562</v>
      </c>
      <c r="B3330" t="s">
        <v>55</v>
      </c>
      <c r="C3330" t="s">
        <v>3545</v>
      </c>
      <c r="D3330" t="s">
        <v>3546</v>
      </c>
      <c r="E3330" t="s">
        <v>78</v>
      </c>
      <c r="F3330" t="s">
        <v>252</v>
      </c>
      <c r="G3330">
        <v>6.5568999999999997</v>
      </c>
      <c r="H3330">
        <v>-75.828100000000006</v>
      </c>
      <c r="I3330" t="s">
        <v>3547</v>
      </c>
      <c r="J3330">
        <v>11</v>
      </c>
      <c r="M3330">
        <v>221</v>
      </c>
      <c r="N3330">
        <v>54</v>
      </c>
      <c r="O3330">
        <v>26</v>
      </c>
      <c r="P3330">
        <v>52</v>
      </c>
      <c r="Q3330">
        <v>43</v>
      </c>
      <c r="R3330">
        <v>51</v>
      </c>
    </row>
    <row r="3331" spans="1:18" x14ac:dyDescent="0.25">
      <c r="A3331" t="s">
        <v>3563</v>
      </c>
      <c r="B3331" t="s">
        <v>55</v>
      </c>
      <c r="C3331" t="s">
        <v>3545</v>
      </c>
      <c r="D3331" t="s">
        <v>3546</v>
      </c>
      <c r="E3331" t="s">
        <v>78</v>
      </c>
      <c r="F3331" t="s">
        <v>252</v>
      </c>
      <c r="G3331">
        <v>6.5568999999999997</v>
      </c>
      <c r="H3331">
        <v>-75.828100000000006</v>
      </c>
      <c r="I3331" t="s">
        <v>3547</v>
      </c>
      <c r="J3331">
        <v>11</v>
      </c>
      <c r="M3331">
        <v>220</v>
      </c>
      <c r="N3331">
        <v>63</v>
      </c>
      <c r="O3331">
        <v>22</v>
      </c>
      <c r="P3331">
        <v>56</v>
      </c>
      <c r="Q3331">
        <v>29</v>
      </c>
      <c r="R3331">
        <v>60</v>
      </c>
    </row>
    <row r="3332" spans="1:18" x14ac:dyDescent="0.25">
      <c r="A3332" t="s">
        <v>3564</v>
      </c>
      <c r="B3332" t="s">
        <v>55</v>
      </c>
      <c r="C3332" t="s">
        <v>3545</v>
      </c>
      <c r="D3332" t="s">
        <v>3546</v>
      </c>
      <c r="E3332" t="s">
        <v>78</v>
      </c>
      <c r="F3332" t="s">
        <v>252</v>
      </c>
      <c r="G3332">
        <v>6.5568999999999997</v>
      </c>
      <c r="H3332">
        <v>-75.828100000000006</v>
      </c>
      <c r="I3332" t="s">
        <v>3547</v>
      </c>
      <c r="J3332">
        <v>11</v>
      </c>
      <c r="M3332">
        <v>220</v>
      </c>
      <c r="N3332">
        <v>44</v>
      </c>
      <c r="O3332">
        <v>26</v>
      </c>
      <c r="P3332">
        <v>64</v>
      </c>
      <c r="Q3332">
        <v>40</v>
      </c>
      <c r="R3332">
        <v>51</v>
      </c>
    </row>
    <row r="3333" spans="1:18" x14ac:dyDescent="0.25">
      <c r="A3333" t="s">
        <v>3565</v>
      </c>
      <c r="B3333" t="s">
        <v>55</v>
      </c>
      <c r="C3333" t="s">
        <v>3545</v>
      </c>
      <c r="D3333" t="s">
        <v>3546</v>
      </c>
      <c r="E3333" t="s">
        <v>78</v>
      </c>
      <c r="F3333" t="s">
        <v>252</v>
      </c>
      <c r="G3333">
        <v>6.5568999999999997</v>
      </c>
      <c r="H3333">
        <v>-75.828100000000006</v>
      </c>
      <c r="I3333" t="s">
        <v>3547</v>
      </c>
      <c r="J3333">
        <v>11</v>
      </c>
      <c r="M3333">
        <v>214</v>
      </c>
      <c r="N3333">
        <v>59</v>
      </c>
      <c r="O3333">
        <v>24</v>
      </c>
      <c r="P3333">
        <v>56</v>
      </c>
      <c r="Q3333">
        <v>34</v>
      </c>
      <c r="R3333">
        <v>38</v>
      </c>
    </row>
    <row r="3334" spans="1:18" x14ac:dyDescent="0.25">
      <c r="A3334" t="s">
        <v>3566</v>
      </c>
      <c r="B3334" t="s">
        <v>55</v>
      </c>
      <c r="C3334" t="s">
        <v>3545</v>
      </c>
      <c r="D3334" t="s">
        <v>3546</v>
      </c>
      <c r="E3334" t="s">
        <v>78</v>
      </c>
      <c r="F3334" t="s">
        <v>252</v>
      </c>
      <c r="G3334">
        <v>6.5568999999999997</v>
      </c>
      <c r="H3334">
        <v>-75.828100000000006</v>
      </c>
      <c r="I3334" t="s">
        <v>3547</v>
      </c>
      <c r="J3334">
        <v>11</v>
      </c>
      <c r="M3334">
        <v>212</v>
      </c>
      <c r="N3334">
        <v>49</v>
      </c>
      <c r="O3334">
        <v>26</v>
      </c>
      <c r="P3334">
        <v>60</v>
      </c>
      <c r="Q3334">
        <v>33</v>
      </c>
      <c r="R3334">
        <v>49</v>
      </c>
    </row>
    <row r="3335" spans="1:18" x14ac:dyDescent="0.25">
      <c r="A3335" t="s">
        <v>3567</v>
      </c>
      <c r="B3335" t="s">
        <v>55</v>
      </c>
      <c r="C3335" t="s">
        <v>3545</v>
      </c>
      <c r="D3335" t="s">
        <v>3546</v>
      </c>
      <c r="E3335" t="s">
        <v>78</v>
      </c>
      <c r="F3335" t="s">
        <v>252</v>
      </c>
      <c r="G3335">
        <v>6.5568999999999997</v>
      </c>
      <c r="H3335">
        <v>-75.828100000000006</v>
      </c>
      <c r="I3335" t="s">
        <v>3547</v>
      </c>
      <c r="J3335">
        <v>11</v>
      </c>
      <c r="M3335">
        <v>211</v>
      </c>
      <c r="N3335">
        <v>39</v>
      </c>
      <c r="O3335">
        <v>26</v>
      </c>
      <c r="P3335">
        <v>62</v>
      </c>
      <c r="Q3335">
        <v>38</v>
      </c>
      <c r="R3335">
        <v>53</v>
      </c>
    </row>
    <row r="3336" spans="1:18" x14ac:dyDescent="0.25">
      <c r="A3336" t="s">
        <v>3568</v>
      </c>
      <c r="B3336" t="s">
        <v>55</v>
      </c>
      <c r="C3336" t="s">
        <v>3545</v>
      </c>
      <c r="D3336" t="s">
        <v>3546</v>
      </c>
      <c r="E3336" t="s">
        <v>78</v>
      </c>
      <c r="F3336" t="s">
        <v>252</v>
      </c>
      <c r="G3336">
        <v>6.5568999999999997</v>
      </c>
      <c r="H3336">
        <v>-75.828100000000006</v>
      </c>
      <c r="I3336" t="s">
        <v>3547</v>
      </c>
      <c r="J3336">
        <v>11</v>
      </c>
      <c r="M3336">
        <v>204</v>
      </c>
      <c r="N3336">
        <v>49</v>
      </c>
      <c r="O3336">
        <v>32</v>
      </c>
      <c r="P3336">
        <v>54</v>
      </c>
      <c r="Q3336">
        <v>24</v>
      </c>
      <c r="R3336">
        <v>55</v>
      </c>
    </row>
    <row r="3337" spans="1:18" x14ac:dyDescent="0.25">
      <c r="A3337" t="s">
        <v>3569</v>
      </c>
      <c r="B3337" t="s">
        <v>55</v>
      </c>
      <c r="C3337" t="s">
        <v>3545</v>
      </c>
      <c r="D3337" t="s">
        <v>3546</v>
      </c>
      <c r="E3337" t="s">
        <v>78</v>
      </c>
      <c r="F3337" t="s">
        <v>252</v>
      </c>
      <c r="G3337">
        <v>6.5568999999999997</v>
      </c>
      <c r="H3337">
        <v>-75.828100000000006</v>
      </c>
      <c r="I3337" t="s">
        <v>3547</v>
      </c>
      <c r="J3337">
        <v>11</v>
      </c>
      <c r="M3337">
        <v>198</v>
      </c>
      <c r="N3337">
        <v>39</v>
      </c>
      <c r="O3337">
        <v>30</v>
      </c>
      <c r="P3337">
        <v>50</v>
      </c>
      <c r="Q3337">
        <v>34</v>
      </c>
      <c r="R3337">
        <v>55</v>
      </c>
    </row>
    <row r="3338" spans="1:18" x14ac:dyDescent="0.25">
      <c r="A3338" t="s">
        <v>3570</v>
      </c>
      <c r="B3338" t="s">
        <v>55</v>
      </c>
      <c r="C3338" t="s">
        <v>3545</v>
      </c>
      <c r="D3338" t="s">
        <v>3546</v>
      </c>
      <c r="E3338" t="s">
        <v>78</v>
      </c>
      <c r="F3338" t="s">
        <v>252</v>
      </c>
      <c r="G3338">
        <v>6.5568999999999997</v>
      </c>
      <c r="H3338">
        <v>-75.828100000000006</v>
      </c>
      <c r="I3338" t="s">
        <v>3547</v>
      </c>
      <c r="J3338">
        <v>11</v>
      </c>
      <c r="M3338">
        <v>198</v>
      </c>
      <c r="N3338">
        <v>46</v>
      </c>
      <c r="O3338">
        <v>28</v>
      </c>
      <c r="P3338">
        <v>54</v>
      </c>
      <c r="Q3338">
        <v>28</v>
      </c>
      <c r="R3338">
        <v>47</v>
      </c>
    </row>
    <row r="3339" spans="1:18" x14ac:dyDescent="0.25">
      <c r="A3339" t="s">
        <v>3571</v>
      </c>
      <c r="B3339" t="s">
        <v>55</v>
      </c>
      <c r="C3339" t="s">
        <v>3545</v>
      </c>
      <c r="D3339" t="s">
        <v>3546</v>
      </c>
      <c r="E3339" t="s">
        <v>78</v>
      </c>
      <c r="F3339" t="s">
        <v>252</v>
      </c>
      <c r="G3339">
        <v>6.5568999999999997</v>
      </c>
      <c r="H3339">
        <v>-75.828100000000006</v>
      </c>
      <c r="I3339" t="s">
        <v>3547</v>
      </c>
      <c r="J3339">
        <v>11</v>
      </c>
      <c r="M3339">
        <v>196</v>
      </c>
      <c r="N3339">
        <v>59</v>
      </c>
      <c r="O3339">
        <v>28</v>
      </c>
      <c r="P3339">
        <v>34</v>
      </c>
      <c r="Q3339">
        <v>29</v>
      </c>
      <c r="R3339">
        <v>60</v>
      </c>
    </row>
    <row r="3340" spans="1:18" x14ac:dyDescent="0.25">
      <c r="A3340" t="s">
        <v>3572</v>
      </c>
      <c r="B3340" t="s">
        <v>55</v>
      </c>
      <c r="C3340" t="s">
        <v>3545</v>
      </c>
      <c r="D3340" t="s">
        <v>3546</v>
      </c>
      <c r="E3340" t="s">
        <v>78</v>
      </c>
      <c r="F3340" t="s">
        <v>252</v>
      </c>
      <c r="G3340">
        <v>6.5568999999999997</v>
      </c>
      <c r="H3340">
        <v>-75.828100000000006</v>
      </c>
      <c r="I3340" t="s">
        <v>3547</v>
      </c>
      <c r="J3340">
        <v>11</v>
      </c>
      <c r="M3340">
        <v>194</v>
      </c>
      <c r="N3340">
        <v>54</v>
      </c>
      <c r="O3340">
        <v>24</v>
      </c>
      <c r="P3340">
        <v>50</v>
      </c>
      <c r="Q3340">
        <v>24</v>
      </c>
      <c r="R3340">
        <v>49</v>
      </c>
    </row>
    <row r="3341" spans="1:18" x14ac:dyDescent="0.25">
      <c r="A3341" t="s">
        <v>3573</v>
      </c>
      <c r="B3341" t="s">
        <v>55</v>
      </c>
      <c r="C3341" t="s">
        <v>3545</v>
      </c>
      <c r="D3341" t="s">
        <v>3546</v>
      </c>
      <c r="E3341" t="s">
        <v>78</v>
      </c>
      <c r="F3341" t="s">
        <v>252</v>
      </c>
      <c r="G3341">
        <v>6.5568999999999997</v>
      </c>
      <c r="H3341">
        <v>-75.828100000000006</v>
      </c>
      <c r="I3341" t="s">
        <v>3547</v>
      </c>
      <c r="J3341">
        <v>11</v>
      </c>
      <c r="M3341">
        <v>188</v>
      </c>
      <c r="N3341">
        <v>44</v>
      </c>
      <c r="O3341">
        <v>20</v>
      </c>
      <c r="P3341">
        <v>54</v>
      </c>
      <c r="Q3341">
        <v>31</v>
      </c>
      <c r="R3341">
        <v>42</v>
      </c>
    </row>
    <row r="3342" spans="1:18" x14ac:dyDescent="0.25">
      <c r="A3342" t="s">
        <v>3574</v>
      </c>
      <c r="B3342" t="s">
        <v>55</v>
      </c>
      <c r="C3342" t="s">
        <v>3545</v>
      </c>
      <c r="D3342" t="s">
        <v>3546</v>
      </c>
      <c r="E3342" t="s">
        <v>78</v>
      </c>
      <c r="F3342" t="s">
        <v>252</v>
      </c>
      <c r="G3342">
        <v>6.5568999999999997</v>
      </c>
      <c r="H3342">
        <v>-75.828100000000006</v>
      </c>
      <c r="I3342" t="s">
        <v>3547</v>
      </c>
      <c r="J3342">
        <v>11</v>
      </c>
      <c r="M3342">
        <v>188</v>
      </c>
      <c r="N3342">
        <v>44</v>
      </c>
      <c r="O3342">
        <v>36</v>
      </c>
      <c r="P3342">
        <v>40</v>
      </c>
      <c r="Q3342">
        <v>29</v>
      </c>
      <c r="R3342">
        <v>40</v>
      </c>
    </row>
    <row r="3343" spans="1:18" x14ac:dyDescent="0.25">
      <c r="A3343" t="s">
        <v>3575</v>
      </c>
      <c r="B3343" t="s">
        <v>55</v>
      </c>
      <c r="C3343" t="s">
        <v>3545</v>
      </c>
      <c r="D3343" t="s">
        <v>3546</v>
      </c>
      <c r="E3343" t="s">
        <v>78</v>
      </c>
      <c r="F3343" t="s">
        <v>252</v>
      </c>
      <c r="G3343">
        <v>6.5568999999999997</v>
      </c>
      <c r="H3343">
        <v>-75.828100000000006</v>
      </c>
      <c r="I3343" t="s">
        <v>3547</v>
      </c>
      <c r="J3343">
        <v>11</v>
      </c>
      <c r="M3343">
        <v>187</v>
      </c>
      <c r="N3343">
        <v>51</v>
      </c>
      <c r="O3343">
        <v>22</v>
      </c>
      <c r="P3343">
        <v>50</v>
      </c>
      <c r="Q3343">
        <v>28</v>
      </c>
      <c r="R3343">
        <v>35</v>
      </c>
    </row>
    <row r="3344" spans="1:18" x14ac:dyDescent="0.25">
      <c r="A3344" t="s">
        <v>3576</v>
      </c>
      <c r="B3344" t="s">
        <v>55</v>
      </c>
      <c r="C3344" t="s">
        <v>3545</v>
      </c>
      <c r="D3344" t="s">
        <v>3546</v>
      </c>
      <c r="E3344" t="s">
        <v>78</v>
      </c>
      <c r="F3344" t="s">
        <v>252</v>
      </c>
      <c r="G3344">
        <v>6.5568999999999997</v>
      </c>
      <c r="H3344">
        <v>-75.828100000000006</v>
      </c>
      <c r="I3344" t="s">
        <v>3547</v>
      </c>
      <c r="J3344">
        <v>11</v>
      </c>
      <c r="M3344">
        <v>184</v>
      </c>
      <c r="N3344">
        <v>44</v>
      </c>
      <c r="O3344">
        <v>28</v>
      </c>
      <c r="P3344">
        <v>36</v>
      </c>
      <c r="Q3344">
        <v>38</v>
      </c>
      <c r="R3344">
        <v>42</v>
      </c>
    </row>
    <row r="3345" spans="1:18" x14ac:dyDescent="0.25">
      <c r="A3345" t="s">
        <v>3577</v>
      </c>
      <c r="B3345" t="s">
        <v>55</v>
      </c>
      <c r="C3345" t="s">
        <v>3545</v>
      </c>
      <c r="D3345" t="s">
        <v>3546</v>
      </c>
      <c r="E3345" t="s">
        <v>78</v>
      </c>
      <c r="F3345" t="s">
        <v>252</v>
      </c>
      <c r="G3345">
        <v>6.5568999999999997</v>
      </c>
      <c r="H3345">
        <v>-75.828100000000006</v>
      </c>
      <c r="I3345" t="s">
        <v>3547</v>
      </c>
      <c r="J3345">
        <v>11</v>
      </c>
      <c r="M3345">
        <v>184</v>
      </c>
      <c r="N3345">
        <v>37</v>
      </c>
      <c r="O3345">
        <v>34</v>
      </c>
      <c r="P3345">
        <v>48</v>
      </c>
      <c r="Q3345">
        <v>24</v>
      </c>
      <c r="R3345">
        <v>49</v>
      </c>
    </row>
    <row r="3346" spans="1:18" x14ac:dyDescent="0.25">
      <c r="A3346" t="s">
        <v>3578</v>
      </c>
      <c r="B3346" t="s">
        <v>55</v>
      </c>
      <c r="C3346" t="s">
        <v>3545</v>
      </c>
      <c r="D3346" t="s">
        <v>3546</v>
      </c>
      <c r="E3346" t="s">
        <v>78</v>
      </c>
      <c r="F3346" t="s">
        <v>252</v>
      </c>
      <c r="G3346">
        <v>6.5568999999999997</v>
      </c>
      <c r="H3346">
        <v>-75.828100000000006</v>
      </c>
      <c r="I3346" t="s">
        <v>3547</v>
      </c>
      <c r="J3346">
        <v>11</v>
      </c>
      <c r="M3346">
        <v>177</v>
      </c>
      <c r="N3346">
        <v>41</v>
      </c>
      <c r="O3346">
        <v>30</v>
      </c>
      <c r="P3346">
        <v>40</v>
      </c>
      <c r="Q3346">
        <v>22</v>
      </c>
      <c r="R3346">
        <v>58</v>
      </c>
    </row>
    <row r="3347" spans="1:18" x14ac:dyDescent="0.25">
      <c r="A3347" t="s">
        <v>3579</v>
      </c>
      <c r="B3347" t="s">
        <v>55</v>
      </c>
      <c r="C3347" t="s">
        <v>3545</v>
      </c>
      <c r="D3347" t="s">
        <v>3546</v>
      </c>
      <c r="E3347" t="s">
        <v>78</v>
      </c>
      <c r="F3347" t="s">
        <v>252</v>
      </c>
      <c r="G3347">
        <v>6.5568999999999997</v>
      </c>
      <c r="H3347">
        <v>-75.828100000000006</v>
      </c>
      <c r="I3347" t="s">
        <v>3547</v>
      </c>
      <c r="J3347">
        <v>11</v>
      </c>
      <c r="M3347">
        <v>177</v>
      </c>
      <c r="N3347">
        <v>39</v>
      </c>
      <c r="O3347">
        <v>34</v>
      </c>
      <c r="P3347">
        <v>42</v>
      </c>
      <c r="Q3347">
        <v>24</v>
      </c>
      <c r="R3347">
        <v>42</v>
      </c>
    </row>
    <row r="3348" spans="1:18" x14ac:dyDescent="0.25">
      <c r="A3348" t="s">
        <v>3580</v>
      </c>
      <c r="B3348" t="s">
        <v>55</v>
      </c>
      <c r="C3348" t="s">
        <v>3545</v>
      </c>
      <c r="D3348" t="s">
        <v>3546</v>
      </c>
      <c r="E3348" t="s">
        <v>78</v>
      </c>
      <c r="F3348" t="s">
        <v>252</v>
      </c>
      <c r="G3348">
        <v>6.5568999999999997</v>
      </c>
      <c r="H3348">
        <v>-75.828100000000006</v>
      </c>
      <c r="I3348" t="s">
        <v>3547</v>
      </c>
      <c r="J3348">
        <v>11</v>
      </c>
      <c r="M3348">
        <v>176</v>
      </c>
      <c r="N3348">
        <v>29</v>
      </c>
      <c r="O3348">
        <v>38</v>
      </c>
      <c r="P3348">
        <v>44</v>
      </c>
      <c r="Q3348">
        <v>28</v>
      </c>
      <c r="R3348">
        <v>40</v>
      </c>
    </row>
    <row r="3349" spans="1:18" x14ac:dyDescent="0.25">
      <c r="A3349" t="s">
        <v>3581</v>
      </c>
      <c r="B3349" t="s">
        <v>55</v>
      </c>
      <c r="C3349" t="s">
        <v>3545</v>
      </c>
      <c r="D3349" t="s">
        <v>3546</v>
      </c>
      <c r="E3349" t="s">
        <v>78</v>
      </c>
      <c r="F3349" t="s">
        <v>252</v>
      </c>
      <c r="G3349">
        <v>6.5568999999999997</v>
      </c>
      <c r="H3349">
        <v>-75.828100000000006</v>
      </c>
      <c r="I3349" t="s">
        <v>3547</v>
      </c>
      <c r="J3349">
        <v>11</v>
      </c>
      <c r="M3349">
        <v>172</v>
      </c>
      <c r="N3349">
        <v>32</v>
      </c>
      <c r="O3349">
        <v>34</v>
      </c>
      <c r="P3349">
        <v>40</v>
      </c>
      <c r="Q3349">
        <v>28</v>
      </c>
      <c r="R3349">
        <v>47</v>
      </c>
    </row>
    <row r="3350" spans="1:18" x14ac:dyDescent="0.25">
      <c r="A3350" t="s">
        <v>3582</v>
      </c>
      <c r="B3350" t="s">
        <v>55</v>
      </c>
      <c r="C3350" t="s">
        <v>3545</v>
      </c>
      <c r="D3350" t="s">
        <v>3546</v>
      </c>
      <c r="E3350" t="s">
        <v>78</v>
      </c>
      <c r="F3350" t="s">
        <v>252</v>
      </c>
      <c r="G3350">
        <v>6.5568999999999997</v>
      </c>
      <c r="H3350">
        <v>-75.828100000000006</v>
      </c>
      <c r="I3350" t="s">
        <v>3547</v>
      </c>
      <c r="J3350">
        <v>11</v>
      </c>
      <c r="M3350">
        <v>171</v>
      </c>
      <c r="N3350">
        <v>24</v>
      </c>
      <c r="O3350">
        <v>26</v>
      </c>
      <c r="P3350">
        <v>60</v>
      </c>
      <c r="Q3350">
        <v>26</v>
      </c>
      <c r="R3350">
        <v>35</v>
      </c>
    </row>
    <row r="3351" spans="1:18" x14ac:dyDescent="0.25">
      <c r="A3351" t="s">
        <v>3583</v>
      </c>
      <c r="B3351" t="s">
        <v>55</v>
      </c>
      <c r="C3351" t="s">
        <v>3545</v>
      </c>
      <c r="D3351" t="s">
        <v>3546</v>
      </c>
      <c r="E3351" t="s">
        <v>78</v>
      </c>
      <c r="F3351" t="s">
        <v>252</v>
      </c>
      <c r="G3351">
        <v>6.5568999999999997</v>
      </c>
      <c r="H3351">
        <v>-75.828100000000006</v>
      </c>
      <c r="I3351" t="s">
        <v>3547</v>
      </c>
      <c r="J3351">
        <v>11</v>
      </c>
      <c r="M3351">
        <v>170</v>
      </c>
      <c r="N3351">
        <v>37</v>
      </c>
      <c r="O3351">
        <v>18</v>
      </c>
      <c r="P3351">
        <v>50</v>
      </c>
      <c r="Q3351">
        <v>28</v>
      </c>
      <c r="R3351">
        <v>45</v>
      </c>
    </row>
    <row r="3352" spans="1:18" x14ac:dyDescent="0.25">
      <c r="A3352" t="s">
        <v>3584</v>
      </c>
      <c r="B3352" t="s">
        <v>55</v>
      </c>
      <c r="C3352" t="s">
        <v>3545</v>
      </c>
      <c r="D3352" t="s">
        <v>3546</v>
      </c>
      <c r="E3352" t="s">
        <v>78</v>
      </c>
      <c r="F3352" t="s">
        <v>252</v>
      </c>
      <c r="G3352">
        <v>6.5568999999999997</v>
      </c>
      <c r="H3352">
        <v>-75.828100000000006</v>
      </c>
      <c r="I3352" t="s">
        <v>3547</v>
      </c>
      <c r="J3352">
        <v>11</v>
      </c>
      <c r="M3352">
        <v>169</v>
      </c>
      <c r="N3352">
        <v>34</v>
      </c>
      <c r="O3352">
        <v>20</v>
      </c>
      <c r="P3352">
        <v>44</v>
      </c>
      <c r="Q3352">
        <v>31</v>
      </c>
      <c r="R3352">
        <v>51</v>
      </c>
    </row>
    <row r="3353" spans="1:18" x14ac:dyDescent="0.25">
      <c r="A3353" t="s">
        <v>3585</v>
      </c>
      <c r="B3353" t="s">
        <v>55</v>
      </c>
      <c r="C3353" t="s">
        <v>3545</v>
      </c>
      <c r="D3353" t="s">
        <v>3546</v>
      </c>
      <c r="E3353" t="s">
        <v>78</v>
      </c>
      <c r="F3353" t="s">
        <v>252</v>
      </c>
      <c r="G3353">
        <v>6.5568999999999997</v>
      </c>
      <c r="H3353">
        <v>-75.828100000000006</v>
      </c>
      <c r="I3353" t="s">
        <v>3547</v>
      </c>
      <c r="J3353">
        <v>11</v>
      </c>
      <c r="M3353">
        <v>151</v>
      </c>
      <c r="N3353">
        <v>24</v>
      </c>
      <c r="O3353">
        <v>30</v>
      </c>
      <c r="P3353">
        <v>32</v>
      </c>
      <c r="Q3353">
        <v>34</v>
      </c>
      <c r="R3353">
        <v>29</v>
      </c>
    </row>
    <row r="3354" spans="1:18" x14ac:dyDescent="0.25">
      <c r="A3354" t="s">
        <v>3586</v>
      </c>
      <c r="B3354" t="s">
        <v>55</v>
      </c>
      <c r="C3354" t="s">
        <v>3587</v>
      </c>
      <c r="D3354" t="s">
        <v>1867</v>
      </c>
      <c r="E3354" t="s">
        <v>78</v>
      </c>
      <c r="F3354" t="s">
        <v>252</v>
      </c>
      <c r="G3354">
        <v>8.2750000000000004</v>
      </c>
      <c r="H3354">
        <v>-76.369</v>
      </c>
      <c r="I3354" t="s">
        <v>3588</v>
      </c>
      <c r="J3354">
        <v>11</v>
      </c>
      <c r="M3354">
        <v>220</v>
      </c>
      <c r="N3354">
        <v>51</v>
      </c>
      <c r="O3354">
        <v>34</v>
      </c>
      <c r="P3354">
        <v>60</v>
      </c>
      <c r="Q3354">
        <v>31</v>
      </c>
      <c r="R3354">
        <v>44</v>
      </c>
    </row>
    <row r="3355" spans="1:18" x14ac:dyDescent="0.25">
      <c r="A3355" t="s">
        <v>3589</v>
      </c>
      <c r="B3355" t="s">
        <v>55</v>
      </c>
      <c r="C3355" t="s">
        <v>3587</v>
      </c>
      <c r="D3355" t="s">
        <v>1867</v>
      </c>
      <c r="E3355" t="s">
        <v>78</v>
      </c>
      <c r="F3355" t="s">
        <v>252</v>
      </c>
      <c r="G3355">
        <v>8.2750000000000004</v>
      </c>
      <c r="H3355">
        <v>-76.369</v>
      </c>
      <c r="I3355" t="s">
        <v>3588</v>
      </c>
      <c r="J3355">
        <v>11</v>
      </c>
      <c r="M3355">
        <v>214</v>
      </c>
      <c r="N3355">
        <v>61</v>
      </c>
      <c r="O3355">
        <v>22</v>
      </c>
      <c r="P3355">
        <v>52</v>
      </c>
      <c r="Q3355">
        <v>34</v>
      </c>
      <c r="R3355">
        <v>49</v>
      </c>
    </row>
    <row r="3356" spans="1:18" x14ac:dyDescent="0.25">
      <c r="A3356" t="s">
        <v>3590</v>
      </c>
      <c r="B3356" t="s">
        <v>55</v>
      </c>
      <c r="C3356" t="s">
        <v>3587</v>
      </c>
      <c r="D3356" t="s">
        <v>1867</v>
      </c>
      <c r="E3356" t="s">
        <v>78</v>
      </c>
      <c r="F3356" t="s">
        <v>252</v>
      </c>
      <c r="G3356">
        <v>8.2750000000000004</v>
      </c>
      <c r="H3356">
        <v>-76.369</v>
      </c>
      <c r="I3356" t="s">
        <v>3588</v>
      </c>
      <c r="J3356">
        <v>11</v>
      </c>
      <c r="M3356">
        <v>209</v>
      </c>
      <c r="N3356">
        <v>54</v>
      </c>
      <c r="O3356">
        <v>18</v>
      </c>
      <c r="P3356">
        <v>56</v>
      </c>
      <c r="Q3356">
        <v>38</v>
      </c>
      <c r="R3356">
        <v>45</v>
      </c>
    </row>
    <row r="3357" spans="1:18" x14ac:dyDescent="0.25">
      <c r="A3357" t="s">
        <v>3591</v>
      </c>
      <c r="B3357" t="s">
        <v>55</v>
      </c>
      <c r="C3357" t="s">
        <v>3587</v>
      </c>
      <c r="D3357" t="s">
        <v>1867</v>
      </c>
      <c r="E3357" t="s">
        <v>78</v>
      </c>
      <c r="F3357" t="s">
        <v>252</v>
      </c>
      <c r="G3357">
        <v>8.2750000000000004</v>
      </c>
      <c r="H3357">
        <v>-76.369</v>
      </c>
      <c r="I3357" t="s">
        <v>3588</v>
      </c>
      <c r="J3357">
        <v>11</v>
      </c>
      <c r="M3357">
        <v>196</v>
      </c>
      <c r="N3357">
        <v>49</v>
      </c>
      <c r="O3357">
        <v>16</v>
      </c>
      <c r="P3357">
        <v>56</v>
      </c>
      <c r="Q3357">
        <v>29</v>
      </c>
      <c r="R3357">
        <v>60</v>
      </c>
    </row>
    <row r="3358" spans="1:18" x14ac:dyDescent="0.25">
      <c r="A3358" t="s">
        <v>3592</v>
      </c>
      <c r="B3358" t="s">
        <v>55</v>
      </c>
      <c r="C3358" t="s">
        <v>3587</v>
      </c>
      <c r="D3358" t="s">
        <v>1867</v>
      </c>
      <c r="E3358" t="s">
        <v>78</v>
      </c>
      <c r="F3358" t="s">
        <v>252</v>
      </c>
      <c r="G3358">
        <v>8.2750000000000004</v>
      </c>
      <c r="H3358">
        <v>-76.369</v>
      </c>
      <c r="I3358" t="s">
        <v>3588</v>
      </c>
      <c r="J3358">
        <v>11</v>
      </c>
      <c r="M3358">
        <v>193</v>
      </c>
      <c r="N3358">
        <v>39</v>
      </c>
      <c r="O3358">
        <v>28</v>
      </c>
      <c r="P3358">
        <v>52</v>
      </c>
      <c r="Q3358">
        <v>34</v>
      </c>
      <c r="R3358">
        <v>42</v>
      </c>
    </row>
    <row r="3359" spans="1:18" x14ac:dyDescent="0.25">
      <c r="A3359" t="s">
        <v>3593</v>
      </c>
      <c r="B3359" t="s">
        <v>55</v>
      </c>
      <c r="C3359" t="s">
        <v>3587</v>
      </c>
      <c r="D3359" t="s">
        <v>1867</v>
      </c>
      <c r="E3359" t="s">
        <v>78</v>
      </c>
      <c r="F3359" t="s">
        <v>252</v>
      </c>
      <c r="G3359">
        <v>8.2750000000000004</v>
      </c>
      <c r="H3359">
        <v>-76.369</v>
      </c>
      <c r="I3359" t="s">
        <v>3588</v>
      </c>
      <c r="J3359">
        <v>11</v>
      </c>
      <c r="M3359">
        <v>193</v>
      </c>
      <c r="N3359">
        <v>49</v>
      </c>
      <c r="O3359">
        <v>16</v>
      </c>
      <c r="P3359">
        <v>58</v>
      </c>
      <c r="Q3359">
        <v>28</v>
      </c>
      <c r="R3359">
        <v>51</v>
      </c>
    </row>
    <row r="3360" spans="1:18" x14ac:dyDescent="0.25">
      <c r="A3360" t="s">
        <v>3594</v>
      </c>
      <c r="B3360" t="s">
        <v>55</v>
      </c>
      <c r="C3360" t="s">
        <v>3587</v>
      </c>
      <c r="D3360" t="s">
        <v>1867</v>
      </c>
      <c r="E3360" t="s">
        <v>78</v>
      </c>
      <c r="F3360" t="s">
        <v>252</v>
      </c>
      <c r="G3360">
        <v>8.2750000000000004</v>
      </c>
      <c r="H3360">
        <v>-76.369</v>
      </c>
      <c r="I3360" t="s">
        <v>3588</v>
      </c>
      <c r="J3360">
        <v>11</v>
      </c>
      <c r="M3360">
        <v>187</v>
      </c>
      <c r="N3360">
        <v>54</v>
      </c>
      <c r="O3360">
        <v>26</v>
      </c>
      <c r="P3360">
        <v>52</v>
      </c>
      <c r="Q3360">
        <v>16</v>
      </c>
      <c r="R3360">
        <v>45</v>
      </c>
    </row>
    <row r="3361" spans="1:18" x14ac:dyDescent="0.25">
      <c r="A3361" t="s">
        <v>3595</v>
      </c>
      <c r="B3361" t="s">
        <v>55</v>
      </c>
      <c r="C3361" t="s">
        <v>3587</v>
      </c>
      <c r="D3361" t="s">
        <v>1867</v>
      </c>
      <c r="E3361" t="s">
        <v>78</v>
      </c>
      <c r="F3361" t="s">
        <v>252</v>
      </c>
      <c r="G3361">
        <v>8.2750000000000004</v>
      </c>
      <c r="H3361">
        <v>-76.369</v>
      </c>
      <c r="I3361" t="s">
        <v>3588</v>
      </c>
      <c r="J3361">
        <v>11</v>
      </c>
      <c r="M3361">
        <v>185</v>
      </c>
      <c r="N3361">
        <v>41</v>
      </c>
      <c r="O3361">
        <v>28</v>
      </c>
      <c r="P3361">
        <v>44</v>
      </c>
      <c r="Q3361">
        <v>36</v>
      </c>
      <c r="R3361">
        <v>33</v>
      </c>
    </row>
    <row r="3362" spans="1:18" x14ac:dyDescent="0.25">
      <c r="A3362" t="s">
        <v>3596</v>
      </c>
      <c r="B3362" t="s">
        <v>55</v>
      </c>
      <c r="C3362" t="s">
        <v>3587</v>
      </c>
      <c r="D3362" t="s">
        <v>1867</v>
      </c>
      <c r="E3362" t="s">
        <v>78</v>
      </c>
      <c r="F3362" t="s">
        <v>252</v>
      </c>
      <c r="G3362">
        <v>8.2750000000000004</v>
      </c>
      <c r="H3362">
        <v>-76.369</v>
      </c>
      <c r="I3362" t="s">
        <v>3588</v>
      </c>
      <c r="J3362">
        <v>11</v>
      </c>
      <c r="M3362">
        <v>182</v>
      </c>
      <c r="N3362">
        <v>46</v>
      </c>
      <c r="O3362">
        <v>32</v>
      </c>
      <c r="P3362">
        <v>44</v>
      </c>
      <c r="Q3362">
        <v>24</v>
      </c>
      <c r="R3362">
        <v>35</v>
      </c>
    </row>
    <row r="3363" spans="1:18" x14ac:dyDescent="0.25">
      <c r="A3363" t="s">
        <v>3597</v>
      </c>
      <c r="B3363" t="s">
        <v>55</v>
      </c>
      <c r="C3363" t="s">
        <v>3587</v>
      </c>
      <c r="D3363" t="s">
        <v>1867</v>
      </c>
      <c r="E3363" t="s">
        <v>78</v>
      </c>
      <c r="F3363" t="s">
        <v>252</v>
      </c>
      <c r="G3363">
        <v>8.2750000000000004</v>
      </c>
      <c r="H3363">
        <v>-76.369</v>
      </c>
      <c r="I3363" t="s">
        <v>3588</v>
      </c>
      <c r="J3363">
        <v>11</v>
      </c>
      <c r="M3363">
        <v>180</v>
      </c>
      <c r="N3363">
        <v>39</v>
      </c>
      <c r="O3363">
        <v>30</v>
      </c>
      <c r="P3363">
        <v>44</v>
      </c>
      <c r="Q3363">
        <v>26</v>
      </c>
      <c r="R3363">
        <v>51</v>
      </c>
    </row>
    <row r="3364" spans="1:18" x14ac:dyDescent="0.25">
      <c r="A3364" t="s">
        <v>3598</v>
      </c>
      <c r="B3364" t="s">
        <v>55</v>
      </c>
      <c r="C3364" t="s">
        <v>3587</v>
      </c>
      <c r="D3364" t="s">
        <v>1867</v>
      </c>
      <c r="E3364" t="s">
        <v>78</v>
      </c>
      <c r="F3364" t="s">
        <v>252</v>
      </c>
      <c r="G3364">
        <v>8.2750000000000004</v>
      </c>
      <c r="H3364">
        <v>-76.369</v>
      </c>
      <c r="I3364" t="s">
        <v>3588</v>
      </c>
      <c r="J3364">
        <v>11</v>
      </c>
      <c r="M3364">
        <v>175</v>
      </c>
      <c r="N3364">
        <v>41</v>
      </c>
      <c r="O3364">
        <v>24</v>
      </c>
      <c r="P3364">
        <v>44</v>
      </c>
      <c r="Q3364">
        <v>26</v>
      </c>
      <c r="R3364">
        <v>49</v>
      </c>
    </row>
    <row r="3365" spans="1:18" x14ac:dyDescent="0.25">
      <c r="A3365" t="s">
        <v>3599</v>
      </c>
      <c r="B3365" t="s">
        <v>55</v>
      </c>
      <c r="C3365" t="s">
        <v>3587</v>
      </c>
      <c r="D3365" t="s">
        <v>1867</v>
      </c>
      <c r="E3365" t="s">
        <v>78</v>
      </c>
      <c r="F3365" t="s">
        <v>252</v>
      </c>
      <c r="G3365">
        <v>8.2750000000000004</v>
      </c>
      <c r="H3365">
        <v>-76.369</v>
      </c>
      <c r="I3365" t="s">
        <v>3588</v>
      </c>
      <c r="J3365">
        <v>11</v>
      </c>
      <c r="M3365">
        <v>166</v>
      </c>
      <c r="N3365">
        <v>44</v>
      </c>
      <c r="O3365">
        <v>28</v>
      </c>
      <c r="P3365">
        <v>38</v>
      </c>
      <c r="Q3365">
        <v>22</v>
      </c>
      <c r="R3365">
        <v>35</v>
      </c>
    </row>
    <row r="3366" spans="1:18" x14ac:dyDescent="0.25">
      <c r="A3366" t="s">
        <v>3600</v>
      </c>
      <c r="B3366" t="s">
        <v>55</v>
      </c>
      <c r="C3366" t="s">
        <v>3587</v>
      </c>
      <c r="D3366" t="s">
        <v>1867</v>
      </c>
      <c r="E3366" t="s">
        <v>78</v>
      </c>
      <c r="F3366" t="s">
        <v>252</v>
      </c>
      <c r="G3366">
        <v>8.2750000000000004</v>
      </c>
      <c r="H3366">
        <v>-76.369</v>
      </c>
      <c r="I3366" t="s">
        <v>3588</v>
      </c>
      <c r="J3366">
        <v>11</v>
      </c>
      <c r="M3366">
        <v>165</v>
      </c>
      <c r="N3366">
        <v>51</v>
      </c>
      <c r="O3366">
        <v>18</v>
      </c>
      <c r="P3366">
        <v>32</v>
      </c>
      <c r="Q3366">
        <v>33</v>
      </c>
      <c r="R3366">
        <v>27</v>
      </c>
    </row>
    <row r="3367" spans="1:18" x14ac:dyDescent="0.25">
      <c r="A3367" t="s">
        <v>3601</v>
      </c>
      <c r="B3367" t="s">
        <v>55</v>
      </c>
      <c r="C3367" t="s">
        <v>3587</v>
      </c>
      <c r="D3367" t="s">
        <v>1867</v>
      </c>
      <c r="E3367" t="s">
        <v>78</v>
      </c>
      <c r="F3367" t="s">
        <v>252</v>
      </c>
      <c r="G3367">
        <v>8.2750000000000004</v>
      </c>
      <c r="H3367">
        <v>-76.369</v>
      </c>
      <c r="I3367" t="s">
        <v>3588</v>
      </c>
      <c r="J3367">
        <v>11</v>
      </c>
      <c r="M3367">
        <v>159</v>
      </c>
      <c r="N3367">
        <v>41</v>
      </c>
      <c r="O3367">
        <v>30</v>
      </c>
      <c r="P3367">
        <v>28</v>
      </c>
      <c r="Q3367">
        <v>28</v>
      </c>
      <c r="R3367">
        <v>33</v>
      </c>
    </row>
    <row r="3368" spans="1:18" x14ac:dyDescent="0.25">
      <c r="A3368" t="s">
        <v>3602</v>
      </c>
      <c r="B3368" t="s">
        <v>55</v>
      </c>
      <c r="C3368" t="s">
        <v>3587</v>
      </c>
      <c r="D3368" t="s">
        <v>1867</v>
      </c>
      <c r="E3368" t="s">
        <v>78</v>
      </c>
      <c r="F3368" t="s">
        <v>252</v>
      </c>
      <c r="G3368">
        <v>8.2750000000000004</v>
      </c>
      <c r="H3368">
        <v>-76.369</v>
      </c>
      <c r="I3368" t="s">
        <v>3588</v>
      </c>
      <c r="J3368">
        <v>11</v>
      </c>
      <c r="M3368">
        <v>159</v>
      </c>
      <c r="N3368">
        <v>37</v>
      </c>
      <c r="O3368">
        <v>24</v>
      </c>
      <c r="P3368">
        <v>36</v>
      </c>
      <c r="Q3368">
        <v>29</v>
      </c>
      <c r="R3368">
        <v>35</v>
      </c>
    </row>
    <row r="3369" spans="1:18" x14ac:dyDescent="0.25">
      <c r="A3369" t="s">
        <v>3603</v>
      </c>
      <c r="B3369" t="s">
        <v>55</v>
      </c>
      <c r="C3369" t="s">
        <v>3587</v>
      </c>
      <c r="D3369" t="s">
        <v>1867</v>
      </c>
      <c r="E3369" t="s">
        <v>78</v>
      </c>
      <c r="F3369" t="s">
        <v>252</v>
      </c>
      <c r="G3369">
        <v>8.2750000000000004</v>
      </c>
      <c r="H3369">
        <v>-76.369</v>
      </c>
      <c r="I3369" t="s">
        <v>3588</v>
      </c>
      <c r="J3369">
        <v>11</v>
      </c>
      <c r="M3369">
        <v>156</v>
      </c>
      <c r="N3369">
        <v>32</v>
      </c>
      <c r="O3369">
        <v>22</v>
      </c>
      <c r="P3369">
        <v>48</v>
      </c>
      <c r="Q3369">
        <v>26</v>
      </c>
      <c r="R3369">
        <v>22</v>
      </c>
    </row>
    <row r="3370" spans="1:18" x14ac:dyDescent="0.25">
      <c r="A3370" t="s">
        <v>3604</v>
      </c>
      <c r="B3370" t="s">
        <v>55</v>
      </c>
      <c r="C3370" t="s">
        <v>3587</v>
      </c>
      <c r="D3370" t="s">
        <v>1867</v>
      </c>
      <c r="E3370" t="s">
        <v>78</v>
      </c>
      <c r="F3370" t="s">
        <v>252</v>
      </c>
      <c r="G3370">
        <v>8.2750000000000004</v>
      </c>
      <c r="H3370">
        <v>-76.369</v>
      </c>
      <c r="I3370" t="s">
        <v>3588</v>
      </c>
      <c r="J3370">
        <v>11</v>
      </c>
      <c r="M3370">
        <v>150</v>
      </c>
      <c r="N3370">
        <v>34</v>
      </c>
      <c r="O3370">
        <v>20</v>
      </c>
      <c r="P3370">
        <v>34</v>
      </c>
      <c r="Q3370">
        <v>29</v>
      </c>
      <c r="R3370">
        <v>36</v>
      </c>
    </row>
    <row r="3371" spans="1:18" x14ac:dyDescent="0.25">
      <c r="A3371" t="s">
        <v>3605</v>
      </c>
      <c r="B3371" t="s">
        <v>55</v>
      </c>
      <c r="C3371" t="s">
        <v>3587</v>
      </c>
      <c r="D3371" t="s">
        <v>1867</v>
      </c>
      <c r="E3371" t="s">
        <v>78</v>
      </c>
      <c r="F3371" t="s">
        <v>252</v>
      </c>
      <c r="G3371">
        <v>8.2750000000000004</v>
      </c>
      <c r="H3371">
        <v>-76.369</v>
      </c>
      <c r="I3371" t="s">
        <v>3588</v>
      </c>
      <c r="J3371">
        <v>11</v>
      </c>
      <c r="M3371">
        <v>144</v>
      </c>
      <c r="N3371">
        <v>34</v>
      </c>
      <c r="O3371">
        <v>22</v>
      </c>
      <c r="P3371">
        <v>32</v>
      </c>
      <c r="Q3371">
        <v>28</v>
      </c>
      <c r="R3371">
        <v>27</v>
      </c>
    </row>
    <row r="3372" spans="1:18" x14ac:dyDescent="0.25">
      <c r="A3372" t="s">
        <v>3606</v>
      </c>
      <c r="B3372" t="s">
        <v>55</v>
      </c>
      <c r="C3372" t="s">
        <v>3587</v>
      </c>
      <c r="D3372" t="s">
        <v>1867</v>
      </c>
      <c r="E3372" t="s">
        <v>78</v>
      </c>
      <c r="F3372" t="s">
        <v>252</v>
      </c>
      <c r="G3372">
        <v>8.2750000000000004</v>
      </c>
      <c r="H3372">
        <v>-76.369</v>
      </c>
      <c r="I3372" t="s">
        <v>3588</v>
      </c>
      <c r="J3372">
        <v>11</v>
      </c>
      <c r="M3372">
        <v>144</v>
      </c>
      <c r="N3372">
        <v>22</v>
      </c>
      <c r="O3372">
        <v>18</v>
      </c>
      <c r="P3372">
        <v>48</v>
      </c>
      <c r="Q3372">
        <v>28</v>
      </c>
      <c r="R3372">
        <v>27</v>
      </c>
    </row>
    <row r="3373" spans="1:18" x14ac:dyDescent="0.25">
      <c r="A3373" t="s">
        <v>3607</v>
      </c>
      <c r="B3373" t="s">
        <v>55</v>
      </c>
      <c r="C3373" t="s">
        <v>3587</v>
      </c>
      <c r="D3373" t="s">
        <v>1867</v>
      </c>
      <c r="E3373" t="s">
        <v>78</v>
      </c>
      <c r="F3373" t="s">
        <v>252</v>
      </c>
      <c r="G3373">
        <v>8.2750000000000004</v>
      </c>
      <c r="H3373">
        <v>-76.369</v>
      </c>
      <c r="I3373" t="s">
        <v>3588</v>
      </c>
      <c r="J3373">
        <v>11</v>
      </c>
      <c r="M3373">
        <v>136</v>
      </c>
      <c r="N3373">
        <v>32</v>
      </c>
      <c r="O3373">
        <v>22</v>
      </c>
      <c r="P3373">
        <v>30</v>
      </c>
      <c r="Q3373">
        <v>24</v>
      </c>
      <c r="R3373">
        <v>31</v>
      </c>
    </row>
    <row r="3374" spans="1:18" x14ac:dyDescent="0.25">
      <c r="A3374" t="s">
        <v>3608</v>
      </c>
      <c r="B3374" t="s">
        <v>55</v>
      </c>
      <c r="C3374" t="s">
        <v>3587</v>
      </c>
      <c r="D3374" t="s">
        <v>1867</v>
      </c>
      <c r="E3374" t="s">
        <v>78</v>
      </c>
      <c r="F3374" t="s">
        <v>252</v>
      </c>
      <c r="G3374">
        <v>8.2750000000000004</v>
      </c>
      <c r="H3374">
        <v>-76.369</v>
      </c>
      <c r="I3374" t="s">
        <v>3588</v>
      </c>
      <c r="J3374">
        <v>11</v>
      </c>
      <c r="M3374">
        <v>130</v>
      </c>
      <c r="N3374">
        <v>22</v>
      </c>
      <c r="O3374">
        <v>24</v>
      </c>
      <c r="P3374">
        <v>40</v>
      </c>
      <c r="Q3374">
        <v>17</v>
      </c>
      <c r="R3374">
        <v>29</v>
      </c>
    </row>
    <row r="3375" spans="1:18" x14ac:dyDescent="0.25">
      <c r="A3375" t="s">
        <v>3609</v>
      </c>
      <c r="B3375" t="s">
        <v>55</v>
      </c>
      <c r="C3375" t="s">
        <v>3587</v>
      </c>
      <c r="D3375" t="s">
        <v>1867</v>
      </c>
      <c r="E3375" t="s">
        <v>78</v>
      </c>
      <c r="F3375" t="s">
        <v>252</v>
      </c>
      <c r="G3375">
        <v>8.2750000000000004</v>
      </c>
      <c r="H3375">
        <v>-76.369</v>
      </c>
      <c r="I3375" t="s">
        <v>3588</v>
      </c>
      <c r="J3375">
        <v>11</v>
      </c>
      <c r="M3375">
        <v>109</v>
      </c>
      <c r="N3375">
        <v>49</v>
      </c>
      <c r="O3375">
        <v>12</v>
      </c>
      <c r="P3375">
        <v>18</v>
      </c>
      <c r="Q3375">
        <v>16</v>
      </c>
      <c r="R3375">
        <v>0</v>
      </c>
    </row>
    <row r="3376" spans="1:18" x14ac:dyDescent="0.25">
      <c r="A3376" t="s">
        <v>3610</v>
      </c>
      <c r="B3376" t="s">
        <v>55</v>
      </c>
      <c r="C3376" t="s">
        <v>3611</v>
      </c>
      <c r="D3376" t="s">
        <v>3612</v>
      </c>
      <c r="E3376" t="s">
        <v>78</v>
      </c>
      <c r="F3376" t="s">
        <v>252</v>
      </c>
      <c r="G3376">
        <v>5.7319000000000004</v>
      </c>
      <c r="H3376">
        <v>-75.143100000000004</v>
      </c>
      <c r="I3376" t="s">
        <v>3613</v>
      </c>
      <c r="J3376">
        <v>11</v>
      </c>
      <c r="M3376">
        <v>266</v>
      </c>
      <c r="N3376">
        <v>56</v>
      </c>
      <c r="O3376">
        <v>42</v>
      </c>
      <c r="P3376">
        <v>58</v>
      </c>
      <c r="Q3376">
        <v>50</v>
      </c>
      <c r="R3376">
        <v>73</v>
      </c>
    </row>
    <row r="3377" spans="1:18" x14ac:dyDescent="0.25">
      <c r="A3377" t="s">
        <v>3614</v>
      </c>
      <c r="B3377" t="s">
        <v>55</v>
      </c>
      <c r="C3377" t="s">
        <v>3611</v>
      </c>
      <c r="D3377" t="s">
        <v>3612</v>
      </c>
      <c r="E3377" t="s">
        <v>78</v>
      </c>
      <c r="F3377" t="s">
        <v>252</v>
      </c>
      <c r="G3377">
        <v>5.7319000000000004</v>
      </c>
      <c r="H3377">
        <v>-75.143100000000004</v>
      </c>
      <c r="I3377" t="s">
        <v>3613</v>
      </c>
      <c r="J3377">
        <v>11</v>
      </c>
      <c r="M3377">
        <v>261</v>
      </c>
      <c r="N3377">
        <v>54</v>
      </c>
      <c r="O3377">
        <v>46</v>
      </c>
      <c r="P3377">
        <v>56</v>
      </c>
      <c r="Q3377">
        <v>45</v>
      </c>
      <c r="R3377">
        <v>78</v>
      </c>
    </row>
    <row r="3378" spans="1:18" x14ac:dyDescent="0.25">
      <c r="A3378" t="s">
        <v>3615</v>
      </c>
      <c r="B3378" t="s">
        <v>55</v>
      </c>
      <c r="C3378" t="s">
        <v>3611</v>
      </c>
      <c r="D3378" t="s">
        <v>3612</v>
      </c>
      <c r="E3378" t="s">
        <v>78</v>
      </c>
      <c r="F3378" t="s">
        <v>252</v>
      </c>
      <c r="G3378">
        <v>5.7319000000000004</v>
      </c>
      <c r="H3378">
        <v>-75.143100000000004</v>
      </c>
      <c r="I3378" t="s">
        <v>3613</v>
      </c>
      <c r="J3378">
        <v>11</v>
      </c>
      <c r="M3378">
        <v>256</v>
      </c>
      <c r="N3378">
        <v>61</v>
      </c>
      <c r="O3378">
        <v>38</v>
      </c>
      <c r="P3378">
        <v>68</v>
      </c>
      <c r="Q3378">
        <v>31</v>
      </c>
      <c r="R3378">
        <v>73</v>
      </c>
    </row>
    <row r="3379" spans="1:18" x14ac:dyDescent="0.25">
      <c r="A3379" t="s">
        <v>3616</v>
      </c>
      <c r="B3379" t="s">
        <v>55</v>
      </c>
      <c r="C3379" t="s">
        <v>3611</v>
      </c>
      <c r="D3379" t="s">
        <v>3612</v>
      </c>
      <c r="E3379" t="s">
        <v>78</v>
      </c>
      <c r="F3379" t="s">
        <v>252</v>
      </c>
      <c r="G3379">
        <v>5.7319000000000004</v>
      </c>
      <c r="H3379">
        <v>-75.143100000000004</v>
      </c>
      <c r="I3379" t="s">
        <v>3613</v>
      </c>
      <c r="J3379">
        <v>11</v>
      </c>
      <c r="M3379">
        <v>256</v>
      </c>
      <c r="N3379">
        <v>51</v>
      </c>
      <c r="O3379">
        <v>46</v>
      </c>
      <c r="P3379">
        <v>54</v>
      </c>
      <c r="Q3379">
        <v>45</v>
      </c>
      <c r="R3379">
        <v>76</v>
      </c>
    </row>
    <row r="3380" spans="1:18" x14ac:dyDescent="0.25">
      <c r="A3380" t="s">
        <v>3617</v>
      </c>
      <c r="B3380" t="s">
        <v>55</v>
      </c>
      <c r="C3380" t="s">
        <v>3611</v>
      </c>
      <c r="D3380" t="s">
        <v>3612</v>
      </c>
      <c r="E3380" t="s">
        <v>78</v>
      </c>
      <c r="F3380" t="s">
        <v>252</v>
      </c>
      <c r="G3380">
        <v>5.7319000000000004</v>
      </c>
      <c r="H3380">
        <v>-75.143100000000004</v>
      </c>
      <c r="I3380" t="s">
        <v>3613</v>
      </c>
      <c r="J3380">
        <v>11</v>
      </c>
      <c r="M3380">
        <v>249</v>
      </c>
      <c r="N3380">
        <v>54</v>
      </c>
      <c r="O3380">
        <v>42</v>
      </c>
      <c r="P3380">
        <v>52</v>
      </c>
      <c r="Q3380">
        <v>43</v>
      </c>
      <c r="R3380">
        <v>75</v>
      </c>
    </row>
    <row r="3381" spans="1:18" x14ac:dyDescent="0.25">
      <c r="A3381" t="s">
        <v>3618</v>
      </c>
      <c r="B3381" t="s">
        <v>55</v>
      </c>
      <c r="C3381" t="s">
        <v>3611</v>
      </c>
      <c r="D3381" t="s">
        <v>3612</v>
      </c>
      <c r="E3381" t="s">
        <v>78</v>
      </c>
      <c r="F3381" t="s">
        <v>252</v>
      </c>
      <c r="G3381">
        <v>5.7319000000000004</v>
      </c>
      <c r="H3381">
        <v>-75.143100000000004</v>
      </c>
      <c r="I3381" t="s">
        <v>3613</v>
      </c>
      <c r="J3381">
        <v>11</v>
      </c>
      <c r="M3381">
        <v>246</v>
      </c>
      <c r="N3381">
        <v>49</v>
      </c>
      <c r="O3381">
        <v>38</v>
      </c>
      <c r="P3381">
        <v>52</v>
      </c>
      <c r="Q3381">
        <v>48</v>
      </c>
      <c r="R3381">
        <v>78</v>
      </c>
    </row>
    <row r="3382" spans="1:18" x14ac:dyDescent="0.25">
      <c r="A3382" t="s">
        <v>3619</v>
      </c>
      <c r="B3382" t="s">
        <v>55</v>
      </c>
      <c r="C3382" t="s">
        <v>3611</v>
      </c>
      <c r="D3382" t="s">
        <v>3612</v>
      </c>
      <c r="E3382" t="s">
        <v>78</v>
      </c>
      <c r="F3382" t="s">
        <v>252</v>
      </c>
      <c r="G3382">
        <v>5.7319000000000004</v>
      </c>
      <c r="H3382">
        <v>-75.143100000000004</v>
      </c>
      <c r="I3382" t="s">
        <v>3613</v>
      </c>
      <c r="J3382">
        <v>11</v>
      </c>
      <c r="M3382">
        <v>243</v>
      </c>
      <c r="N3382">
        <v>63</v>
      </c>
      <c r="O3382">
        <v>26</v>
      </c>
      <c r="P3382">
        <v>56</v>
      </c>
      <c r="Q3382">
        <v>43</v>
      </c>
      <c r="R3382">
        <v>65</v>
      </c>
    </row>
    <row r="3383" spans="1:18" x14ac:dyDescent="0.25">
      <c r="A3383" t="s">
        <v>3620</v>
      </c>
      <c r="B3383" t="s">
        <v>55</v>
      </c>
      <c r="C3383" t="s">
        <v>3611</v>
      </c>
      <c r="D3383" t="s">
        <v>3612</v>
      </c>
      <c r="E3383" t="s">
        <v>78</v>
      </c>
      <c r="F3383" t="s">
        <v>252</v>
      </c>
      <c r="G3383">
        <v>5.7319000000000004</v>
      </c>
      <c r="H3383">
        <v>-75.143100000000004</v>
      </c>
      <c r="I3383" t="s">
        <v>3613</v>
      </c>
      <c r="J3383">
        <v>11</v>
      </c>
      <c r="M3383">
        <v>242</v>
      </c>
      <c r="N3383">
        <v>49</v>
      </c>
      <c r="O3383">
        <v>38</v>
      </c>
      <c r="P3383">
        <v>48</v>
      </c>
      <c r="Q3383">
        <v>47</v>
      </c>
      <c r="R3383">
        <v>85</v>
      </c>
    </row>
    <row r="3384" spans="1:18" x14ac:dyDescent="0.25">
      <c r="A3384" t="s">
        <v>3621</v>
      </c>
      <c r="B3384" t="s">
        <v>55</v>
      </c>
      <c r="C3384" t="s">
        <v>3611</v>
      </c>
      <c r="D3384" t="s">
        <v>3612</v>
      </c>
      <c r="E3384" t="s">
        <v>78</v>
      </c>
      <c r="F3384" t="s">
        <v>252</v>
      </c>
      <c r="G3384">
        <v>5.7319000000000004</v>
      </c>
      <c r="H3384">
        <v>-75.143100000000004</v>
      </c>
      <c r="I3384" t="s">
        <v>3613</v>
      </c>
      <c r="J3384">
        <v>11</v>
      </c>
      <c r="M3384">
        <v>242</v>
      </c>
      <c r="N3384">
        <v>44</v>
      </c>
      <c r="O3384">
        <v>38</v>
      </c>
      <c r="P3384">
        <v>50</v>
      </c>
      <c r="Q3384">
        <v>50</v>
      </c>
      <c r="R3384">
        <v>84</v>
      </c>
    </row>
    <row r="3385" spans="1:18" x14ac:dyDescent="0.25">
      <c r="A3385" t="s">
        <v>3622</v>
      </c>
      <c r="B3385" t="s">
        <v>55</v>
      </c>
      <c r="C3385" t="s">
        <v>3611</v>
      </c>
      <c r="D3385" t="s">
        <v>3612</v>
      </c>
      <c r="E3385" t="s">
        <v>78</v>
      </c>
      <c r="F3385" t="s">
        <v>252</v>
      </c>
      <c r="G3385">
        <v>5.7319000000000004</v>
      </c>
      <c r="H3385">
        <v>-75.143100000000004</v>
      </c>
      <c r="I3385" t="s">
        <v>3613</v>
      </c>
      <c r="J3385">
        <v>11</v>
      </c>
      <c r="M3385">
        <v>239</v>
      </c>
      <c r="N3385">
        <v>46</v>
      </c>
      <c r="O3385">
        <v>40</v>
      </c>
      <c r="P3385">
        <v>48</v>
      </c>
      <c r="Q3385">
        <v>45</v>
      </c>
      <c r="R3385">
        <v>84</v>
      </c>
    </row>
    <row r="3386" spans="1:18" x14ac:dyDescent="0.25">
      <c r="A3386" t="s">
        <v>3623</v>
      </c>
      <c r="B3386" t="s">
        <v>55</v>
      </c>
      <c r="C3386" t="s">
        <v>3611</v>
      </c>
      <c r="D3386" t="s">
        <v>3612</v>
      </c>
      <c r="E3386" t="s">
        <v>78</v>
      </c>
      <c r="F3386" t="s">
        <v>252</v>
      </c>
      <c r="G3386">
        <v>5.7319000000000004</v>
      </c>
      <c r="H3386">
        <v>-75.143100000000004</v>
      </c>
      <c r="I3386" t="s">
        <v>3613</v>
      </c>
      <c r="J3386">
        <v>11</v>
      </c>
      <c r="M3386">
        <v>238</v>
      </c>
      <c r="N3386">
        <v>61</v>
      </c>
      <c r="O3386">
        <v>26</v>
      </c>
      <c r="P3386">
        <v>58</v>
      </c>
      <c r="Q3386">
        <v>36</v>
      </c>
      <c r="R3386">
        <v>75</v>
      </c>
    </row>
    <row r="3387" spans="1:18" x14ac:dyDescent="0.25">
      <c r="A3387" t="s">
        <v>3624</v>
      </c>
      <c r="B3387" t="s">
        <v>55</v>
      </c>
      <c r="C3387" t="s">
        <v>3611</v>
      </c>
      <c r="D3387" t="s">
        <v>3612</v>
      </c>
      <c r="E3387" t="s">
        <v>78</v>
      </c>
      <c r="F3387" t="s">
        <v>252</v>
      </c>
      <c r="G3387">
        <v>5.7319000000000004</v>
      </c>
      <c r="H3387">
        <v>-75.143100000000004</v>
      </c>
      <c r="I3387" t="s">
        <v>3613</v>
      </c>
      <c r="J3387">
        <v>11</v>
      </c>
      <c r="M3387">
        <v>229</v>
      </c>
      <c r="N3387">
        <v>32</v>
      </c>
      <c r="O3387">
        <v>44</v>
      </c>
      <c r="P3387">
        <v>66</v>
      </c>
      <c r="Q3387">
        <v>33</v>
      </c>
      <c r="R3387">
        <v>73</v>
      </c>
    </row>
    <row r="3388" spans="1:18" x14ac:dyDescent="0.25">
      <c r="A3388" t="s">
        <v>3625</v>
      </c>
      <c r="B3388" t="s">
        <v>55</v>
      </c>
      <c r="C3388" t="s">
        <v>3611</v>
      </c>
      <c r="D3388" t="s">
        <v>3612</v>
      </c>
      <c r="E3388" t="s">
        <v>78</v>
      </c>
      <c r="F3388" t="s">
        <v>252</v>
      </c>
      <c r="G3388">
        <v>5.7319000000000004</v>
      </c>
      <c r="H3388">
        <v>-75.143100000000004</v>
      </c>
      <c r="I3388" t="s">
        <v>3613</v>
      </c>
      <c r="J3388">
        <v>11</v>
      </c>
      <c r="M3388">
        <v>228</v>
      </c>
      <c r="N3388">
        <v>34</v>
      </c>
      <c r="O3388">
        <v>38</v>
      </c>
      <c r="P3388">
        <v>50</v>
      </c>
      <c r="Q3388">
        <v>48</v>
      </c>
      <c r="R3388">
        <v>82</v>
      </c>
    </row>
    <row r="3389" spans="1:18" x14ac:dyDescent="0.25">
      <c r="A3389" t="s">
        <v>3626</v>
      </c>
      <c r="B3389" t="s">
        <v>55</v>
      </c>
      <c r="C3389" t="s">
        <v>3611</v>
      </c>
      <c r="D3389" t="s">
        <v>3612</v>
      </c>
      <c r="E3389" t="s">
        <v>78</v>
      </c>
      <c r="F3389" t="s">
        <v>252</v>
      </c>
      <c r="G3389">
        <v>5.7319000000000004</v>
      </c>
      <c r="H3389">
        <v>-75.143100000000004</v>
      </c>
      <c r="I3389" t="s">
        <v>3613</v>
      </c>
      <c r="J3389">
        <v>11</v>
      </c>
      <c r="M3389">
        <v>228</v>
      </c>
      <c r="N3389">
        <v>49</v>
      </c>
      <c r="O3389">
        <v>40</v>
      </c>
      <c r="P3389">
        <v>40</v>
      </c>
      <c r="Q3389">
        <v>43</v>
      </c>
      <c r="R3389">
        <v>76</v>
      </c>
    </row>
    <row r="3390" spans="1:18" x14ac:dyDescent="0.25">
      <c r="A3390" t="s">
        <v>3627</v>
      </c>
      <c r="B3390" t="s">
        <v>55</v>
      </c>
      <c r="C3390" t="s">
        <v>3611</v>
      </c>
      <c r="D3390" t="s">
        <v>3612</v>
      </c>
      <c r="E3390" t="s">
        <v>78</v>
      </c>
      <c r="F3390" t="s">
        <v>252</v>
      </c>
      <c r="G3390">
        <v>5.7319000000000004</v>
      </c>
      <c r="H3390">
        <v>-75.143100000000004</v>
      </c>
      <c r="I3390" t="s">
        <v>3613</v>
      </c>
      <c r="J3390">
        <v>11</v>
      </c>
      <c r="M3390">
        <v>228</v>
      </c>
      <c r="N3390">
        <v>51</v>
      </c>
      <c r="O3390">
        <v>34</v>
      </c>
      <c r="P3390">
        <v>44</v>
      </c>
      <c r="Q3390">
        <v>43</v>
      </c>
      <c r="R3390">
        <v>75</v>
      </c>
    </row>
    <row r="3391" spans="1:18" x14ac:dyDescent="0.25">
      <c r="A3391" t="s">
        <v>3628</v>
      </c>
      <c r="B3391" t="s">
        <v>55</v>
      </c>
      <c r="C3391" t="s">
        <v>3611</v>
      </c>
      <c r="D3391" t="s">
        <v>3612</v>
      </c>
      <c r="E3391" t="s">
        <v>78</v>
      </c>
      <c r="F3391" t="s">
        <v>252</v>
      </c>
      <c r="G3391">
        <v>5.7319000000000004</v>
      </c>
      <c r="H3391">
        <v>-75.143100000000004</v>
      </c>
      <c r="I3391" t="s">
        <v>3613</v>
      </c>
      <c r="J3391">
        <v>11</v>
      </c>
      <c r="M3391">
        <v>211</v>
      </c>
      <c r="N3391">
        <v>49</v>
      </c>
      <c r="O3391">
        <v>40</v>
      </c>
      <c r="P3391">
        <v>56</v>
      </c>
      <c r="Q3391">
        <v>24</v>
      </c>
      <c r="R3391">
        <v>42</v>
      </c>
    </row>
    <row r="3392" spans="1:18" x14ac:dyDescent="0.25">
      <c r="A3392" t="s">
        <v>3629</v>
      </c>
      <c r="B3392" t="s">
        <v>55</v>
      </c>
      <c r="C3392" t="s">
        <v>3611</v>
      </c>
      <c r="D3392" t="s">
        <v>3612</v>
      </c>
      <c r="E3392" t="s">
        <v>78</v>
      </c>
      <c r="F3392" t="s">
        <v>252</v>
      </c>
      <c r="G3392">
        <v>5.7319000000000004</v>
      </c>
      <c r="H3392">
        <v>-75.143100000000004</v>
      </c>
      <c r="I3392" t="s">
        <v>3613</v>
      </c>
      <c r="J3392">
        <v>11</v>
      </c>
      <c r="M3392">
        <v>210</v>
      </c>
      <c r="N3392">
        <v>49</v>
      </c>
      <c r="O3392">
        <v>28</v>
      </c>
      <c r="P3392">
        <v>60</v>
      </c>
      <c r="Q3392">
        <v>21</v>
      </c>
      <c r="R3392">
        <v>73</v>
      </c>
    </row>
    <row r="3393" spans="1:18" x14ac:dyDescent="0.25">
      <c r="A3393" t="s">
        <v>3630</v>
      </c>
      <c r="B3393" t="s">
        <v>55</v>
      </c>
      <c r="C3393" t="s">
        <v>3611</v>
      </c>
      <c r="D3393" t="s">
        <v>3612</v>
      </c>
      <c r="E3393" t="s">
        <v>78</v>
      </c>
      <c r="F3393" t="s">
        <v>252</v>
      </c>
      <c r="G3393">
        <v>5.7319000000000004</v>
      </c>
      <c r="H3393">
        <v>-75.143100000000004</v>
      </c>
      <c r="I3393" t="s">
        <v>3613</v>
      </c>
      <c r="J3393">
        <v>11</v>
      </c>
      <c r="M3393">
        <v>203</v>
      </c>
      <c r="N3393">
        <v>41</v>
      </c>
      <c r="O3393">
        <v>40</v>
      </c>
      <c r="P3393">
        <v>48</v>
      </c>
      <c r="Q3393">
        <v>29</v>
      </c>
      <c r="R3393">
        <v>53</v>
      </c>
    </row>
    <row r="3394" spans="1:18" x14ac:dyDescent="0.25">
      <c r="A3394" t="s">
        <v>3631</v>
      </c>
      <c r="B3394" t="s">
        <v>55</v>
      </c>
      <c r="C3394" t="s">
        <v>3611</v>
      </c>
      <c r="D3394" t="s">
        <v>3612</v>
      </c>
      <c r="E3394" t="s">
        <v>78</v>
      </c>
      <c r="F3394" t="s">
        <v>252</v>
      </c>
      <c r="G3394">
        <v>5.7319000000000004</v>
      </c>
      <c r="H3394">
        <v>-75.143100000000004</v>
      </c>
      <c r="I3394" t="s">
        <v>3613</v>
      </c>
      <c r="J3394">
        <v>11</v>
      </c>
      <c r="M3394">
        <v>200</v>
      </c>
      <c r="N3394">
        <v>39</v>
      </c>
      <c r="O3394">
        <v>36</v>
      </c>
      <c r="P3394">
        <v>60</v>
      </c>
      <c r="Q3394">
        <v>28</v>
      </c>
      <c r="R3394">
        <v>33</v>
      </c>
    </row>
    <row r="3395" spans="1:18" x14ac:dyDescent="0.25">
      <c r="A3395" t="s">
        <v>3632</v>
      </c>
      <c r="B3395" t="s">
        <v>55</v>
      </c>
      <c r="C3395" t="s">
        <v>3611</v>
      </c>
      <c r="D3395" t="s">
        <v>3612</v>
      </c>
      <c r="E3395" t="s">
        <v>78</v>
      </c>
      <c r="F3395" t="s">
        <v>252</v>
      </c>
      <c r="G3395">
        <v>5.7319000000000004</v>
      </c>
      <c r="H3395">
        <v>-75.143100000000004</v>
      </c>
      <c r="I3395" t="s">
        <v>3613</v>
      </c>
      <c r="J3395">
        <v>11</v>
      </c>
      <c r="M3395">
        <v>197</v>
      </c>
      <c r="N3395">
        <v>20</v>
      </c>
      <c r="O3395">
        <v>36</v>
      </c>
      <c r="P3395">
        <v>60</v>
      </c>
      <c r="Q3395">
        <v>34</v>
      </c>
      <c r="R3395">
        <v>62</v>
      </c>
    </row>
    <row r="3396" spans="1:18" x14ac:dyDescent="0.25">
      <c r="A3396" t="s">
        <v>3633</v>
      </c>
      <c r="B3396" t="s">
        <v>55</v>
      </c>
      <c r="C3396" t="s">
        <v>3611</v>
      </c>
      <c r="D3396" t="s">
        <v>3612</v>
      </c>
      <c r="E3396" t="s">
        <v>78</v>
      </c>
      <c r="F3396" t="s">
        <v>252</v>
      </c>
      <c r="G3396">
        <v>5.7319000000000004</v>
      </c>
      <c r="H3396">
        <v>-75.143100000000004</v>
      </c>
      <c r="I3396" t="s">
        <v>3613</v>
      </c>
      <c r="J3396">
        <v>11</v>
      </c>
      <c r="M3396">
        <v>195</v>
      </c>
      <c r="N3396">
        <v>22</v>
      </c>
      <c r="O3396">
        <v>38</v>
      </c>
      <c r="P3396">
        <v>58</v>
      </c>
      <c r="Q3396">
        <v>31</v>
      </c>
      <c r="R3396">
        <v>60</v>
      </c>
    </row>
    <row r="3397" spans="1:18" x14ac:dyDescent="0.25">
      <c r="A3397" t="s">
        <v>3634</v>
      </c>
      <c r="B3397" t="s">
        <v>55</v>
      </c>
      <c r="C3397" t="s">
        <v>3611</v>
      </c>
      <c r="D3397" t="s">
        <v>3612</v>
      </c>
      <c r="E3397" t="s">
        <v>78</v>
      </c>
      <c r="F3397" t="s">
        <v>252</v>
      </c>
      <c r="G3397">
        <v>5.7319000000000004</v>
      </c>
      <c r="H3397">
        <v>-75.143100000000004</v>
      </c>
      <c r="I3397" t="s">
        <v>3613</v>
      </c>
      <c r="J3397">
        <v>11</v>
      </c>
      <c r="M3397">
        <v>195</v>
      </c>
      <c r="N3397">
        <v>37</v>
      </c>
      <c r="O3397">
        <v>36</v>
      </c>
      <c r="P3397">
        <v>56</v>
      </c>
      <c r="Q3397">
        <v>28</v>
      </c>
      <c r="R3397">
        <v>38</v>
      </c>
    </row>
    <row r="3398" spans="1:18" x14ac:dyDescent="0.25">
      <c r="A3398" t="s">
        <v>3635</v>
      </c>
      <c r="B3398" t="s">
        <v>55</v>
      </c>
      <c r="C3398" t="s">
        <v>3611</v>
      </c>
      <c r="D3398" t="s">
        <v>3612</v>
      </c>
      <c r="E3398" t="s">
        <v>78</v>
      </c>
      <c r="F3398" t="s">
        <v>252</v>
      </c>
      <c r="G3398">
        <v>5.7319000000000004</v>
      </c>
      <c r="H3398">
        <v>-75.143100000000004</v>
      </c>
      <c r="I3398" t="s">
        <v>3613</v>
      </c>
      <c r="J3398">
        <v>11</v>
      </c>
      <c r="M3398">
        <v>194</v>
      </c>
      <c r="N3398">
        <v>41</v>
      </c>
      <c r="O3398">
        <v>18</v>
      </c>
      <c r="P3398">
        <v>54</v>
      </c>
      <c r="Q3398">
        <v>38</v>
      </c>
      <c r="R3398">
        <v>49</v>
      </c>
    </row>
    <row r="3399" spans="1:18" x14ac:dyDescent="0.25">
      <c r="A3399" t="s">
        <v>3636</v>
      </c>
      <c r="B3399" t="s">
        <v>55</v>
      </c>
      <c r="C3399" t="s">
        <v>3611</v>
      </c>
      <c r="D3399" t="s">
        <v>3612</v>
      </c>
      <c r="E3399" t="s">
        <v>78</v>
      </c>
      <c r="F3399" t="s">
        <v>252</v>
      </c>
      <c r="G3399">
        <v>5.7319000000000004</v>
      </c>
      <c r="H3399">
        <v>-75.143100000000004</v>
      </c>
      <c r="I3399" t="s">
        <v>3613</v>
      </c>
      <c r="J3399">
        <v>11</v>
      </c>
      <c r="M3399">
        <v>191</v>
      </c>
      <c r="N3399">
        <v>46</v>
      </c>
      <c r="O3399">
        <v>18</v>
      </c>
      <c r="P3399">
        <v>50</v>
      </c>
      <c r="Q3399">
        <v>38</v>
      </c>
      <c r="R3399">
        <v>40</v>
      </c>
    </row>
    <row r="3400" spans="1:18" x14ac:dyDescent="0.25">
      <c r="A3400" t="s">
        <v>3637</v>
      </c>
      <c r="B3400" t="s">
        <v>55</v>
      </c>
      <c r="C3400" t="s">
        <v>3611</v>
      </c>
      <c r="D3400" t="s">
        <v>3612</v>
      </c>
      <c r="E3400" t="s">
        <v>78</v>
      </c>
      <c r="F3400" t="s">
        <v>252</v>
      </c>
      <c r="G3400">
        <v>5.7319000000000004</v>
      </c>
      <c r="H3400">
        <v>-75.143100000000004</v>
      </c>
      <c r="I3400" t="s">
        <v>3613</v>
      </c>
      <c r="J3400">
        <v>11</v>
      </c>
      <c r="M3400">
        <v>190</v>
      </c>
      <c r="N3400">
        <v>34</v>
      </c>
      <c r="O3400">
        <v>26</v>
      </c>
      <c r="P3400">
        <v>44</v>
      </c>
      <c r="Q3400">
        <v>40</v>
      </c>
      <c r="R3400">
        <v>62</v>
      </c>
    </row>
    <row r="3401" spans="1:18" x14ac:dyDescent="0.25">
      <c r="A3401" t="s">
        <v>3638</v>
      </c>
      <c r="B3401" t="s">
        <v>55</v>
      </c>
      <c r="C3401" t="s">
        <v>3611</v>
      </c>
      <c r="D3401" t="s">
        <v>3612</v>
      </c>
      <c r="E3401" t="s">
        <v>78</v>
      </c>
      <c r="F3401" t="s">
        <v>252</v>
      </c>
      <c r="G3401">
        <v>5.7319000000000004</v>
      </c>
      <c r="H3401">
        <v>-75.143100000000004</v>
      </c>
      <c r="I3401" t="s">
        <v>3613</v>
      </c>
      <c r="J3401">
        <v>11</v>
      </c>
      <c r="M3401">
        <v>185</v>
      </c>
      <c r="N3401">
        <v>39</v>
      </c>
      <c r="O3401">
        <v>28</v>
      </c>
      <c r="P3401">
        <v>36</v>
      </c>
      <c r="Q3401">
        <v>31</v>
      </c>
      <c r="R3401">
        <v>78</v>
      </c>
    </row>
    <row r="3402" spans="1:18" x14ac:dyDescent="0.25">
      <c r="A3402" t="s">
        <v>3639</v>
      </c>
      <c r="B3402" t="s">
        <v>55</v>
      </c>
      <c r="C3402" t="s">
        <v>3611</v>
      </c>
      <c r="D3402" t="s">
        <v>3612</v>
      </c>
      <c r="E3402" t="s">
        <v>78</v>
      </c>
      <c r="F3402" t="s">
        <v>252</v>
      </c>
      <c r="G3402">
        <v>5.7319000000000004</v>
      </c>
      <c r="H3402">
        <v>-75.143100000000004</v>
      </c>
      <c r="I3402" t="s">
        <v>3613</v>
      </c>
      <c r="J3402">
        <v>11</v>
      </c>
      <c r="M3402">
        <v>183</v>
      </c>
      <c r="N3402">
        <v>49</v>
      </c>
      <c r="O3402">
        <v>26</v>
      </c>
      <c r="P3402">
        <v>52</v>
      </c>
      <c r="Q3402">
        <v>21</v>
      </c>
      <c r="R3402">
        <v>35</v>
      </c>
    </row>
    <row r="3403" spans="1:18" x14ac:dyDescent="0.25">
      <c r="A3403" t="s">
        <v>3640</v>
      </c>
      <c r="B3403" t="s">
        <v>55</v>
      </c>
      <c r="C3403" t="s">
        <v>3611</v>
      </c>
      <c r="D3403" t="s">
        <v>3612</v>
      </c>
      <c r="E3403" t="s">
        <v>78</v>
      </c>
      <c r="F3403" t="s">
        <v>252</v>
      </c>
      <c r="G3403">
        <v>5.7319000000000004</v>
      </c>
      <c r="H3403">
        <v>-75.143100000000004</v>
      </c>
      <c r="I3403" t="s">
        <v>3613</v>
      </c>
      <c r="J3403">
        <v>11</v>
      </c>
      <c r="M3403">
        <v>183</v>
      </c>
      <c r="N3403">
        <v>32</v>
      </c>
      <c r="O3403">
        <v>28</v>
      </c>
      <c r="P3403">
        <v>44</v>
      </c>
      <c r="Q3403">
        <v>38</v>
      </c>
      <c r="R3403">
        <v>51</v>
      </c>
    </row>
    <row r="3404" spans="1:18" x14ac:dyDescent="0.25">
      <c r="A3404" t="s">
        <v>3641</v>
      </c>
      <c r="B3404" t="s">
        <v>55</v>
      </c>
      <c r="C3404" t="s">
        <v>3611</v>
      </c>
      <c r="D3404" t="s">
        <v>3612</v>
      </c>
      <c r="E3404" t="s">
        <v>78</v>
      </c>
      <c r="F3404" t="s">
        <v>252</v>
      </c>
      <c r="G3404">
        <v>5.7319000000000004</v>
      </c>
      <c r="H3404">
        <v>-75.143100000000004</v>
      </c>
      <c r="I3404" t="s">
        <v>3613</v>
      </c>
      <c r="J3404">
        <v>11</v>
      </c>
      <c r="M3404">
        <v>180</v>
      </c>
      <c r="N3404">
        <v>44</v>
      </c>
      <c r="O3404">
        <v>40</v>
      </c>
      <c r="P3404">
        <v>28</v>
      </c>
      <c r="Q3404">
        <v>31</v>
      </c>
      <c r="R3404">
        <v>38</v>
      </c>
    </row>
    <row r="3405" spans="1:18" x14ac:dyDescent="0.25">
      <c r="A3405" t="s">
        <v>3642</v>
      </c>
      <c r="B3405" t="s">
        <v>55</v>
      </c>
      <c r="C3405" t="s">
        <v>3611</v>
      </c>
      <c r="D3405" t="s">
        <v>3612</v>
      </c>
      <c r="E3405" t="s">
        <v>78</v>
      </c>
      <c r="F3405" t="s">
        <v>252</v>
      </c>
      <c r="G3405">
        <v>5.7319000000000004</v>
      </c>
      <c r="H3405">
        <v>-75.143100000000004</v>
      </c>
      <c r="I3405" t="s">
        <v>3613</v>
      </c>
      <c r="J3405">
        <v>11</v>
      </c>
      <c r="M3405">
        <v>175</v>
      </c>
      <c r="N3405">
        <v>37</v>
      </c>
      <c r="O3405">
        <v>26</v>
      </c>
      <c r="P3405">
        <v>44</v>
      </c>
      <c r="Q3405">
        <v>28</v>
      </c>
      <c r="R3405">
        <v>53</v>
      </c>
    </row>
    <row r="3406" spans="1:18" x14ac:dyDescent="0.25">
      <c r="A3406" t="s">
        <v>3643</v>
      </c>
      <c r="B3406" t="s">
        <v>55</v>
      </c>
      <c r="C3406" t="s">
        <v>3611</v>
      </c>
      <c r="D3406" t="s">
        <v>3612</v>
      </c>
      <c r="E3406" t="s">
        <v>78</v>
      </c>
      <c r="F3406" t="s">
        <v>252</v>
      </c>
      <c r="G3406">
        <v>5.7319000000000004</v>
      </c>
      <c r="H3406">
        <v>-75.143100000000004</v>
      </c>
      <c r="I3406" t="s">
        <v>3613</v>
      </c>
      <c r="J3406">
        <v>11</v>
      </c>
      <c r="M3406">
        <v>175</v>
      </c>
      <c r="N3406">
        <v>41</v>
      </c>
      <c r="O3406">
        <v>30</v>
      </c>
      <c r="P3406">
        <v>32</v>
      </c>
      <c r="Q3406">
        <v>33</v>
      </c>
      <c r="R3406">
        <v>45</v>
      </c>
    </row>
    <row r="3407" spans="1:18" x14ac:dyDescent="0.25">
      <c r="A3407" t="s">
        <v>3644</v>
      </c>
      <c r="B3407" t="s">
        <v>55</v>
      </c>
      <c r="C3407" t="s">
        <v>3611</v>
      </c>
      <c r="D3407" t="s">
        <v>3612</v>
      </c>
      <c r="E3407" t="s">
        <v>78</v>
      </c>
      <c r="F3407" t="s">
        <v>252</v>
      </c>
      <c r="G3407">
        <v>5.7319000000000004</v>
      </c>
      <c r="H3407">
        <v>-75.143100000000004</v>
      </c>
      <c r="I3407" t="s">
        <v>3613</v>
      </c>
      <c r="J3407">
        <v>11</v>
      </c>
      <c r="M3407">
        <v>175</v>
      </c>
      <c r="N3407">
        <v>39</v>
      </c>
      <c r="O3407">
        <v>34</v>
      </c>
      <c r="P3407">
        <v>36</v>
      </c>
      <c r="Q3407">
        <v>24</v>
      </c>
      <c r="R3407">
        <v>55</v>
      </c>
    </row>
    <row r="3408" spans="1:18" x14ac:dyDescent="0.25">
      <c r="A3408" t="s">
        <v>3645</v>
      </c>
      <c r="B3408" t="s">
        <v>55</v>
      </c>
      <c r="C3408" t="s">
        <v>3611</v>
      </c>
      <c r="D3408" t="s">
        <v>3612</v>
      </c>
      <c r="E3408" t="s">
        <v>78</v>
      </c>
      <c r="F3408" t="s">
        <v>252</v>
      </c>
      <c r="G3408">
        <v>5.7319000000000004</v>
      </c>
      <c r="H3408">
        <v>-75.143100000000004</v>
      </c>
      <c r="I3408" t="s">
        <v>3613</v>
      </c>
      <c r="J3408">
        <v>11</v>
      </c>
      <c r="M3408">
        <v>174</v>
      </c>
      <c r="N3408">
        <v>39</v>
      </c>
      <c r="O3408">
        <v>16</v>
      </c>
      <c r="P3408">
        <v>54</v>
      </c>
      <c r="Q3408">
        <v>29</v>
      </c>
      <c r="R3408">
        <v>38</v>
      </c>
    </row>
    <row r="3409" spans="1:18" x14ac:dyDescent="0.25">
      <c r="A3409" t="s">
        <v>3646</v>
      </c>
      <c r="B3409" t="s">
        <v>55</v>
      </c>
      <c r="C3409" t="s">
        <v>3611</v>
      </c>
      <c r="D3409" t="s">
        <v>3612</v>
      </c>
      <c r="E3409" t="s">
        <v>78</v>
      </c>
      <c r="F3409" t="s">
        <v>252</v>
      </c>
      <c r="G3409">
        <v>5.7319000000000004</v>
      </c>
      <c r="H3409">
        <v>-75.143100000000004</v>
      </c>
      <c r="I3409" t="s">
        <v>3613</v>
      </c>
      <c r="J3409">
        <v>11</v>
      </c>
      <c r="M3409">
        <v>173</v>
      </c>
      <c r="N3409">
        <v>39</v>
      </c>
      <c r="O3409">
        <v>28</v>
      </c>
      <c r="P3409">
        <v>36</v>
      </c>
      <c r="Q3409">
        <v>34</v>
      </c>
      <c r="R3409">
        <v>38</v>
      </c>
    </row>
    <row r="3410" spans="1:18" x14ac:dyDescent="0.25">
      <c r="A3410" t="s">
        <v>3647</v>
      </c>
      <c r="B3410" t="s">
        <v>55</v>
      </c>
      <c r="C3410" t="s">
        <v>3611</v>
      </c>
      <c r="D3410" t="s">
        <v>3612</v>
      </c>
      <c r="E3410" t="s">
        <v>78</v>
      </c>
      <c r="F3410" t="s">
        <v>252</v>
      </c>
      <c r="G3410">
        <v>5.7319000000000004</v>
      </c>
      <c r="H3410">
        <v>-75.143100000000004</v>
      </c>
      <c r="I3410" t="s">
        <v>3613</v>
      </c>
      <c r="J3410">
        <v>11</v>
      </c>
      <c r="M3410">
        <v>171</v>
      </c>
      <c r="N3410">
        <v>46</v>
      </c>
      <c r="O3410">
        <v>22</v>
      </c>
      <c r="P3410">
        <v>38</v>
      </c>
      <c r="Q3410">
        <v>31</v>
      </c>
      <c r="R3410">
        <v>33</v>
      </c>
    </row>
    <row r="3411" spans="1:18" x14ac:dyDescent="0.25">
      <c r="A3411" t="s">
        <v>3648</v>
      </c>
      <c r="B3411" t="s">
        <v>55</v>
      </c>
      <c r="C3411" t="s">
        <v>3611</v>
      </c>
      <c r="D3411" t="s">
        <v>3612</v>
      </c>
      <c r="E3411" t="s">
        <v>78</v>
      </c>
      <c r="F3411" t="s">
        <v>252</v>
      </c>
      <c r="G3411">
        <v>5.7319000000000004</v>
      </c>
      <c r="H3411">
        <v>-75.143100000000004</v>
      </c>
      <c r="I3411" t="s">
        <v>3613</v>
      </c>
      <c r="J3411">
        <v>11</v>
      </c>
      <c r="M3411">
        <v>170</v>
      </c>
      <c r="N3411">
        <v>34</v>
      </c>
      <c r="O3411">
        <v>38</v>
      </c>
      <c r="P3411">
        <v>38</v>
      </c>
      <c r="Q3411">
        <v>26</v>
      </c>
      <c r="R3411">
        <v>35</v>
      </c>
    </row>
    <row r="3412" spans="1:18" x14ac:dyDescent="0.25">
      <c r="A3412" t="s">
        <v>3649</v>
      </c>
      <c r="B3412" t="s">
        <v>55</v>
      </c>
      <c r="C3412" t="s">
        <v>3611</v>
      </c>
      <c r="D3412" t="s">
        <v>3612</v>
      </c>
      <c r="E3412" t="s">
        <v>78</v>
      </c>
      <c r="F3412" t="s">
        <v>252</v>
      </c>
      <c r="G3412">
        <v>5.7319000000000004</v>
      </c>
      <c r="H3412">
        <v>-75.143100000000004</v>
      </c>
      <c r="I3412" t="s">
        <v>3613</v>
      </c>
      <c r="J3412">
        <v>11</v>
      </c>
      <c r="M3412">
        <v>147</v>
      </c>
      <c r="N3412">
        <v>29</v>
      </c>
      <c r="O3412">
        <v>30</v>
      </c>
      <c r="P3412">
        <v>32</v>
      </c>
      <c r="Q3412">
        <v>29</v>
      </c>
      <c r="R3412">
        <v>20</v>
      </c>
    </row>
    <row r="3413" spans="1:18" x14ac:dyDescent="0.25">
      <c r="A3413" t="s">
        <v>3650</v>
      </c>
      <c r="B3413" t="s">
        <v>55</v>
      </c>
      <c r="C3413" t="s">
        <v>3611</v>
      </c>
      <c r="D3413" t="s">
        <v>3612</v>
      </c>
      <c r="E3413" t="s">
        <v>78</v>
      </c>
      <c r="F3413" t="s">
        <v>252</v>
      </c>
      <c r="G3413">
        <v>5.7319000000000004</v>
      </c>
      <c r="H3413">
        <v>-75.143100000000004</v>
      </c>
      <c r="I3413" t="s">
        <v>3613</v>
      </c>
      <c r="J3413">
        <v>11</v>
      </c>
      <c r="M3413">
        <v>141</v>
      </c>
      <c r="N3413">
        <v>37</v>
      </c>
      <c r="O3413">
        <v>24</v>
      </c>
      <c r="P3413">
        <v>22</v>
      </c>
      <c r="Q3413">
        <v>26</v>
      </c>
      <c r="R3413">
        <v>40</v>
      </c>
    </row>
    <row r="3414" spans="1:18" x14ac:dyDescent="0.25">
      <c r="A3414" t="s">
        <v>3651</v>
      </c>
      <c r="B3414" t="s">
        <v>55</v>
      </c>
      <c r="C3414" t="s">
        <v>3611</v>
      </c>
      <c r="D3414" t="s">
        <v>3612</v>
      </c>
      <c r="E3414" t="s">
        <v>78</v>
      </c>
      <c r="F3414" t="s">
        <v>252</v>
      </c>
      <c r="G3414">
        <v>5.7319000000000004</v>
      </c>
      <c r="H3414">
        <v>-75.143100000000004</v>
      </c>
      <c r="I3414" t="s">
        <v>3613</v>
      </c>
      <c r="J3414">
        <v>11</v>
      </c>
      <c r="M3414">
        <v>138</v>
      </c>
      <c r="N3414">
        <v>24</v>
      </c>
      <c r="O3414">
        <v>20</v>
      </c>
      <c r="P3414">
        <v>44</v>
      </c>
      <c r="Q3414">
        <v>21</v>
      </c>
      <c r="R3414">
        <v>31</v>
      </c>
    </row>
    <row r="3415" spans="1:18" x14ac:dyDescent="0.25">
      <c r="A3415" t="s">
        <v>3652</v>
      </c>
      <c r="B3415" t="s">
        <v>55</v>
      </c>
      <c r="C3415" t="s">
        <v>3611</v>
      </c>
      <c r="D3415" t="s">
        <v>3612</v>
      </c>
      <c r="E3415" t="s">
        <v>78</v>
      </c>
      <c r="F3415" t="s">
        <v>252</v>
      </c>
      <c r="G3415">
        <v>5.7319000000000004</v>
      </c>
      <c r="H3415">
        <v>-75.143100000000004</v>
      </c>
      <c r="I3415" t="s">
        <v>3613</v>
      </c>
      <c r="J3415">
        <v>11</v>
      </c>
      <c r="M3415">
        <v>135</v>
      </c>
      <c r="N3415">
        <v>20</v>
      </c>
      <c r="O3415">
        <v>32</v>
      </c>
      <c r="P3415">
        <v>36</v>
      </c>
      <c r="Q3415">
        <v>17</v>
      </c>
      <c r="R3415">
        <v>36</v>
      </c>
    </row>
    <row r="3416" spans="1:18" x14ac:dyDescent="0.25">
      <c r="A3416" t="s">
        <v>3653</v>
      </c>
      <c r="B3416" t="s">
        <v>55</v>
      </c>
      <c r="C3416" t="s">
        <v>3654</v>
      </c>
      <c r="D3416" t="s">
        <v>3655</v>
      </c>
      <c r="E3416" t="s">
        <v>78</v>
      </c>
      <c r="F3416" t="s">
        <v>252</v>
      </c>
      <c r="G3416">
        <v>7.9869000000000003</v>
      </c>
      <c r="H3416">
        <v>-75.197199999999995</v>
      </c>
      <c r="I3416" t="s">
        <v>3656</v>
      </c>
      <c r="J3416">
        <v>11</v>
      </c>
      <c r="M3416">
        <v>217</v>
      </c>
      <c r="N3416">
        <v>63</v>
      </c>
      <c r="O3416">
        <v>32</v>
      </c>
      <c r="P3416">
        <v>48</v>
      </c>
      <c r="Q3416">
        <v>31</v>
      </c>
      <c r="R3416">
        <v>42</v>
      </c>
    </row>
    <row r="3417" spans="1:18" x14ac:dyDescent="0.25">
      <c r="A3417" t="s">
        <v>3657</v>
      </c>
      <c r="B3417" t="s">
        <v>55</v>
      </c>
      <c r="C3417" t="s">
        <v>3654</v>
      </c>
      <c r="D3417" t="s">
        <v>3655</v>
      </c>
      <c r="E3417" t="s">
        <v>78</v>
      </c>
      <c r="F3417" t="s">
        <v>252</v>
      </c>
      <c r="G3417">
        <v>7.9869000000000003</v>
      </c>
      <c r="H3417">
        <v>-75.197199999999995</v>
      </c>
      <c r="I3417" t="s">
        <v>3656</v>
      </c>
      <c r="J3417">
        <v>11</v>
      </c>
      <c r="M3417">
        <v>202</v>
      </c>
      <c r="N3417">
        <v>56</v>
      </c>
      <c r="O3417">
        <v>20</v>
      </c>
      <c r="P3417">
        <v>50</v>
      </c>
      <c r="Q3417">
        <v>34</v>
      </c>
      <c r="R3417">
        <v>44</v>
      </c>
    </row>
    <row r="3418" spans="1:18" x14ac:dyDescent="0.25">
      <c r="A3418" t="s">
        <v>3658</v>
      </c>
      <c r="B3418" t="s">
        <v>55</v>
      </c>
      <c r="C3418" t="s">
        <v>3654</v>
      </c>
      <c r="D3418" t="s">
        <v>3655</v>
      </c>
      <c r="E3418" t="s">
        <v>78</v>
      </c>
      <c r="F3418" t="s">
        <v>252</v>
      </c>
      <c r="G3418">
        <v>7.9869000000000003</v>
      </c>
      <c r="H3418">
        <v>-75.197199999999995</v>
      </c>
      <c r="I3418" t="s">
        <v>3656</v>
      </c>
      <c r="J3418">
        <v>11</v>
      </c>
      <c r="M3418">
        <v>190</v>
      </c>
      <c r="N3418">
        <v>54</v>
      </c>
      <c r="O3418">
        <v>32</v>
      </c>
      <c r="P3418">
        <v>38</v>
      </c>
      <c r="Q3418">
        <v>26</v>
      </c>
      <c r="R3418">
        <v>45</v>
      </c>
    </row>
    <row r="3419" spans="1:18" x14ac:dyDescent="0.25">
      <c r="A3419" t="s">
        <v>3659</v>
      </c>
      <c r="B3419" t="s">
        <v>55</v>
      </c>
      <c r="C3419" t="s">
        <v>3654</v>
      </c>
      <c r="D3419" t="s">
        <v>3655</v>
      </c>
      <c r="E3419" t="s">
        <v>78</v>
      </c>
      <c r="F3419" t="s">
        <v>252</v>
      </c>
      <c r="G3419">
        <v>7.9869000000000003</v>
      </c>
      <c r="H3419">
        <v>-75.197199999999995</v>
      </c>
      <c r="I3419" t="s">
        <v>3656</v>
      </c>
      <c r="J3419">
        <v>11</v>
      </c>
      <c r="M3419">
        <v>184</v>
      </c>
      <c r="N3419">
        <v>34</v>
      </c>
      <c r="O3419">
        <v>24</v>
      </c>
      <c r="P3419">
        <v>56</v>
      </c>
      <c r="Q3419">
        <v>34</v>
      </c>
      <c r="R3419">
        <v>33</v>
      </c>
    </row>
    <row r="3420" spans="1:18" x14ac:dyDescent="0.25">
      <c r="A3420" t="s">
        <v>3660</v>
      </c>
      <c r="B3420" t="s">
        <v>55</v>
      </c>
      <c r="C3420" t="s">
        <v>3654</v>
      </c>
      <c r="D3420" t="s">
        <v>3655</v>
      </c>
      <c r="E3420" t="s">
        <v>78</v>
      </c>
      <c r="F3420" t="s">
        <v>252</v>
      </c>
      <c r="G3420">
        <v>7.9869000000000003</v>
      </c>
      <c r="H3420">
        <v>-75.197199999999995</v>
      </c>
      <c r="I3420" t="s">
        <v>3656</v>
      </c>
      <c r="J3420">
        <v>11</v>
      </c>
      <c r="M3420">
        <v>178</v>
      </c>
      <c r="N3420">
        <v>49</v>
      </c>
      <c r="O3420">
        <v>26</v>
      </c>
      <c r="P3420">
        <v>46</v>
      </c>
      <c r="Q3420">
        <v>21</v>
      </c>
      <c r="R3420">
        <v>38</v>
      </c>
    </row>
    <row r="3421" spans="1:18" x14ac:dyDescent="0.25">
      <c r="A3421" t="s">
        <v>3661</v>
      </c>
      <c r="B3421" t="s">
        <v>55</v>
      </c>
      <c r="C3421" t="s">
        <v>3654</v>
      </c>
      <c r="D3421" t="s">
        <v>3655</v>
      </c>
      <c r="E3421" t="s">
        <v>78</v>
      </c>
      <c r="F3421" t="s">
        <v>252</v>
      </c>
      <c r="G3421">
        <v>7.9869000000000003</v>
      </c>
      <c r="H3421">
        <v>-75.197199999999995</v>
      </c>
      <c r="I3421" t="s">
        <v>3656</v>
      </c>
      <c r="J3421">
        <v>11</v>
      </c>
      <c r="M3421">
        <v>163</v>
      </c>
      <c r="N3421">
        <v>32</v>
      </c>
      <c r="O3421">
        <v>16</v>
      </c>
      <c r="P3421">
        <v>42</v>
      </c>
      <c r="Q3421">
        <v>34</v>
      </c>
      <c r="R3421">
        <v>51</v>
      </c>
    </row>
    <row r="3422" spans="1:18" x14ac:dyDescent="0.25">
      <c r="A3422" t="s">
        <v>3662</v>
      </c>
      <c r="B3422" t="s">
        <v>55</v>
      </c>
      <c r="C3422" t="s">
        <v>3654</v>
      </c>
      <c r="D3422" t="s">
        <v>3655</v>
      </c>
      <c r="E3422" t="s">
        <v>78</v>
      </c>
      <c r="F3422" t="s">
        <v>252</v>
      </c>
      <c r="G3422">
        <v>7.9869000000000003</v>
      </c>
      <c r="H3422">
        <v>-75.197199999999995</v>
      </c>
      <c r="I3422" t="s">
        <v>3656</v>
      </c>
      <c r="J3422">
        <v>11</v>
      </c>
      <c r="M3422">
        <v>159</v>
      </c>
      <c r="N3422">
        <v>29</v>
      </c>
      <c r="O3422">
        <v>24</v>
      </c>
      <c r="P3422">
        <v>28</v>
      </c>
      <c r="Q3422">
        <v>47</v>
      </c>
      <c r="R3422">
        <v>29</v>
      </c>
    </row>
    <row r="3423" spans="1:18" x14ac:dyDescent="0.25">
      <c r="A3423" t="s">
        <v>3663</v>
      </c>
      <c r="B3423" t="s">
        <v>55</v>
      </c>
      <c r="C3423" t="s">
        <v>3654</v>
      </c>
      <c r="D3423" t="s">
        <v>3655</v>
      </c>
      <c r="E3423" t="s">
        <v>78</v>
      </c>
      <c r="F3423" t="s">
        <v>252</v>
      </c>
      <c r="G3423">
        <v>7.9869000000000003</v>
      </c>
      <c r="H3423">
        <v>-75.197199999999995</v>
      </c>
      <c r="I3423" t="s">
        <v>3656</v>
      </c>
      <c r="J3423">
        <v>11</v>
      </c>
      <c r="M3423">
        <v>158</v>
      </c>
      <c r="N3423">
        <v>46</v>
      </c>
      <c r="O3423">
        <v>24</v>
      </c>
      <c r="P3423">
        <v>30</v>
      </c>
      <c r="Q3423">
        <v>26</v>
      </c>
      <c r="R3423">
        <v>33</v>
      </c>
    </row>
    <row r="3424" spans="1:18" x14ac:dyDescent="0.25">
      <c r="A3424" t="s">
        <v>3664</v>
      </c>
      <c r="B3424" t="s">
        <v>55</v>
      </c>
      <c r="C3424" t="s">
        <v>3654</v>
      </c>
      <c r="D3424" t="s">
        <v>3655</v>
      </c>
      <c r="E3424" t="s">
        <v>78</v>
      </c>
      <c r="F3424" t="s">
        <v>252</v>
      </c>
      <c r="G3424">
        <v>7.9869000000000003</v>
      </c>
      <c r="H3424">
        <v>-75.197199999999995</v>
      </c>
      <c r="I3424" t="s">
        <v>3656</v>
      </c>
      <c r="J3424">
        <v>11</v>
      </c>
      <c r="M3424">
        <v>157</v>
      </c>
      <c r="N3424">
        <v>37</v>
      </c>
      <c r="O3424">
        <v>24</v>
      </c>
      <c r="P3424">
        <v>32</v>
      </c>
      <c r="Q3424">
        <v>33</v>
      </c>
      <c r="R3424">
        <v>33</v>
      </c>
    </row>
    <row r="3425" spans="1:18" x14ac:dyDescent="0.25">
      <c r="A3425" t="s">
        <v>3665</v>
      </c>
      <c r="B3425" t="s">
        <v>55</v>
      </c>
      <c r="C3425" t="s">
        <v>3654</v>
      </c>
      <c r="D3425" t="s">
        <v>3655</v>
      </c>
      <c r="E3425" t="s">
        <v>78</v>
      </c>
      <c r="F3425" t="s">
        <v>252</v>
      </c>
      <c r="G3425">
        <v>7.9869000000000003</v>
      </c>
      <c r="H3425">
        <v>-75.197199999999995</v>
      </c>
      <c r="I3425" t="s">
        <v>3656</v>
      </c>
      <c r="J3425">
        <v>11</v>
      </c>
      <c r="M3425">
        <v>157</v>
      </c>
      <c r="N3425">
        <v>39</v>
      </c>
      <c r="O3425">
        <v>26</v>
      </c>
      <c r="P3425">
        <v>38</v>
      </c>
      <c r="Q3425">
        <v>22</v>
      </c>
      <c r="R3425">
        <v>31</v>
      </c>
    </row>
    <row r="3426" spans="1:18" x14ac:dyDescent="0.25">
      <c r="A3426" t="s">
        <v>3666</v>
      </c>
      <c r="B3426" t="s">
        <v>55</v>
      </c>
      <c r="C3426" t="s">
        <v>3654</v>
      </c>
      <c r="D3426" t="s">
        <v>3655</v>
      </c>
      <c r="E3426" t="s">
        <v>78</v>
      </c>
      <c r="F3426" t="s">
        <v>252</v>
      </c>
      <c r="G3426">
        <v>7.9869000000000003</v>
      </c>
      <c r="H3426">
        <v>-75.197199999999995</v>
      </c>
      <c r="I3426" t="s">
        <v>3656</v>
      </c>
      <c r="J3426">
        <v>11</v>
      </c>
      <c r="M3426">
        <v>156</v>
      </c>
      <c r="N3426">
        <v>24</v>
      </c>
      <c r="O3426">
        <v>28</v>
      </c>
      <c r="P3426">
        <v>38</v>
      </c>
      <c r="Q3426">
        <v>31</v>
      </c>
      <c r="R3426">
        <v>42</v>
      </c>
    </row>
    <row r="3427" spans="1:18" x14ac:dyDescent="0.25">
      <c r="A3427" t="s">
        <v>3667</v>
      </c>
      <c r="B3427" t="s">
        <v>55</v>
      </c>
      <c r="C3427" t="s">
        <v>3654</v>
      </c>
      <c r="D3427" t="s">
        <v>3655</v>
      </c>
      <c r="E3427" t="s">
        <v>78</v>
      </c>
      <c r="F3427" t="s">
        <v>252</v>
      </c>
      <c r="G3427">
        <v>7.9869000000000003</v>
      </c>
      <c r="H3427">
        <v>-75.197199999999995</v>
      </c>
      <c r="I3427" t="s">
        <v>3656</v>
      </c>
      <c r="J3427">
        <v>11</v>
      </c>
      <c r="M3427">
        <v>154</v>
      </c>
      <c r="N3427">
        <v>37</v>
      </c>
      <c r="O3427">
        <v>30</v>
      </c>
      <c r="P3427">
        <v>30</v>
      </c>
      <c r="Q3427">
        <v>28</v>
      </c>
      <c r="R3427">
        <v>29</v>
      </c>
    </row>
    <row r="3428" spans="1:18" x14ac:dyDescent="0.25">
      <c r="A3428" t="s">
        <v>3668</v>
      </c>
      <c r="B3428" t="s">
        <v>55</v>
      </c>
      <c r="C3428" t="s">
        <v>3654</v>
      </c>
      <c r="D3428" t="s">
        <v>3655</v>
      </c>
      <c r="E3428" t="s">
        <v>78</v>
      </c>
      <c r="F3428" t="s">
        <v>252</v>
      </c>
      <c r="G3428">
        <v>7.9869000000000003</v>
      </c>
      <c r="H3428">
        <v>-75.197199999999995</v>
      </c>
      <c r="I3428" t="s">
        <v>3656</v>
      </c>
      <c r="J3428">
        <v>11</v>
      </c>
      <c r="M3428">
        <v>153</v>
      </c>
      <c r="N3428">
        <v>34</v>
      </c>
      <c r="O3428">
        <v>28</v>
      </c>
      <c r="P3428">
        <v>26</v>
      </c>
      <c r="Q3428">
        <v>34</v>
      </c>
      <c r="R3428">
        <v>31</v>
      </c>
    </row>
    <row r="3429" spans="1:18" x14ac:dyDescent="0.25">
      <c r="A3429" t="s">
        <v>3669</v>
      </c>
      <c r="B3429" t="s">
        <v>55</v>
      </c>
      <c r="C3429" t="s">
        <v>3654</v>
      </c>
      <c r="D3429" t="s">
        <v>3655</v>
      </c>
      <c r="E3429" t="s">
        <v>78</v>
      </c>
      <c r="F3429" t="s">
        <v>252</v>
      </c>
      <c r="G3429">
        <v>7.9869000000000003</v>
      </c>
      <c r="H3429">
        <v>-75.197199999999995</v>
      </c>
      <c r="I3429" t="s">
        <v>3656</v>
      </c>
      <c r="J3429">
        <v>11</v>
      </c>
      <c r="M3429">
        <v>148</v>
      </c>
      <c r="N3429">
        <v>39</v>
      </c>
      <c r="O3429">
        <v>22</v>
      </c>
      <c r="P3429">
        <v>32</v>
      </c>
      <c r="Q3429">
        <v>26</v>
      </c>
      <c r="R3429">
        <v>29</v>
      </c>
    </row>
    <row r="3430" spans="1:18" x14ac:dyDescent="0.25">
      <c r="A3430" t="s">
        <v>3670</v>
      </c>
      <c r="B3430" t="s">
        <v>55</v>
      </c>
      <c r="C3430" t="s">
        <v>3654</v>
      </c>
      <c r="D3430" t="s">
        <v>3655</v>
      </c>
      <c r="E3430" t="s">
        <v>78</v>
      </c>
      <c r="F3430" t="s">
        <v>252</v>
      </c>
      <c r="G3430">
        <v>7.9869000000000003</v>
      </c>
      <c r="H3430">
        <v>-75.197199999999995</v>
      </c>
      <c r="I3430" t="s">
        <v>3656</v>
      </c>
      <c r="J3430">
        <v>11</v>
      </c>
      <c r="M3430">
        <v>148</v>
      </c>
      <c r="N3430">
        <v>37</v>
      </c>
      <c r="O3430">
        <v>26</v>
      </c>
      <c r="P3430">
        <v>30</v>
      </c>
      <c r="Q3430">
        <v>28</v>
      </c>
      <c r="R3430">
        <v>24</v>
      </c>
    </row>
    <row r="3431" spans="1:18" x14ac:dyDescent="0.25">
      <c r="A3431" t="s">
        <v>3671</v>
      </c>
      <c r="B3431" t="s">
        <v>55</v>
      </c>
      <c r="C3431" t="s">
        <v>3654</v>
      </c>
      <c r="D3431" t="s">
        <v>3655</v>
      </c>
      <c r="E3431" t="s">
        <v>78</v>
      </c>
      <c r="F3431" t="s">
        <v>252</v>
      </c>
      <c r="G3431">
        <v>7.9869000000000003</v>
      </c>
      <c r="H3431">
        <v>-75.197199999999995</v>
      </c>
      <c r="I3431" t="s">
        <v>3656</v>
      </c>
      <c r="J3431">
        <v>11</v>
      </c>
      <c r="M3431">
        <v>145</v>
      </c>
      <c r="N3431">
        <v>24</v>
      </c>
      <c r="O3431">
        <v>22</v>
      </c>
      <c r="P3431">
        <v>38</v>
      </c>
      <c r="Q3431">
        <v>33</v>
      </c>
      <c r="R3431">
        <v>25</v>
      </c>
    </row>
    <row r="3432" spans="1:18" x14ac:dyDescent="0.25">
      <c r="A3432" t="s">
        <v>3672</v>
      </c>
      <c r="B3432" t="s">
        <v>55</v>
      </c>
      <c r="C3432" t="s">
        <v>3654</v>
      </c>
      <c r="D3432" t="s">
        <v>3655</v>
      </c>
      <c r="E3432" t="s">
        <v>78</v>
      </c>
      <c r="F3432" t="s">
        <v>252</v>
      </c>
      <c r="G3432">
        <v>7.9869000000000003</v>
      </c>
      <c r="H3432">
        <v>-75.197199999999995</v>
      </c>
      <c r="I3432" t="s">
        <v>3656</v>
      </c>
      <c r="J3432">
        <v>11</v>
      </c>
      <c r="M3432">
        <v>143</v>
      </c>
      <c r="N3432">
        <v>34</v>
      </c>
      <c r="O3432">
        <v>24</v>
      </c>
      <c r="P3432">
        <v>42</v>
      </c>
      <c r="Q3432">
        <v>14</v>
      </c>
      <c r="R3432">
        <v>31</v>
      </c>
    </row>
    <row r="3433" spans="1:18" x14ac:dyDescent="0.25">
      <c r="A3433" t="s">
        <v>3673</v>
      </c>
      <c r="B3433" t="s">
        <v>55</v>
      </c>
      <c r="C3433" t="s">
        <v>3654</v>
      </c>
      <c r="D3433" t="s">
        <v>3655</v>
      </c>
      <c r="E3433" t="s">
        <v>78</v>
      </c>
      <c r="F3433" t="s">
        <v>252</v>
      </c>
      <c r="G3433">
        <v>7.9869000000000003</v>
      </c>
      <c r="H3433">
        <v>-75.197199999999995</v>
      </c>
      <c r="I3433" t="s">
        <v>3656</v>
      </c>
      <c r="J3433">
        <v>11</v>
      </c>
      <c r="M3433">
        <v>142</v>
      </c>
      <c r="N3433">
        <v>27</v>
      </c>
      <c r="O3433">
        <v>22</v>
      </c>
      <c r="P3433">
        <v>28</v>
      </c>
      <c r="Q3433">
        <v>34</v>
      </c>
      <c r="R3433">
        <v>35</v>
      </c>
    </row>
    <row r="3434" spans="1:18" x14ac:dyDescent="0.25">
      <c r="A3434" t="s">
        <v>3674</v>
      </c>
      <c r="B3434" t="s">
        <v>55</v>
      </c>
      <c r="C3434" t="s">
        <v>3654</v>
      </c>
      <c r="D3434" t="s">
        <v>3655</v>
      </c>
      <c r="E3434" t="s">
        <v>78</v>
      </c>
      <c r="F3434" t="s">
        <v>252</v>
      </c>
      <c r="G3434">
        <v>7.9869000000000003</v>
      </c>
      <c r="H3434">
        <v>-75.197199999999995</v>
      </c>
      <c r="I3434" t="s">
        <v>3656</v>
      </c>
      <c r="J3434">
        <v>11</v>
      </c>
      <c r="M3434">
        <v>138</v>
      </c>
      <c r="N3434">
        <v>39</v>
      </c>
      <c r="O3434">
        <v>20</v>
      </c>
      <c r="P3434">
        <v>34</v>
      </c>
      <c r="Q3434">
        <v>17</v>
      </c>
      <c r="R3434">
        <v>29</v>
      </c>
    </row>
    <row r="3435" spans="1:18" x14ac:dyDescent="0.25">
      <c r="A3435" t="s">
        <v>3675</v>
      </c>
      <c r="B3435" t="s">
        <v>55</v>
      </c>
      <c r="C3435" t="s">
        <v>3654</v>
      </c>
      <c r="D3435" t="s">
        <v>3655</v>
      </c>
      <c r="E3435" t="s">
        <v>78</v>
      </c>
      <c r="F3435" t="s">
        <v>252</v>
      </c>
      <c r="G3435">
        <v>7.9869000000000003</v>
      </c>
      <c r="H3435">
        <v>-75.197199999999995</v>
      </c>
      <c r="I3435" t="s">
        <v>3656</v>
      </c>
      <c r="J3435">
        <v>11</v>
      </c>
      <c r="M3435">
        <v>134</v>
      </c>
      <c r="N3435">
        <v>32</v>
      </c>
      <c r="O3435">
        <v>22</v>
      </c>
      <c r="P3435">
        <v>26</v>
      </c>
      <c r="Q3435">
        <v>24</v>
      </c>
      <c r="R3435">
        <v>36</v>
      </c>
    </row>
    <row r="3436" spans="1:18" x14ac:dyDescent="0.25">
      <c r="A3436" t="s">
        <v>3676</v>
      </c>
      <c r="B3436" t="s">
        <v>55</v>
      </c>
      <c r="C3436" t="s">
        <v>3654</v>
      </c>
      <c r="D3436" t="s">
        <v>3655</v>
      </c>
      <c r="E3436" t="s">
        <v>78</v>
      </c>
      <c r="F3436" t="s">
        <v>252</v>
      </c>
      <c r="G3436">
        <v>7.9869000000000003</v>
      </c>
      <c r="H3436">
        <v>-75.197199999999995</v>
      </c>
      <c r="I3436" t="s">
        <v>3656</v>
      </c>
      <c r="J3436">
        <v>11</v>
      </c>
      <c r="M3436">
        <v>130</v>
      </c>
      <c r="N3436">
        <v>24</v>
      </c>
      <c r="O3436">
        <v>30</v>
      </c>
      <c r="P3436">
        <v>18</v>
      </c>
      <c r="Q3436">
        <v>29</v>
      </c>
      <c r="R3436">
        <v>33</v>
      </c>
    </row>
    <row r="3437" spans="1:18" x14ac:dyDescent="0.25">
      <c r="A3437" t="s">
        <v>3677</v>
      </c>
      <c r="B3437" t="s">
        <v>55</v>
      </c>
      <c r="C3437" t="s">
        <v>3654</v>
      </c>
      <c r="D3437" t="s">
        <v>3655</v>
      </c>
      <c r="E3437" t="s">
        <v>78</v>
      </c>
      <c r="F3437" t="s">
        <v>252</v>
      </c>
      <c r="G3437">
        <v>7.9869000000000003</v>
      </c>
      <c r="H3437">
        <v>-75.197199999999995</v>
      </c>
      <c r="I3437" t="s">
        <v>3656</v>
      </c>
      <c r="J3437">
        <v>11</v>
      </c>
      <c r="M3437">
        <v>129</v>
      </c>
      <c r="N3437">
        <v>34</v>
      </c>
      <c r="O3437">
        <v>22</v>
      </c>
      <c r="P3437">
        <v>28</v>
      </c>
      <c r="Q3437">
        <v>21</v>
      </c>
      <c r="R3437">
        <v>22</v>
      </c>
    </row>
    <row r="3438" spans="1:18" x14ac:dyDescent="0.25">
      <c r="A3438" t="s">
        <v>3678</v>
      </c>
      <c r="B3438" t="s">
        <v>55</v>
      </c>
      <c r="C3438" t="s">
        <v>3654</v>
      </c>
      <c r="D3438" t="s">
        <v>3655</v>
      </c>
      <c r="E3438" t="s">
        <v>78</v>
      </c>
      <c r="F3438" t="s">
        <v>252</v>
      </c>
      <c r="G3438">
        <v>7.9869000000000003</v>
      </c>
      <c r="H3438">
        <v>-75.197199999999995</v>
      </c>
      <c r="I3438" t="s">
        <v>3656</v>
      </c>
      <c r="J3438">
        <v>11</v>
      </c>
      <c r="M3438">
        <v>128</v>
      </c>
      <c r="N3438">
        <v>41</v>
      </c>
      <c r="O3438">
        <v>26</v>
      </c>
      <c r="P3438">
        <v>22</v>
      </c>
      <c r="Q3438">
        <v>12</v>
      </c>
      <c r="R3438">
        <v>27</v>
      </c>
    </row>
    <row r="3439" spans="1:18" x14ac:dyDescent="0.25">
      <c r="A3439" t="s">
        <v>3679</v>
      </c>
      <c r="B3439" t="s">
        <v>55</v>
      </c>
      <c r="C3439" t="s">
        <v>3654</v>
      </c>
      <c r="D3439" t="s">
        <v>3655</v>
      </c>
      <c r="E3439" t="s">
        <v>78</v>
      </c>
      <c r="F3439" t="s">
        <v>252</v>
      </c>
      <c r="G3439">
        <v>7.9869000000000003</v>
      </c>
      <c r="H3439">
        <v>-75.197199999999995</v>
      </c>
      <c r="I3439" t="s">
        <v>3656</v>
      </c>
      <c r="J3439">
        <v>11</v>
      </c>
      <c r="M3439">
        <v>123</v>
      </c>
      <c r="N3439">
        <v>32</v>
      </c>
      <c r="O3439">
        <v>24</v>
      </c>
      <c r="P3439">
        <v>22</v>
      </c>
      <c r="Q3439">
        <v>19</v>
      </c>
      <c r="R3439">
        <v>31</v>
      </c>
    </row>
    <row r="3440" spans="1:18" x14ac:dyDescent="0.25">
      <c r="A3440" t="s">
        <v>3680</v>
      </c>
      <c r="B3440" t="s">
        <v>55</v>
      </c>
      <c r="C3440" t="s">
        <v>3654</v>
      </c>
      <c r="D3440" t="s">
        <v>3655</v>
      </c>
      <c r="E3440" t="s">
        <v>78</v>
      </c>
      <c r="F3440" t="s">
        <v>252</v>
      </c>
      <c r="G3440">
        <v>7.9869000000000003</v>
      </c>
      <c r="H3440">
        <v>-75.197199999999995</v>
      </c>
      <c r="I3440" t="s">
        <v>3656</v>
      </c>
      <c r="J3440">
        <v>11</v>
      </c>
      <c r="M3440">
        <v>123</v>
      </c>
      <c r="N3440">
        <v>17</v>
      </c>
      <c r="O3440">
        <v>24</v>
      </c>
      <c r="P3440">
        <v>34</v>
      </c>
      <c r="Q3440">
        <v>22</v>
      </c>
      <c r="R3440">
        <v>27</v>
      </c>
    </row>
    <row r="3441" spans="1:18" x14ac:dyDescent="0.25">
      <c r="A3441" t="s">
        <v>3681</v>
      </c>
      <c r="B3441" t="s">
        <v>55</v>
      </c>
      <c r="C3441" t="s">
        <v>3654</v>
      </c>
      <c r="D3441" t="s">
        <v>3655</v>
      </c>
      <c r="E3441" t="s">
        <v>78</v>
      </c>
      <c r="F3441" t="s">
        <v>252</v>
      </c>
      <c r="G3441">
        <v>7.9869000000000003</v>
      </c>
      <c r="H3441">
        <v>-75.197199999999995</v>
      </c>
      <c r="I3441" t="s">
        <v>3656</v>
      </c>
      <c r="J3441">
        <v>11</v>
      </c>
      <c r="M3441">
        <v>123</v>
      </c>
      <c r="N3441">
        <v>24</v>
      </c>
      <c r="O3441">
        <v>34</v>
      </c>
      <c r="P3441">
        <v>20</v>
      </c>
      <c r="Q3441">
        <v>19</v>
      </c>
      <c r="R3441">
        <v>27</v>
      </c>
    </row>
    <row r="3442" spans="1:18" x14ac:dyDescent="0.25">
      <c r="A3442" t="s">
        <v>3682</v>
      </c>
      <c r="B3442" t="s">
        <v>55</v>
      </c>
      <c r="C3442" t="s">
        <v>3654</v>
      </c>
      <c r="D3442" t="s">
        <v>3655</v>
      </c>
      <c r="E3442" t="s">
        <v>78</v>
      </c>
      <c r="F3442" t="s">
        <v>252</v>
      </c>
      <c r="G3442">
        <v>7.9869000000000003</v>
      </c>
      <c r="H3442">
        <v>-75.197199999999995</v>
      </c>
      <c r="I3442" t="s">
        <v>3656</v>
      </c>
      <c r="J3442">
        <v>11</v>
      </c>
      <c r="M3442">
        <v>123</v>
      </c>
      <c r="N3442">
        <v>32</v>
      </c>
      <c r="O3442">
        <v>16</v>
      </c>
      <c r="P3442">
        <v>38</v>
      </c>
      <c r="Q3442">
        <v>14</v>
      </c>
      <c r="R3442">
        <v>20</v>
      </c>
    </row>
    <row r="3443" spans="1:18" x14ac:dyDescent="0.25">
      <c r="A3443" t="s">
        <v>3683</v>
      </c>
      <c r="B3443" t="s">
        <v>55</v>
      </c>
      <c r="C3443" t="s">
        <v>3654</v>
      </c>
      <c r="D3443" t="s">
        <v>3655</v>
      </c>
      <c r="E3443" t="s">
        <v>78</v>
      </c>
      <c r="F3443" t="s">
        <v>252</v>
      </c>
      <c r="G3443">
        <v>7.9869000000000003</v>
      </c>
      <c r="H3443">
        <v>-75.197199999999995</v>
      </c>
      <c r="I3443" t="s">
        <v>3656</v>
      </c>
      <c r="J3443">
        <v>11</v>
      </c>
      <c r="M3443">
        <v>122</v>
      </c>
      <c r="N3443">
        <v>27</v>
      </c>
      <c r="O3443">
        <v>16</v>
      </c>
      <c r="P3443">
        <v>34</v>
      </c>
      <c r="Q3443">
        <v>19</v>
      </c>
      <c r="R3443">
        <v>29</v>
      </c>
    </row>
    <row r="3444" spans="1:18" x14ac:dyDescent="0.25">
      <c r="A3444" t="s">
        <v>3684</v>
      </c>
      <c r="B3444" t="s">
        <v>55</v>
      </c>
      <c r="C3444" t="s">
        <v>3654</v>
      </c>
      <c r="D3444" t="s">
        <v>3655</v>
      </c>
      <c r="E3444" t="s">
        <v>78</v>
      </c>
      <c r="F3444" t="s">
        <v>252</v>
      </c>
      <c r="G3444">
        <v>7.9869000000000003</v>
      </c>
      <c r="H3444">
        <v>-75.197199999999995</v>
      </c>
      <c r="I3444" t="s">
        <v>3656</v>
      </c>
      <c r="J3444">
        <v>11</v>
      </c>
      <c r="M3444">
        <v>119</v>
      </c>
      <c r="N3444">
        <v>32</v>
      </c>
      <c r="O3444">
        <v>22</v>
      </c>
      <c r="P3444">
        <v>26</v>
      </c>
      <c r="Q3444">
        <v>14</v>
      </c>
      <c r="R3444">
        <v>29</v>
      </c>
    </row>
    <row r="3445" spans="1:18" x14ac:dyDescent="0.25">
      <c r="A3445" t="s">
        <v>3685</v>
      </c>
      <c r="B3445" t="s">
        <v>55</v>
      </c>
      <c r="C3445" t="s">
        <v>3654</v>
      </c>
      <c r="D3445" t="s">
        <v>3655</v>
      </c>
      <c r="E3445" t="s">
        <v>78</v>
      </c>
      <c r="F3445" t="s">
        <v>252</v>
      </c>
      <c r="G3445">
        <v>7.9869000000000003</v>
      </c>
      <c r="H3445">
        <v>-75.197199999999995</v>
      </c>
      <c r="I3445" t="s">
        <v>3656</v>
      </c>
      <c r="J3445">
        <v>11</v>
      </c>
      <c r="M3445">
        <v>115</v>
      </c>
      <c r="N3445">
        <v>12</v>
      </c>
      <c r="O3445">
        <v>36</v>
      </c>
      <c r="P3445">
        <v>16</v>
      </c>
      <c r="Q3445">
        <v>26</v>
      </c>
      <c r="R3445">
        <v>29</v>
      </c>
    </row>
    <row r="3446" spans="1:18" x14ac:dyDescent="0.25">
      <c r="A3446" t="s">
        <v>3686</v>
      </c>
      <c r="B3446" t="s">
        <v>55</v>
      </c>
      <c r="C3446" t="s">
        <v>3654</v>
      </c>
      <c r="D3446" t="s">
        <v>3655</v>
      </c>
      <c r="E3446" t="s">
        <v>78</v>
      </c>
      <c r="F3446" t="s">
        <v>252</v>
      </c>
      <c r="G3446">
        <v>7.9869000000000003</v>
      </c>
      <c r="H3446">
        <v>-75.197199999999995</v>
      </c>
      <c r="I3446" t="s">
        <v>3656</v>
      </c>
      <c r="J3446">
        <v>11</v>
      </c>
      <c r="M3446">
        <v>77</v>
      </c>
      <c r="N3446">
        <v>29</v>
      </c>
      <c r="O3446">
        <v>14</v>
      </c>
      <c r="P3446">
        <v>20</v>
      </c>
      <c r="Q3446">
        <v>3</v>
      </c>
      <c r="R3446">
        <v>0</v>
      </c>
    </row>
    <row r="3447" spans="1:18" x14ac:dyDescent="0.25">
      <c r="A3447" t="s">
        <v>3687</v>
      </c>
      <c r="B3447" t="s">
        <v>55</v>
      </c>
      <c r="C3447" t="s">
        <v>3688</v>
      </c>
      <c r="D3447" t="s">
        <v>3689</v>
      </c>
      <c r="E3447" t="s">
        <v>78</v>
      </c>
      <c r="F3447" t="s">
        <v>252</v>
      </c>
      <c r="G3447">
        <v>6.3266999999999998</v>
      </c>
      <c r="H3447">
        <v>-75.768600000000006</v>
      </c>
      <c r="I3447" t="s">
        <v>3690</v>
      </c>
      <c r="J3447">
        <v>11</v>
      </c>
      <c r="M3447">
        <v>297</v>
      </c>
      <c r="N3447">
        <v>76</v>
      </c>
      <c r="O3447">
        <v>36</v>
      </c>
      <c r="P3447">
        <v>64</v>
      </c>
      <c r="Q3447">
        <v>50</v>
      </c>
      <c r="R3447">
        <v>95</v>
      </c>
    </row>
    <row r="3448" spans="1:18" x14ac:dyDescent="0.25">
      <c r="A3448" t="s">
        <v>3691</v>
      </c>
      <c r="B3448" t="s">
        <v>55</v>
      </c>
      <c r="C3448" t="s">
        <v>3688</v>
      </c>
      <c r="D3448" t="s">
        <v>3689</v>
      </c>
      <c r="E3448" t="s">
        <v>78</v>
      </c>
      <c r="F3448" t="s">
        <v>252</v>
      </c>
      <c r="G3448">
        <v>6.3266999999999998</v>
      </c>
      <c r="H3448">
        <v>-75.768600000000006</v>
      </c>
      <c r="I3448" t="s">
        <v>3690</v>
      </c>
      <c r="J3448">
        <v>11</v>
      </c>
      <c r="M3448">
        <v>292</v>
      </c>
      <c r="N3448">
        <v>56</v>
      </c>
      <c r="O3448">
        <v>40</v>
      </c>
      <c r="P3448">
        <v>70</v>
      </c>
      <c r="Q3448">
        <v>55</v>
      </c>
      <c r="R3448">
        <v>95</v>
      </c>
    </row>
    <row r="3449" spans="1:18" x14ac:dyDescent="0.25">
      <c r="A3449" t="s">
        <v>3692</v>
      </c>
      <c r="B3449" t="s">
        <v>55</v>
      </c>
      <c r="C3449" t="s">
        <v>3688</v>
      </c>
      <c r="D3449" t="s">
        <v>3689</v>
      </c>
      <c r="E3449" t="s">
        <v>78</v>
      </c>
      <c r="F3449" t="s">
        <v>252</v>
      </c>
      <c r="G3449">
        <v>6.3266999999999998</v>
      </c>
      <c r="H3449">
        <v>-75.768600000000006</v>
      </c>
      <c r="I3449" t="s">
        <v>3690</v>
      </c>
      <c r="J3449">
        <v>11</v>
      </c>
      <c r="M3449">
        <v>274</v>
      </c>
      <c r="N3449">
        <v>56</v>
      </c>
      <c r="O3449">
        <v>38</v>
      </c>
      <c r="P3449">
        <v>68</v>
      </c>
      <c r="Q3449">
        <v>57</v>
      </c>
      <c r="R3449">
        <v>56</v>
      </c>
    </row>
    <row r="3450" spans="1:18" x14ac:dyDescent="0.25">
      <c r="A3450" t="s">
        <v>3693</v>
      </c>
      <c r="B3450" t="s">
        <v>55</v>
      </c>
      <c r="C3450" t="s">
        <v>3688</v>
      </c>
      <c r="D3450" t="s">
        <v>3689</v>
      </c>
      <c r="E3450" t="s">
        <v>78</v>
      </c>
      <c r="F3450" t="s">
        <v>252</v>
      </c>
      <c r="G3450">
        <v>6.3266999999999998</v>
      </c>
      <c r="H3450">
        <v>-75.768600000000006</v>
      </c>
      <c r="I3450" t="s">
        <v>3690</v>
      </c>
      <c r="J3450">
        <v>11</v>
      </c>
      <c r="M3450">
        <v>272</v>
      </c>
      <c r="N3450">
        <v>56</v>
      </c>
      <c r="O3450">
        <v>38</v>
      </c>
      <c r="P3450">
        <v>64</v>
      </c>
      <c r="Q3450">
        <v>59</v>
      </c>
      <c r="R3450">
        <v>56</v>
      </c>
    </row>
    <row r="3451" spans="1:18" x14ac:dyDescent="0.25">
      <c r="A3451" t="s">
        <v>3694</v>
      </c>
      <c r="B3451" t="s">
        <v>55</v>
      </c>
      <c r="C3451" t="s">
        <v>3688</v>
      </c>
      <c r="D3451" t="s">
        <v>3689</v>
      </c>
      <c r="E3451" t="s">
        <v>78</v>
      </c>
      <c r="F3451" t="s">
        <v>252</v>
      </c>
      <c r="G3451">
        <v>6.3266999999999998</v>
      </c>
      <c r="H3451">
        <v>-75.768600000000006</v>
      </c>
      <c r="I3451" t="s">
        <v>3690</v>
      </c>
      <c r="J3451">
        <v>11</v>
      </c>
      <c r="M3451">
        <v>264</v>
      </c>
      <c r="N3451">
        <v>78</v>
      </c>
      <c r="O3451">
        <v>26</v>
      </c>
      <c r="P3451">
        <v>56</v>
      </c>
      <c r="Q3451">
        <v>55</v>
      </c>
      <c r="R3451">
        <v>40</v>
      </c>
    </row>
    <row r="3452" spans="1:18" x14ac:dyDescent="0.25">
      <c r="A3452" t="s">
        <v>3695</v>
      </c>
      <c r="B3452" t="s">
        <v>55</v>
      </c>
      <c r="C3452" t="s">
        <v>3688</v>
      </c>
      <c r="D3452" t="s">
        <v>3689</v>
      </c>
      <c r="E3452" t="s">
        <v>78</v>
      </c>
      <c r="F3452" t="s">
        <v>252</v>
      </c>
      <c r="G3452">
        <v>6.3266999999999998</v>
      </c>
      <c r="H3452">
        <v>-75.768600000000006</v>
      </c>
      <c r="I3452" t="s">
        <v>3690</v>
      </c>
      <c r="J3452">
        <v>11</v>
      </c>
      <c r="M3452">
        <v>261</v>
      </c>
      <c r="N3452">
        <v>44</v>
      </c>
      <c r="O3452">
        <v>36</v>
      </c>
      <c r="P3452">
        <v>68</v>
      </c>
      <c r="Q3452">
        <v>55</v>
      </c>
      <c r="R3452">
        <v>69</v>
      </c>
    </row>
    <row r="3453" spans="1:18" x14ac:dyDescent="0.25">
      <c r="A3453" t="s">
        <v>3696</v>
      </c>
      <c r="B3453" t="s">
        <v>55</v>
      </c>
      <c r="C3453" t="s">
        <v>3688</v>
      </c>
      <c r="D3453" t="s">
        <v>3689</v>
      </c>
      <c r="E3453" t="s">
        <v>78</v>
      </c>
      <c r="F3453" t="s">
        <v>252</v>
      </c>
      <c r="G3453">
        <v>6.3266999999999998</v>
      </c>
      <c r="H3453">
        <v>-75.768600000000006</v>
      </c>
      <c r="I3453" t="s">
        <v>3690</v>
      </c>
      <c r="J3453">
        <v>11</v>
      </c>
      <c r="M3453">
        <v>260</v>
      </c>
      <c r="N3453">
        <v>63</v>
      </c>
      <c r="O3453">
        <v>38</v>
      </c>
      <c r="P3453">
        <v>76</v>
      </c>
      <c r="Q3453">
        <v>29</v>
      </c>
      <c r="R3453">
        <v>56</v>
      </c>
    </row>
    <row r="3454" spans="1:18" x14ac:dyDescent="0.25">
      <c r="A3454" t="s">
        <v>3697</v>
      </c>
      <c r="B3454" t="s">
        <v>55</v>
      </c>
      <c r="C3454" t="s">
        <v>3688</v>
      </c>
      <c r="D3454" t="s">
        <v>3689</v>
      </c>
      <c r="E3454" t="s">
        <v>78</v>
      </c>
      <c r="F3454" t="s">
        <v>252</v>
      </c>
      <c r="G3454">
        <v>6.3266999999999998</v>
      </c>
      <c r="H3454">
        <v>-75.768600000000006</v>
      </c>
      <c r="I3454" t="s">
        <v>3690</v>
      </c>
      <c r="J3454">
        <v>11</v>
      </c>
      <c r="M3454">
        <v>255</v>
      </c>
      <c r="N3454">
        <v>56</v>
      </c>
      <c r="O3454">
        <v>38</v>
      </c>
      <c r="P3454">
        <v>52</v>
      </c>
      <c r="Q3454">
        <v>53</v>
      </c>
      <c r="R3454">
        <v>65</v>
      </c>
    </row>
    <row r="3455" spans="1:18" x14ac:dyDescent="0.25">
      <c r="A3455" t="s">
        <v>3698</v>
      </c>
      <c r="B3455" t="s">
        <v>55</v>
      </c>
      <c r="C3455" t="s">
        <v>3688</v>
      </c>
      <c r="D3455" t="s">
        <v>3689</v>
      </c>
      <c r="E3455" t="s">
        <v>78</v>
      </c>
      <c r="F3455" t="s">
        <v>252</v>
      </c>
      <c r="G3455">
        <v>6.3266999999999998</v>
      </c>
      <c r="H3455">
        <v>-75.768600000000006</v>
      </c>
      <c r="I3455" t="s">
        <v>3690</v>
      </c>
      <c r="J3455">
        <v>11</v>
      </c>
      <c r="M3455">
        <v>250</v>
      </c>
      <c r="N3455">
        <v>63</v>
      </c>
      <c r="O3455">
        <v>38</v>
      </c>
      <c r="P3455">
        <v>56</v>
      </c>
      <c r="Q3455">
        <v>38</v>
      </c>
      <c r="R3455">
        <v>64</v>
      </c>
    </row>
    <row r="3456" spans="1:18" x14ac:dyDescent="0.25">
      <c r="A3456" t="s">
        <v>3699</v>
      </c>
      <c r="B3456" t="s">
        <v>55</v>
      </c>
      <c r="C3456" t="s">
        <v>3688</v>
      </c>
      <c r="D3456" t="s">
        <v>3689</v>
      </c>
      <c r="E3456" t="s">
        <v>78</v>
      </c>
      <c r="F3456" t="s">
        <v>252</v>
      </c>
      <c r="G3456">
        <v>6.3266999999999998</v>
      </c>
      <c r="H3456">
        <v>-75.768600000000006</v>
      </c>
      <c r="I3456" t="s">
        <v>3690</v>
      </c>
      <c r="J3456">
        <v>11</v>
      </c>
      <c r="M3456">
        <v>245</v>
      </c>
      <c r="N3456">
        <v>66</v>
      </c>
      <c r="O3456">
        <v>26</v>
      </c>
      <c r="P3456">
        <v>68</v>
      </c>
      <c r="Q3456">
        <v>33</v>
      </c>
      <c r="R3456">
        <v>58</v>
      </c>
    </row>
    <row r="3457" spans="1:18" x14ac:dyDescent="0.25">
      <c r="A3457" t="s">
        <v>3700</v>
      </c>
      <c r="B3457" t="s">
        <v>55</v>
      </c>
      <c r="C3457" t="s">
        <v>3688</v>
      </c>
      <c r="D3457" t="s">
        <v>3689</v>
      </c>
      <c r="E3457" t="s">
        <v>78</v>
      </c>
      <c r="F3457" t="s">
        <v>252</v>
      </c>
      <c r="G3457">
        <v>6.3266999999999998</v>
      </c>
      <c r="H3457">
        <v>-75.768600000000006</v>
      </c>
      <c r="I3457" t="s">
        <v>3690</v>
      </c>
      <c r="J3457">
        <v>11</v>
      </c>
      <c r="M3457">
        <v>240</v>
      </c>
      <c r="N3457">
        <v>59</v>
      </c>
      <c r="O3457">
        <v>28</v>
      </c>
      <c r="P3457">
        <v>66</v>
      </c>
      <c r="Q3457">
        <v>36</v>
      </c>
      <c r="R3457">
        <v>58</v>
      </c>
    </row>
    <row r="3458" spans="1:18" x14ac:dyDescent="0.25">
      <c r="A3458" t="s">
        <v>3701</v>
      </c>
      <c r="B3458" t="s">
        <v>55</v>
      </c>
      <c r="C3458" t="s">
        <v>3688</v>
      </c>
      <c r="D3458" t="s">
        <v>3689</v>
      </c>
      <c r="E3458" t="s">
        <v>78</v>
      </c>
      <c r="F3458" t="s">
        <v>252</v>
      </c>
      <c r="G3458">
        <v>6.3266999999999998</v>
      </c>
      <c r="H3458">
        <v>-75.768600000000006</v>
      </c>
      <c r="I3458" t="s">
        <v>3690</v>
      </c>
      <c r="J3458">
        <v>11</v>
      </c>
      <c r="M3458">
        <v>240</v>
      </c>
      <c r="N3458">
        <v>59</v>
      </c>
      <c r="O3458">
        <v>36</v>
      </c>
      <c r="P3458">
        <v>56</v>
      </c>
      <c r="Q3458">
        <v>40</v>
      </c>
      <c r="R3458">
        <v>53</v>
      </c>
    </row>
    <row r="3459" spans="1:18" x14ac:dyDescent="0.25">
      <c r="A3459" t="s">
        <v>3702</v>
      </c>
      <c r="B3459" t="s">
        <v>55</v>
      </c>
      <c r="C3459" t="s">
        <v>3688</v>
      </c>
      <c r="D3459" t="s">
        <v>3689</v>
      </c>
      <c r="E3459" t="s">
        <v>78</v>
      </c>
      <c r="F3459" t="s">
        <v>252</v>
      </c>
      <c r="G3459">
        <v>6.3266999999999998</v>
      </c>
      <c r="H3459">
        <v>-75.768600000000006</v>
      </c>
      <c r="I3459" t="s">
        <v>3690</v>
      </c>
      <c r="J3459">
        <v>11</v>
      </c>
      <c r="M3459">
        <v>239</v>
      </c>
      <c r="N3459">
        <v>59</v>
      </c>
      <c r="O3459">
        <v>26</v>
      </c>
      <c r="P3459">
        <v>58</v>
      </c>
      <c r="Q3459">
        <v>47</v>
      </c>
      <c r="R3459">
        <v>55</v>
      </c>
    </row>
    <row r="3460" spans="1:18" x14ac:dyDescent="0.25">
      <c r="A3460" t="s">
        <v>3703</v>
      </c>
      <c r="B3460" t="s">
        <v>55</v>
      </c>
      <c r="C3460" t="s">
        <v>3688</v>
      </c>
      <c r="D3460" t="s">
        <v>3689</v>
      </c>
      <c r="E3460" t="s">
        <v>78</v>
      </c>
      <c r="F3460" t="s">
        <v>252</v>
      </c>
      <c r="G3460">
        <v>6.3266999999999998</v>
      </c>
      <c r="H3460">
        <v>-75.768600000000006</v>
      </c>
      <c r="I3460" t="s">
        <v>3690</v>
      </c>
      <c r="J3460">
        <v>11</v>
      </c>
      <c r="M3460">
        <v>238</v>
      </c>
      <c r="N3460">
        <v>63</v>
      </c>
      <c r="O3460">
        <v>30</v>
      </c>
      <c r="P3460">
        <v>52</v>
      </c>
      <c r="Q3460">
        <v>41</v>
      </c>
      <c r="R3460">
        <v>58</v>
      </c>
    </row>
    <row r="3461" spans="1:18" x14ac:dyDescent="0.25">
      <c r="A3461" t="s">
        <v>3704</v>
      </c>
      <c r="B3461" t="s">
        <v>55</v>
      </c>
      <c r="C3461" t="s">
        <v>3688</v>
      </c>
      <c r="D3461" t="s">
        <v>3689</v>
      </c>
      <c r="E3461" t="s">
        <v>78</v>
      </c>
      <c r="F3461" t="s">
        <v>252</v>
      </c>
      <c r="G3461">
        <v>6.3266999999999998</v>
      </c>
      <c r="H3461">
        <v>-75.768600000000006</v>
      </c>
      <c r="I3461" t="s">
        <v>3690</v>
      </c>
      <c r="J3461">
        <v>11</v>
      </c>
      <c r="M3461">
        <v>237</v>
      </c>
      <c r="N3461">
        <v>56</v>
      </c>
      <c r="O3461">
        <v>38</v>
      </c>
      <c r="P3461">
        <v>58</v>
      </c>
      <c r="Q3461">
        <v>38</v>
      </c>
      <c r="R3461">
        <v>45</v>
      </c>
    </row>
    <row r="3462" spans="1:18" x14ac:dyDescent="0.25">
      <c r="A3462" t="s">
        <v>3705</v>
      </c>
      <c r="B3462" t="s">
        <v>55</v>
      </c>
      <c r="C3462" t="s">
        <v>3688</v>
      </c>
      <c r="D3462" t="s">
        <v>3689</v>
      </c>
      <c r="E3462" t="s">
        <v>78</v>
      </c>
      <c r="F3462" t="s">
        <v>252</v>
      </c>
      <c r="G3462">
        <v>6.3266999999999998</v>
      </c>
      <c r="H3462">
        <v>-75.768600000000006</v>
      </c>
      <c r="I3462" t="s">
        <v>3690</v>
      </c>
      <c r="J3462">
        <v>11</v>
      </c>
      <c r="M3462">
        <v>234</v>
      </c>
      <c r="N3462">
        <v>59</v>
      </c>
      <c r="O3462">
        <v>24</v>
      </c>
      <c r="P3462">
        <v>56</v>
      </c>
      <c r="Q3462">
        <v>41</v>
      </c>
      <c r="R3462">
        <v>69</v>
      </c>
    </row>
    <row r="3463" spans="1:18" x14ac:dyDescent="0.25">
      <c r="A3463" t="s">
        <v>3706</v>
      </c>
      <c r="B3463" t="s">
        <v>55</v>
      </c>
      <c r="C3463" t="s">
        <v>3688</v>
      </c>
      <c r="D3463" t="s">
        <v>3689</v>
      </c>
      <c r="E3463" t="s">
        <v>78</v>
      </c>
      <c r="F3463" t="s">
        <v>252</v>
      </c>
      <c r="G3463">
        <v>6.3266999999999998</v>
      </c>
      <c r="H3463">
        <v>-75.768600000000006</v>
      </c>
      <c r="I3463" t="s">
        <v>3690</v>
      </c>
      <c r="J3463">
        <v>11</v>
      </c>
      <c r="M3463">
        <v>230</v>
      </c>
      <c r="N3463">
        <v>56</v>
      </c>
      <c r="O3463">
        <v>38</v>
      </c>
      <c r="P3463">
        <v>46</v>
      </c>
      <c r="Q3463">
        <v>43</v>
      </c>
      <c r="R3463">
        <v>47</v>
      </c>
    </row>
    <row r="3464" spans="1:18" x14ac:dyDescent="0.25">
      <c r="A3464" t="s">
        <v>3707</v>
      </c>
      <c r="B3464" t="s">
        <v>55</v>
      </c>
      <c r="C3464" t="s">
        <v>3688</v>
      </c>
      <c r="D3464" t="s">
        <v>3689</v>
      </c>
      <c r="E3464" t="s">
        <v>78</v>
      </c>
      <c r="F3464" t="s">
        <v>252</v>
      </c>
      <c r="G3464">
        <v>6.3266999999999998</v>
      </c>
      <c r="H3464">
        <v>-75.768600000000006</v>
      </c>
      <c r="I3464" t="s">
        <v>3690</v>
      </c>
      <c r="J3464">
        <v>11</v>
      </c>
      <c r="M3464">
        <v>226</v>
      </c>
      <c r="N3464">
        <v>51</v>
      </c>
      <c r="O3464">
        <v>36</v>
      </c>
      <c r="P3464">
        <v>58</v>
      </c>
      <c r="Q3464">
        <v>41</v>
      </c>
      <c r="R3464">
        <v>29</v>
      </c>
    </row>
    <row r="3465" spans="1:18" x14ac:dyDescent="0.25">
      <c r="A3465" t="s">
        <v>3708</v>
      </c>
      <c r="B3465" t="s">
        <v>55</v>
      </c>
      <c r="C3465" t="s">
        <v>3688</v>
      </c>
      <c r="D3465" t="s">
        <v>3689</v>
      </c>
      <c r="E3465" t="s">
        <v>78</v>
      </c>
      <c r="F3465" t="s">
        <v>252</v>
      </c>
      <c r="G3465">
        <v>6.3266999999999998</v>
      </c>
      <c r="H3465">
        <v>-75.768600000000006</v>
      </c>
      <c r="I3465" t="s">
        <v>3690</v>
      </c>
      <c r="J3465">
        <v>11</v>
      </c>
      <c r="M3465">
        <v>224</v>
      </c>
      <c r="N3465">
        <v>61</v>
      </c>
      <c r="O3465">
        <v>22</v>
      </c>
      <c r="P3465">
        <v>52</v>
      </c>
      <c r="Q3465">
        <v>45</v>
      </c>
      <c r="R3465">
        <v>42</v>
      </c>
    </row>
    <row r="3466" spans="1:18" x14ac:dyDescent="0.25">
      <c r="A3466" t="s">
        <v>3709</v>
      </c>
      <c r="B3466" t="s">
        <v>55</v>
      </c>
      <c r="C3466" t="s">
        <v>3688</v>
      </c>
      <c r="D3466" t="s">
        <v>3689</v>
      </c>
      <c r="E3466" t="s">
        <v>78</v>
      </c>
      <c r="F3466" t="s">
        <v>252</v>
      </c>
      <c r="G3466">
        <v>6.3266999999999998</v>
      </c>
      <c r="H3466">
        <v>-75.768600000000006</v>
      </c>
      <c r="I3466" t="s">
        <v>3690</v>
      </c>
      <c r="J3466">
        <v>11</v>
      </c>
      <c r="M3466">
        <v>215</v>
      </c>
      <c r="N3466">
        <v>49</v>
      </c>
      <c r="O3466">
        <v>24</v>
      </c>
      <c r="P3466">
        <v>64</v>
      </c>
      <c r="Q3466">
        <v>29</v>
      </c>
      <c r="R3466">
        <v>60</v>
      </c>
    </row>
    <row r="3467" spans="1:18" x14ac:dyDescent="0.25">
      <c r="A3467" t="s">
        <v>3710</v>
      </c>
      <c r="B3467" t="s">
        <v>55</v>
      </c>
      <c r="C3467" t="s">
        <v>3688</v>
      </c>
      <c r="D3467" t="s">
        <v>3689</v>
      </c>
      <c r="E3467" t="s">
        <v>78</v>
      </c>
      <c r="F3467" t="s">
        <v>252</v>
      </c>
      <c r="G3467">
        <v>6.3266999999999998</v>
      </c>
      <c r="H3467">
        <v>-75.768600000000006</v>
      </c>
      <c r="I3467" t="s">
        <v>3690</v>
      </c>
      <c r="J3467">
        <v>11</v>
      </c>
      <c r="M3467">
        <v>209</v>
      </c>
      <c r="N3467">
        <v>39</v>
      </c>
      <c r="O3467">
        <v>26</v>
      </c>
      <c r="P3467">
        <v>54</v>
      </c>
      <c r="Q3467">
        <v>43</v>
      </c>
      <c r="R3467">
        <v>56</v>
      </c>
    </row>
    <row r="3468" spans="1:18" x14ac:dyDescent="0.25">
      <c r="A3468" t="s">
        <v>3711</v>
      </c>
      <c r="B3468" t="s">
        <v>55</v>
      </c>
      <c r="C3468" t="s">
        <v>3688</v>
      </c>
      <c r="D3468" t="s">
        <v>3689</v>
      </c>
      <c r="E3468" t="s">
        <v>78</v>
      </c>
      <c r="F3468" t="s">
        <v>252</v>
      </c>
      <c r="G3468">
        <v>6.3266999999999998</v>
      </c>
      <c r="H3468">
        <v>-75.768600000000006</v>
      </c>
      <c r="I3468" t="s">
        <v>3690</v>
      </c>
      <c r="J3468">
        <v>11</v>
      </c>
      <c r="M3468">
        <v>208</v>
      </c>
      <c r="N3468">
        <v>51</v>
      </c>
      <c r="O3468">
        <v>34</v>
      </c>
      <c r="P3468">
        <v>40</v>
      </c>
      <c r="Q3468">
        <v>41</v>
      </c>
      <c r="R3468">
        <v>42</v>
      </c>
    </row>
    <row r="3469" spans="1:18" x14ac:dyDescent="0.25">
      <c r="A3469" t="s">
        <v>3712</v>
      </c>
      <c r="B3469" t="s">
        <v>55</v>
      </c>
      <c r="C3469" t="s">
        <v>3688</v>
      </c>
      <c r="D3469" t="s">
        <v>3689</v>
      </c>
      <c r="E3469" t="s">
        <v>78</v>
      </c>
      <c r="F3469" t="s">
        <v>252</v>
      </c>
      <c r="G3469">
        <v>6.3266999999999998</v>
      </c>
      <c r="H3469">
        <v>-75.768600000000006</v>
      </c>
      <c r="I3469" t="s">
        <v>3690</v>
      </c>
      <c r="J3469">
        <v>11</v>
      </c>
      <c r="M3469">
        <v>201</v>
      </c>
      <c r="N3469">
        <v>46</v>
      </c>
      <c r="O3469">
        <v>32</v>
      </c>
      <c r="P3469">
        <v>44</v>
      </c>
      <c r="Q3469">
        <v>33</v>
      </c>
      <c r="R3469">
        <v>58</v>
      </c>
    </row>
    <row r="3470" spans="1:18" x14ac:dyDescent="0.25">
      <c r="A3470" t="s">
        <v>3713</v>
      </c>
      <c r="B3470" t="s">
        <v>55</v>
      </c>
      <c r="C3470" t="s">
        <v>3688</v>
      </c>
      <c r="D3470" t="s">
        <v>3689</v>
      </c>
      <c r="E3470" t="s">
        <v>78</v>
      </c>
      <c r="F3470" t="s">
        <v>252</v>
      </c>
      <c r="G3470">
        <v>6.3266999999999998</v>
      </c>
      <c r="H3470">
        <v>-75.768600000000006</v>
      </c>
      <c r="I3470" t="s">
        <v>3690</v>
      </c>
      <c r="J3470">
        <v>11</v>
      </c>
      <c r="M3470">
        <v>196</v>
      </c>
      <c r="N3470">
        <v>37</v>
      </c>
      <c r="O3470">
        <v>38</v>
      </c>
      <c r="P3470">
        <v>40</v>
      </c>
      <c r="Q3470">
        <v>38</v>
      </c>
      <c r="R3470">
        <v>51</v>
      </c>
    </row>
    <row r="3471" spans="1:18" x14ac:dyDescent="0.25">
      <c r="A3471" t="s">
        <v>3714</v>
      </c>
      <c r="B3471" t="s">
        <v>55</v>
      </c>
      <c r="C3471" t="s">
        <v>3688</v>
      </c>
      <c r="D3471" t="s">
        <v>3689</v>
      </c>
      <c r="E3471" t="s">
        <v>78</v>
      </c>
      <c r="F3471" t="s">
        <v>252</v>
      </c>
      <c r="G3471">
        <v>6.3266999999999998</v>
      </c>
      <c r="H3471">
        <v>-75.768600000000006</v>
      </c>
      <c r="I3471" t="s">
        <v>3690</v>
      </c>
      <c r="J3471">
        <v>11</v>
      </c>
      <c r="M3471">
        <v>192</v>
      </c>
      <c r="N3471">
        <v>46</v>
      </c>
      <c r="O3471">
        <v>26</v>
      </c>
      <c r="P3471">
        <v>48</v>
      </c>
      <c r="Q3471">
        <v>28</v>
      </c>
      <c r="R3471">
        <v>56</v>
      </c>
    </row>
    <row r="3472" spans="1:18" x14ac:dyDescent="0.25">
      <c r="A3472" t="s">
        <v>3715</v>
      </c>
      <c r="B3472" t="s">
        <v>55</v>
      </c>
      <c r="C3472" t="s">
        <v>3688</v>
      </c>
      <c r="D3472" t="s">
        <v>3689</v>
      </c>
      <c r="E3472" t="s">
        <v>78</v>
      </c>
      <c r="F3472" t="s">
        <v>252</v>
      </c>
      <c r="G3472">
        <v>6.3266999999999998</v>
      </c>
      <c r="H3472">
        <v>-75.768600000000006</v>
      </c>
      <c r="I3472" t="s">
        <v>3690</v>
      </c>
      <c r="J3472">
        <v>11</v>
      </c>
      <c r="M3472">
        <v>189</v>
      </c>
      <c r="N3472">
        <v>46</v>
      </c>
      <c r="O3472">
        <v>22</v>
      </c>
      <c r="P3472">
        <v>42</v>
      </c>
      <c r="Q3472">
        <v>34</v>
      </c>
      <c r="R3472">
        <v>58</v>
      </c>
    </row>
    <row r="3473" spans="1:18" x14ac:dyDescent="0.25">
      <c r="A3473" t="s">
        <v>3716</v>
      </c>
      <c r="B3473" t="s">
        <v>55</v>
      </c>
      <c r="C3473" t="s">
        <v>3688</v>
      </c>
      <c r="D3473" t="s">
        <v>3689</v>
      </c>
      <c r="E3473" t="s">
        <v>78</v>
      </c>
      <c r="F3473" t="s">
        <v>252</v>
      </c>
      <c r="G3473">
        <v>6.3266999999999998</v>
      </c>
      <c r="H3473">
        <v>-75.768600000000006</v>
      </c>
      <c r="I3473" t="s">
        <v>3690</v>
      </c>
      <c r="J3473">
        <v>11</v>
      </c>
      <c r="M3473">
        <v>184</v>
      </c>
      <c r="N3473">
        <v>39</v>
      </c>
      <c r="O3473">
        <v>24</v>
      </c>
      <c r="P3473">
        <v>46</v>
      </c>
      <c r="Q3473">
        <v>38</v>
      </c>
      <c r="R3473">
        <v>38</v>
      </c>
    </row>
    <row r="3474" spans="1:18" x14ac:dyDescent="0.25">
      <c r="A3474" t="s">
        <v>3717</v>
      </c>
      <c r="B3474" t="s">
        <v>55</v>
      </c>
      <c r="C3474" t="s">
        <v>3688</v>
      </c>
      <c r="D3474" t="s">
        <v>3689</v>
      </c>
      <c r="E3474" t="s">
        <v>78</v>
      </c>
      <c r="F3474" t="s">
        <v>252</v>
      </c>
      <c r="G3474">
        <v>6.3266999999999998</v>
      </c>
      <c r="H3474">
        <v>-75.768600000000006</v>
      </c>
      <c r="I3474" t="s">
        <v>3690</v>
      </c>
      <c r="J3474">
        <v>11</v>
      </c>
      <c r="M3474">
        <v>184</v>
      </c>
      <c r="N3474">
        <v>44</v>
      </c>
      <c r="O3474">
        <v>26</v>
      </c>
      <c r="P3474">
        <v>40</v>
      </c>
      <c r="Q3474">
        <v>34</v>
      </c>
      <c r="R3474">
        <v>45</v>
      </c>
    </row>
    <row r="3475" spans="1:18" x14ac:dyDescent="0.25">
      <c r="A3475" t="s">
        <v>3718</v>
      </c>
      <c r="B3475" t="s">
        <v>55</v>
      </c>
      <c r="C3475" t="s">
        <v>3688</v>
      </c>
      <c r="D3475" t="s">
        <v>3689</v>
      </c>
      <c r="E3475" t="s">
        <v>78</v>
      </c>
      <c r="F3475" t="s">
        <v>252</v>
      </c>
      <c r="G3475">
        <v>6.3266999999999998</v>
      </c>
      <c r="H3475">
        <v>-75.768600000000006</v>
      </c>
      <c r="I3475" t="s">
        <v>3690</v>
      </c>
      <c r="J3475">
        <v>11</v>
      </c>
      <c r="M3475">
        <v>182</v>
      </c>
      <c r="N3475">
        <v>34</v>
      </c>
      <c r="O3475">
        <v>20</v>
      </c>
      <c r="P3475">
        <v>58</v>
      </c>
      <c r="Q3475">
        <v>34</v>
      </c>
      <c r="R3475">
        <v>33</v>
      </c>
    </row>
    <row r="3476" spans="1:18" x14ac:dyDescent="0.25">
      <c r="A3476" t="s">
        <v>3719</v>
      </c>
      <c r="B3476" t="s">
        <v>55</v>
      </c>
      <c r="C3476" t="s">
        <v>3688</v>
      </c>
      <c r="D3476" t="s">
        <v>3689</v>
      </c>
      <c r="E3476" t="s">
        <v>78</v>
      </c>
      <c r="F3476" t="s">
        <v>252</v>
      </c>
      <c r="G3476">
        <v>6.3266999999999998</v>
      </c>
      <c r="H3476">
        <v>-75.768600000000006</v>
      </c>
      <c r="I3476" t="s">
        <v>3690</v>
      </c>
      <c r="J3476">
        <v>11</v>
      </c>
      <c r="M3476">
        <v>180</v>
      </c>
      <c r="N3476">
        <v>51</v>
      </c>
      <c r="O3476">
        <v>32</v>
      </c>
      <c r="P3476">
        <v>40</v>
      </c>
      <c r="Q3476">
        <v>28</v>
      </c>
      <c r="R3476">
        <v>16</v>
      </c>
    </row>
    <row r="3477" spans="1:18" x14ac:dyDescent="0.25">
      <c r="A3477" t="s">
        <v>3720</v>
      </c>
      <c r="B3477" t="s">
        <v>55</v>
      </c>
      <c r="C3477" t="s">
        <v>3688</v>
      </c>
      <c r="D3477" t="s">
        <v>3689</v>
      </c>
      <c r="E3477" t="s">
        <v>78</v>
      </c>
      <c r="F3477" t="s">
        <v>252</v>
      </c>
      <c r="G3477">
        <v>6.3266999999999998</v>
      </c>
      <c r="H3477">
        <v>-75.768600000000006</v>
      </c>
      <c r="I3477" t="s">
        <v>3690</v>
      </c>
      <c r="J3477">
        <v>11</v>
      </c>
      <c r="M3477">
        <v>176</v>
      </c>
      <c r="N3477">
        <v>46</v>
      </c>
      <c r="O3477">
        <v>36</v>
      </c>
      <c r="P3477">
        <v>42</v>
      </c>
      <c r="Q3477">
        <v>19</v>
      </c>
      <c r="R3477">
        <v>27</v>
      </c>
    </row>
    <row r="3478" spans="1:18" x14ac:dyDescent="0.25">
      <c r="A3478" t="s">
        <v>3721</v>
      </c>
      <c r="B3478" t="s">
        <v>55</v>
      </c>
      <c r="C3478" t="s">
        <v>3688</v>
      </c>
      <c r="D3478" t="s">
        <v>3689</v>
      </c>
      <c r="E3478" t="s">
        <v>78</v>
      </c>
      <c r="F3478" t="s">
        <v>252</v>
      </c>
      <c r="G3478">
        <v>6.3266999999999998</v>
      </c>
      <c r="H3478">
        <v>-75.768600000000006</v>
      </c>
      <c r="I3478" t="s">
        <v>3690</v>
      </c>
      <c r="J3478">
        <v>11</v>
      </c>
      <c r="M3478">
        <v>171</v>
      </c>
      <c r="N3478">
        <v>41</v>
      </c>
      <c r="O3478">
        <v>22</v>
      </c>
      <c r="P3478">
        <v>42</v>
      </c>
      <c r="Q3478">
        <v>31</v>
      </c>
      <c r="R3478">
        <v>36</v>
      </c>
    </row>
    <row r="3479" spans="1:18" x14ac:dyDescent="0.25">
      <c r="A3479" t="s">
        <v>3722</v>
      </c>
      <c r="B3479" t="s">
        <v>55</v>
      </c>
      <c r="C3479" t="s">
        <v>3688</v>
      </c>
      <c r="D3479" t="s">
        <v>3689</v>
      </c>
      <c r="E3479" t="s">
        <v>78</v>
      </c>
      <c r="F3479" t="s">
        <v>252</v>
      </c>
      <c r="G3479">
        <v>6.3266999999999998</v>
      </c>
      <c r="H3479">
        <v>-75.768600000000006</v>
      </c>
      <c r="I3479" t="s">
        <v>3690</v>
      </c>
      <c r="J3479">
        <v>11</v>
      </c>
      <c r="M3479">
        <v>133</v>
      </c>
      <c r="N3479">
        <v>32</v>
      </c>
      <c r="O3479">
        <v>18</v>
      </c>
      <c r="P3479">
        <v>44</v>
      </c>
      <c r="Q3479">
        <v>16</v>
      </c>
      <c r="R3479">
        <v>18</v>
      </c>
    </row>
    <row r="3480" spans="1:18" x14ac:dyDescent="0.25">
      <c r="A3480" t="s">
        <v>3723</v>
      </c>
      <c r="B3480" t="s">
        <v>55</v>
      </c>
      <c r="C3480" t="s">
        <v>3688</v>
      </c>
      <c r="D3480" t="s">
        <v>3689</v>
      </c>
      <c r="E3480" t="s">
        <v>78</v>
      </c>
      <c r="F3480" t="s">
        <v>252</v>
      </c>
      <c r="G3480">
        <v>6.3266999999999998</v>
      </c>
      <c r="H3480">
        <v>-75.768600000000006</v>
      </c>
      <c r="I3480" t="s">
        <v>3690</v>
      </c>
      <c r="J3480">
        <v>11</v>
      </c>
      <c r="M3480">
        <v>126</v>
      </c>
      <c r="N3480">
        <v>29</v>
      </c>
      <c r="O3480">
        <v>22</v>
      </c>
      <c r="P3480">
        <v>22</v>
      </c>
      <c r="Q3480">
        <v>26</v>
      </c>
      <c r="R3480">
        <v>29</v>
      </c>
    </row>
    <row r="3481" spans="1:18" x14ac:dyDescent="0.25">
      <c r="A3481" t="s">
        <v>3724</v>
      </c>
      <c r="B3481" t="s">
        <v>55</v>
      </c>
      <c r="C3481" t="s">
        <v>3688</v>
      </c>
      <c r="D3481" t="s">
        <v>3689</v>
      </c>
      <c r="E3481" t="s">
        <v>78</v>
      </c>
      <c r="F3481" t="s">
        <v>252</v>
      </c>
      <c r="G3481">
        <v>6.3266999999999998</v>
      </c>
      <c r="H3481">
        <v>-75.768600000000006</v>
      </c>
      <c r="I3481" t="s">
        <v>3690</v>
      </c>
      <c r="J3481">
        <v>11</v>
      </c>
      <c r="M3481">
        <v>99</v>
      </c>
      <c r="N3481">
        <v>37</v>
      </c>
      <c r="O3481">
        <v>16</v>
      </c>
      <c r="P3481">
        <v>16</v>
      </c>
      <c r="Q3481">
        <v>17</v>
      </c>
      <c r="R3481">
        <v>0</v>
      </c>
    </row>
    <row r="3482" spans="1:18" x14ac:dyDescent="0.25">
      <c r="A3482" t="s">
        <v>3725</v>
      </c>
      <c r="B3482" t="s">
        <v>55</v>
      </c>
      <c r="C3482" t="s">
        <v>3688</v>
      </c>
      <c r="D3482" t="s">
        <v>3689</v>
      </c>
      <c r="E3482" t="s">
        <v>78</v>
      </c>
      <c r="F3482" t="s">
        <v>252</v>
      </c>
      <c r="G3482">
        <v>6.3266999999999998</v>
      </c>
      <c r="H3482">
        <v>-75.768600000000006</v>
      </c>
      <c r="I3482" t="s">
        <v>3690</v>
      </c>
      <c r="J3482">
        <v>11</v>
      </c>
      <c r="M3482">
        <v>85</v>
      </c>
      <c r="N3482">
        <v>0</v>
      </c>
      <c r="O3482">
        <v>16</v>
      </c>
      <c r="P3482">
        <v>20</v>
      </c>
      <c r="Q3482">
        <v>16</v>
      </c>
      <c r="R3482">
        <v>67</v>
      </c>
    </row>
    <row r="3483" spans="1:18" x14ac:dyDescent="0.25">
      <c r="A3483" t="s">
        <v>3726</v>
      </c>
      <c r="B3483" t="s">
        <v>55</v>
      </c>
      <c r="C3483" t="s">
        <v>3727</v>
      </c>
      <c r="D3483" t="s">
        <v>3728</v>
      </c>
      <c r="E3483" t="s">
        <v>78</v>
      </c>
      <c r="F3483" t="s">
        <v>252</v>
      </c>
      <c r="G3483">
        <v>6.5861000000000001</v>
      </c>
      <c r="H3483">
        <v>-76.886399999999995</v>
      </c>
      <c r="I3483" t="s">
        <v>3729</v>
      </c>
      <c r="J3483">
        <v>11</v>
      </c>
      <c r="M3483">
        <v>212</v>
      </c>
      <c r="N3483">
        <v>51</v>
      </c>
      <c r="O3483">
        <v>26</v>
      </c>
      <c r="P3483">
        <v>54</v>
      </c>
      <c r="Q3483">
        <v>40</v>
      </c>
      <c r="R3483">
        <v>38</v>
      </c>
    </row>
    <row r="3484" spans="1:18" x14ac:dyDescent="0.25">
      <c r="A3484" t="s">
        <v>3730</v>
      </c>
      <c r="B3484" t="s">
        <v>55</v>
      </c>
      <c r="C3484" t="s">
        <v>3727</v>
      </c>
      <c r="D3484" t="s">
        <v>3728</v>
      </c>
      <c r="E3484" t="s">
        <v>78</v>
      </c>
      <c r="F3484" t="s">
        <v>252</v>
      </c>
      <c r="G3484">
        <v>6.5861000000000001</v>
      </c>
      <c r="H3484">
        <v>-76.886399999999995</v>
      </c>
      <c r="I3484" t="s">
        <v>3729</v>
      </c>
      <c r="J3484">
        <v>11</v>
      </c>
      <c r="M3484">
        <v>193</v>
      </c>
      <c r="N3484">
        <v>46</v>
      </c>
      <c r="O3484">
        <v>30</v>
      </c>
      <c r="P3484">
        <v>38</v>
      </c>
      <c r="Q3484">
        <v>36</v>
      </c>
      <c r="R3484">
        <v>49</v>
      </c>
    </row>
    <row r="3485" spans="1:18" x14ac:dyDescent="0.25">
      <c r="A3485" t="s">
        <v>3731</v>
      </c>
      <c r="B3485" t="s">
        <v>55</v>
      </c>
      <c r="C3485" t="s">
        <v>3727</v>
      </c>
      <c r="D3485" t="s">
        <v>3728</v>
      </c>
      <c r="E3485" t="s">
        <v>78</v>
      </c>
      <c r="F3485" t="s">
        <v>252</v>
      </c>
      <c r="G3485">
        <v>6.5861000000000001</v>
      </c>
      <c r="H3485">
        <v>-76.886399999999995</v>
      </c>
      <c r="I3485" t="s">
        <v>3729</v>
      </c>
      <c r="J3485">
        <v>11</v>
      </c>
      <c r="M3485">
        <v>185</v>
      </c>
      <c r="N3485">
        <v>44</v>
      </c>
      <c r="O3485">
        <v>40</v>
      </c>
      <c r="P3485">
        <v>34</v>
      </c>
      <c r="Q3485">
        <v>29</v>
      </c>
      <c r="R3485">
        <v>38</v>
      </c>
    </row>
    <row r="3486" spans="1:18" x14ac:dyDescent="0.25">
      <c r="A3486" t="s">
        <v>3732</v>
      </c>
      <c r="B3486" t="s">
        <v>55</v>
      </c>
      <c r="C3486" t="s">
        <v>3727</v>
      </c>
      <c r="D3486" t="s">
        <v>3728</v>
      </c>
      <c r="E3486" t="s">
        <v>78</v>
      </c>
      <c r="F3486" t="s">
        <v>252</v>
      </c>
      <c r="G3486">
        <v>6.5861000000000001</v>
      </c>
      <c r="H3486">
        <v>-76.886399999999995</v>
      </c>
      <c r="I3486" t="s">
        <v>3729</v>
      </c>
      <c r="J3486">
        <v>11</v>
      </c>
      <c r="M3486">
        <v>179</v>
      </c>
      <c r="N3486">
        <v>41</v>
      </c>
      <c r="O3486">
        <v>32</v>
      </c>
      <c r="P3486">
        <v>40</v>
      </c>
      <c r="Q3486">
        <v>31</v>
      </c>
      <c r="R3486">
        <v>33</v>
      </c>
    </row>
    <row r="3487" spans="1:18" x14ac:dyDescent="0.25">
      <c r="A3487" t="s">
        <v>3733</v>
      </c>
      <c r="B3487" t="s">
        <v>55</v>
      </c>
      <c r="C3487" t="s">
        <v>3727</v>
      </c>
      <c r="D3487" t="s">
        <v>3728</v>
      </c>
      <c r="E3487" t="s">
        <v>78</v>
      </c>
      <c r="F3487" t="s">
        <v>252</v>
      </c>
      <c r="G3487">
        <v>6.5861000000000001</v>
      </c>
      <c r="H3487">
        <v>-76.886399999999995</v>
      </c>
      <c r="I3487" t="s">
        <v>3729</v>
      </c>
      <c r="J3487">
        <v>11</v>
      </c>
      <c r="M3487">
        <v>175</v>
      </c>
      <c r="N3487">
        <v>56</v>
      </c>
      <c r="O3487">
        <v>28</v>
      </c>
      <c r="P3487">
        <v>40</v>
      </c>
      <c r="Q3487">
        <v>17</v>
      </c>
      <c r="R3487">
        <v>31</v>
      </c>
    </row>
    <row r="3488" spans="1:18" x14ac:dyDescent="0.25">
      <c r="A3488" t="s">
        <v>3734</v>
      </c>
      <c r="B3488" t="s">
        <v>55</v>
      </c>
      <c r="C3488" t="s">
        <v>3727</v>
      </c>
      <c r="D3488" t="s">
        <v>3728</v>
      </c>
      <c r="E3488" t="s">
        <v>78</v>
      </c>
      <c r="F3488" t="s">
        <v>252</v>
      </c>
      <c r="G3488">
        <v>6.5861000000000001</v>
      </c>
      <c r="H3488">
        <v>-76.886399999999995</v>
      </c>
      <c r="I3488" t="s">
        <v>3729</v>
      </c>
      <c r="J3488">
        <v>11</v>
      </c>
      <c r="M3488">
        <v>169</v>
      </c>
      <c r="N3488">
        <v>39</v>
      </c>
      <c r="O3488">
        <v>24</v>
      </c>
      <c r="P3488">
        <v>40</v>
      </c>
      <c r="Q3488">
        <v>28</v>
      </c>
      <c r="R3488">
        <v>47</v>
      </c>
    </row>
    <row r="3489" spans="1:18" x14ac:dyDescent="0.25">
      <c r="A3489" t="s">
        <v>3735</v>
      </c>
      <c r="B3489" t="s">
        <v>55</v>
      </c>
      <c r="C3489" t="s">
        <v>3727</v>
      </c>
      <c r="D3489" t="s">
        <v>3728</v>
      </c>
      <c r="E3489" t="s">
        <v>78</v>
      </c>
      <c r="F3489" t="s">
        <v>252</v>
      </c>
      <c r="G3489">
        <v>6.5861000000000001</v>
      </c>
      <c r="H3489">
        <v>-76.886399999999995</v>
      </c>
      <c r="I3489" t="s">
        <v>3729</v>
      </c>
      <c r="J3489">
        <v>11</v>
      </c>
      <c r="M3489">
        <v>169</v>
      </c>
      <c r="N3489">
        <v>24</v>
      </c>
      <c r="O3489">
        <v>26</v>
      </c>
      <c r="P3489">
        <v>52</v>
      </c>
      <c r="Q3489">
        <v>28</v>
      </c>
      <c r="R3489">
        <v>49</v>
      </c>
    </row>
    <row r="3490" spans="1:18" x14ac:dyDescent="0.25">
      <c r="A3490" t="s">
        <v>3736</v>
      </c>
      <c r="B3490" t="s">
        <v>55</v>
      </c>
      <c r="C3490" t="s">
        <v>3727</v>
      </c>
      <c r="D3490" t="s">
        <v>3728</v>
      </c>
      <c r="E3490" t="s">
        <v>78</v>
      </c>
      <c r="F3490" t="s">
        <v>252</v>
      </c>
      <c r="G3490">
        <v>6.5861000000000001</v>
      </c>
      <c r="H3490">
        <v>-76.886399999999995</v>
      </c>
      <c r="I3490" t="s">
        <v>3729</v>
      </c>
      <c r="J3490">
        <v>11</v>
      </c>
      <c r="M3490">
        <v>161</v>
      </c>
      <c r="N3490">
        <v>39</v>
      </c>
      <c r="O3490">
        <v>28</v>
      </c>
      <c r="P3490">
        <v>34</v>
      </c>
      <c r="Q3490">
        <v>28</v>
      </c>
      <c r="R3490">
        <v>33</v>
      </c>
    </row>
    <row r="3491" spans="1:18" x14ac:dyDescent="0.25">
      <c r="A3491" t="s">
        <v>3737</v>
      </c>
      <c r="B3491" t="s">
        <v>55</v>
      </c>
      <c r="C3491" t="s">
        <v>3727</v>
      </c>
      <c r="D3491" t="s">
        <v>3728</v>
      </c>
      <c r="E3491" t="s">
        <v>78</v>
      </c>
      <c r="F3491" t="s">
        <v>252</v>
      </c>
      <c r="G3491">
        <v>6.5861000000000001</v>
      </c>
      <c r="H3491">
        <v>-76.886399999999995</v>
      </c>
      <c r="I3491" t="s">
        <v>3729</v>
      </c>
      <c r="J3491">
        <v>11</v>
      </c>
      <c r="M3491">
        <v>160</v>
      </c>
      <c r="N3491">
        <v>29</v>
      </c>
      <c r="O3491">
        <v>26</v>
      </c>
      <c r="P3491">
        <v>48</v>
      </c>
      <c r="Q3491">
        <v>22</v>
      </c>
      <c r="R3491">
        <v>40</v>
      </c>
    </row>
    <row r="3492" spans="1:18" x14ac:dyDescent="0.25">
      <c r="A3492" t="s">
        <v>3738</v>
      </c>
      <c r="B3492" t="s">
        <v>55</v>
      </c>
      <c r="C3492" t="s">
        <v>3727</v>
      </c>
      <c r="D3492" t="s">
        <v>3728</v>
      </c>
      <c r="E3492" t="s">
        <v>78</v>
      </c>
      <c r="F3492" t="s">
        <v>252</v>
      </c>
      <c r="G3492">
        <v>6.5861000000000001</v>
      </c>
      <c r="H3492">
        <v>-76.886399999999995</v>
      </c>
      <c r="I3492" t="s">
        <v>3729</v>
      </c>
      <c r="J3492">
        <v>11</v>
      </c>
      <c r="M3492">
        <v>154</v>
      </c>
      <c r="N3492">
        <v>41</v>
      </c>
      <c r="O3492">
        <v>26</v>
      </c>
      <c r="P3492">
        <v>28</v>
      </c>
      <c r="Q3492">
        <v>29</v>
      </c>
      <c r="R3492">
        <v>27</v>
      </c>
    </row>
    <row r="3493" spans="1:18" x14ac:dyDescent="0.25">
      <c r="A3493" t="s">
        <v>3739</v>
      </c>
      <c r="B3493" t="s">
        <v>55</v>
      </c>
      <c r="C3493" t="s">
        <v>3727</v>
      </c>
      <c r="D3493" t="s">
        <v>3728</v>
      </c>
      <c r="E3493" t="s">
        <v>78</v>
      </c>
      <c r="F3493" t="s">
        <v>252</v>
      </c>
      <c r="G3493">
        <v>6.5861000000000001</v>
      </c>
      <c r="H3493">
        <v>-76.886399999999995</v>
      </c>
      <c r="I3493" t="s">
        <v>3729</v>
      </c>
      <c r="J3493">
        <v>11</v>
      </c>
      <c r="M3493">
        <v>148</v>
      </c>
      <c r="N3493">
        <v>37</v>
      </c>
      <c r="O3493">
        <v>18</v>
      </c>
      <c r="P3493">
        <v>36</v>
      </c>
      <c r="Q3493">
        <v>28</v>
      </c>
      <c r="R3493">
        <v>31</v>
      </c>
    </row>
    <row r="3494" spans="1:18" x14ac:dyDescent="0.25">
      <c r="A3494" t="s">
        <v>3740</v>
      </c>
      <c r="B3494" t="s">
        <v>55</v>
      </c>
      <c r="C3494" t="s">
        <v>3727</v>
      </c>
      <c r="D3494" t="s">
        <v>3728</v>
      </c>
      <c r="E3494" t="s">
        <v>78</v>
      </c>
      <c r="F3494" t="s">
        <v>252</v>
      </c>
      <c r="G3494">
        <v>6.5861000000000001</v>
      </c>
      <c r="H3494">
        <v>-76.886399999999995</v>
      </c>
      <c r="I3494" t="s">
        <v>3729</v>
      </c>
      <c r="J3494">
        <v>11</v>
      </c>
      <c r="M3494">
        <v>147</v>
      </c>
      <c r="N3494">
        <v>41</v>
      </c>
      <c r="O3494">
        <v>26</v>
      </c>
      <c r="P3494">
        <v>26</v>
      </c>
      <c r="Q3494">
        <v>19</v>
      </c>
      <c r="R3494">
        <v>45</v>
      </c>
    </row>
    <row r="3495" spans="1:18" x14ac:dyDescent="0.25">
      <c r="A3495" t="s">
        <v>3741</v>
      </c>
      <c r="B3495" t="s">
        <v>55</v>
      </c>
      <c r="C3495" t="s">
        <v>3727</v>
      </c>
      <c r="D3495" t="s">
        <v>3728</v>
      </c>
      <c r="E3495" t="s">
        <v>78</v>
      </c>
      <c r="F3495" t="s">
        <v>252</v>
      </c>
      <c r="G3495">
        <v>6.5861000000000001</v>
      </c>
      <c r="H3495">
        <v>-76.886399999999995</v>
      </c>
      <c r="I3495" t="s">
        <v>3729</v>
      </c>
      <c r="J3495">
        <v>11</v>
      </c>
      <c r="M3495">
        <v>142</v>
      </c>
      <c r="N3495">
        <v>39</v>
      </c>
      <c r="O3495">
        <v>22</v>
      </c>
      <c r="P3495">
        <v>26</v>
      </c>
      <c r="Q3495">
        <v>22</v>
      </c>
      <c r="R3495">
        <v>40</v>
      </c>
    </row>
    <row r="3496" spans="1:18" x14ac:dyDescent="0.25">
      <c r="A3496" t="s">
        <v>3742</v>
      </c>
      <c r="B3496" t="s">
        <v>55</v>
      </c>
      <c r="C3496" t="s">
        <v>3727</v>
      </c>
      <c r="D3496" t="s">
        <v>3728</v>
      </c>
      <c r="E3496" t="s">
        <v>78</v>
      </c>
      <c r="F3496" t="s">
        <v>252</v>
      </c>
      <c r="G3496">
        <v>6.5861000000000001</v>
      </c>
      <c r="H3496">
        <v>-76.886399999999995</v>
      </c>
      <c r="I3496" t="s">
        <v>3729</v>
      </c>
      <c r="J3496">
        <v>11</v>
      </c>
      <c r="M3496">
        <v>141</v>
      </c>
      <c r="N3496">
        <v>32</v>
      </c>
      <c r="O3496">
        <v>14</v>
      </c>
      <c r="P3496">
        <v>34</v>
      </c>
      <c r="Q3496">
        <v>36</v>
      </c>
      <c r="R3496">
        <v>20</v>
      </c>
    </row>
    <row r="3497" spans="1:18" x14ac:dyDescent="0.25">
      <c r="A3497" t="s">
        <v>3743</v>
      </c>
      <c r="B3497" t="s">
        <v>55</v>
      </c>
      <c r="C3497" t="s">
        <v>3727</v>
      </c>
      <c r="D3497" t="s">
        <v>3728</v>
      </c>
      <c r="E3497" t="s">
        <v>78</v>
      </c>
      <c r="F3497" t="s">
        <v>252</v>
      </c>
      <c r="G3497">
        <v>6.5861000000000001</v>
      </c>
      <c r="H3497">
        <v>-76.886399999999995</v>
      </c>
      <c r="I3497" t="s">
        <v>3729</v>
      </c>
      <c r="J3497">
        <v>11</v>
      </c>
      <c r="M3497">
        <v>141</v>
      </c>
      <c r="N3497">
        <v>34</v>
      </c>
      <c r="O3497">
        <v>20</v>
      </c>
      <c r="P3497">
        <v>30</v>
      </c>
      <c r="Q3497">
        <v>24</v>
      </c>
      <c r="R3497">
        <v>42</v>
      </c>
    </row>
    <row r="3498" spans="1:18" x14ac:dyDescent="0.25">
      <c r="A3498" t="s">
        <v>3744</v>
      </c>
      <c r="B3498" t="s">
        <v>55</v>
      </c>
      <c r="C3498" t="s">
        <v>3727</v>
      </c>
      <c r="D3498" t="s">
        <v>3728</v>
      </c>
      <c r="E3498" t="s">
        <v>78</v>
      </c>
      <c r="F3498" t="s">
        <v>252</v>
      </c>
      <c r="G3498">
        <v>6.5861000000000001</v>
      </c>
      <c r="H3498">
        <v>-76.886399999999995</v>
      </c>
      <c r="I3498" t="s">
        <v>3729</v>
      </c>
      <c r="J3498">
        <v>11</v>
      </c>
      <c r="M3498">
        <v>141</v>
      </c>
      <c r="N3498">
        <v>44</v>
      </c>
      <c r="O3498">
        <v>22</v>
      </c>
      <c r="P3498">
        <v>18</v>
      </c>
      <c r="Q3498">
        <v>24</v>
      </c>
      <c r="R3498">
        <v>42</v>
      </c>
    </row>
    <row r="3499" spans="1:18" x14ac:dyDescent="0.25">
      <c r="A3499" t="s">
        <v>3745</v>
      </c>
      <c r="B3499" t="s">
        <v>55</v>
      </c>
      <c r="C3499" t="s">
        <v>3727</v>
      </c>
      <c r="D3499" t="s">
        <v>3728</v>
      </c>
      <c r="E3499" t="s">
        <v>78</v>
      </c>
      <c r="F3499" t="s">
        <v>252</v>
      </c>
      <c r="G3499">
        <v>6.5861000000000001</v>
      </c>
      <c r="H3499">
        <v>-76.886399999999995</v>
      </c>
      <c r="I3499" t="s">
        <v>3729</v>
      </c>
      <c r="J3499">
        <v>11</v>
      </c>
      <c r="M3499">
        <v>138</v>
      </c>
      <c r="N3499">
        <v>29</v>
      </c>
      <c r="O3499">
        <v>26</v>
      </c>
      <c r="P3499">
        <v>32</v>
      </c>
      <c r="Q3499">
        <v>26</v>
      </c>
      <c r="R3499">
        <v>18</v>
      </c>
    </row>
    <row r="3500" spans="1:18" x14ac:dyDescent="0.25">
      <c r="A3500" t="s">
        <v>3746</v>
      </c>
      <c r="B3500" t="s">
        <v>55</v>
      </c>
      <c r="C3500" t="s">
        <v>3727</v>
      </c>
      <c r="D3500" t="s">
        <v>3728</v>
      </c>
      <c r="E3500" t="s">
        <v>78</v>
      </c>
      <c r="F3500" t="s">
        <v>252</v>
      </c>
      <c r="G3500">
        <v>6.5861000000000001</v>
      </c>
      <c r="H3500">
        <v>-76.886399999999995</v>
      </c>
      <c r="I3500" t="s">
        <v>3729</v>
      </c>
      <c r="J3500">
        <v>11</v>
      </c>
      <c r="M3500">
        <v>137</v>
      </c>
      <c r="N3500">
        <v>32</v>
      </c>
      <c r="O3500">
        <v>28</v>
      </c>
      <c r="P3500">
        <v>18</v>
      </c>
      <c r="Q3500">
        <v>31</v>
      </c>
      <c r="R3500">
        <v>31</v>
      </c>
    </row>
    <row r="3501" spans="1:18" x14ac:dyDescent="0.25">
      <c r="A3501" t="s">
        <v>3747</v>
      </c>
      <c r="B3501" t="s">
        <v>55</v>
      </c>
      <c r="C3501" t="s">
        <v>3727</v>
      </c>
      <c r="D3501" t="s">
        <v>3728</v>
      </c>
      <c r="E3501" t="s">
        <v>78</v>
      </c>
      <c r="F3501" t="s">
        <v>252</v>
      </c>
      <c r="G3501">
        <v>6.5861000000000001</v>
      </c>
      <c r="H3501">
        <v>-76.886399999999995</v>
      </c>
      <c r="I3501" t="s">
        <v>3729</v>
      </c>
      <c r="J3501">
        <v>11</v>
      </c>
      <c r="M3501">
        <v>133</v>
      </c>
      <c r="N3501">
        <v>37</v>
      </c>
      <c r="O3501">
        <v>22</v>
      </c>
      <c r="P3501">
        <v>20</v>
      </c>
      <c r="Q3501">
        <v>24</v>
      </c>
      <c r="R3501">
        <v>36</v>
      </c>
    </row>
    <row r="3502" spans="1:18" x14ac:dyDescent="0.25">
      <c r="A3502" t="s">
        <v>3748</v>
      </c>
      <c r="B3502" t="s">
        <v>55</v>
      </c>
      <c r="C3502" t="s">
        <v>3727</v>
      </c>
      <c r="D3502" t="s">
        <v>3728</v>
      </c>
      <c r="E3502" t="s">
        <v>78</v>
      </c>
      <c r="F3502" t="s">
        <v>252</v>
      </c>
      <c r="G3502">
        <v>6.5861000000000001</v>
      </c>
      <c r="H3502">
        <v>-76.886399999999995</v>
      </c>
      <c r="I3502" t="s">
        <v>3729</v>
      </c>
      <c r="J3502">
        <v>11</v>
      </c>
      <c r="M3502">
        <v>132</v>
      </c>
      <c r="N3502">
        <v>32</v>
      </c>
      <c r="O3502">
        <v>22</v>
      </c>
      <c r="P3502">
        <v>28</v>
      </c>
      <c r="Q3502">
        <v>22</v>
      </c>
      <c r="R3502">
        <v>31</v>
      </c>
    </row>
    <row r="3503" spans="1:18" x14ac:dyDescent="0.25">
      <c r="A3503" t="s">
        <v>3749</v>
      </c>
      <c r="B3503" t="s">
        <v>55</v>
      </c>
      <c r="C3503" t="s">
        <v>3727</v>
      </c>
      <c r="D3503" t="s">
        <v>3728</v>
      </c>
      <c r="E3503" t="s">
        <v>78</v>
      </c>
      <c r="F3503" t="s">
        <v>252</v>
      </c>
      <c r="G3503">
        <v>6.5861000000000001</v>
      </c>
      <c r="H3503">
        <v>-76.886399999999995</v>
      </c>
      <c r="I3503" t="s">
        <v>3729</v>
      </c>
      <c r="J3503">
        <v>11</v>
      </c>
      <c r="M3503">
        <v>131</v>
      </c>
      <c r="N3503">
        <v>27</v>
      </c>
      <c r="O3503">
        <v>24</v>
      </c>
      <c r="P3503">
        <v>22</v>
      </c>
      <c r="Q3503">
        <v>26</v>
      </c>
      <c r="R3503">
        <v>45</v>
      </c>
    </row>
    <row r="3504" spans="1:18" x14ac:dyDescent="0.25">
      <c r="A3504" t="s">
        <v>3750</v>
      </c>
      <c r="B3504" t="s">
        <v>55</v>
      </c>
      <c r="C3504" t="s">
        <v>3727</v>
      </c>
      <c r="D3504" t="s">
        <v>3728</v>
      </c>
      <c r="E3504" t="s">
        <v>78</v>
      </c>
      <c r="F3504" t="s">
        <v>252</v>
      </c>
      <c r="G3504">
        <v>6.5861000000000001</v>
      </c>
      <c r="H3504">
        <v>-76.886399999999995</v>
      </c>
      <c r="I3504" t="s">
        <v>3729</v>
      </c>
      <c r="J3504">
        <v>11</v>
      </c>
      <c r="M3504">
        <v>131</v>
      </c>
      <c r="N3504">
        <v>32</v>
      </c>
      <c r="O3504">
        <v>28</v>
      </c>
      <c r="P3504">
        <v>22</v>
      </c>
      <c r="Q3504">
        <v>21</v>
      </c>
      <c r="R3504">
        <v>33</v>
      </c>
    </row>
    <row r="3505" spans="1:18" x14ac:dyDescent="0.25">
      <c r="A3505" t="s">
        <v>3751</v>
      </c>
      <c r="B3505" t="s">
        <v>55</v>
      </c>
      <c r="C3505" t="s">
        <v>3727</v>
      </c>
      <c r="D3505" t="s">
        <v>3728</v>
      </c>
      <c r="E3505" t="s">
        <v>78</v>
      </c>
      <c r="F3505" t="s">
        <v>252</v>
      </c>
      <c r="G3505">
        <v>6.5861000000000001</v>
      </c>
      <c r="H3505">
        <v>-76.886399999999995</v>
      </c>
      <c r="I3505" t="s">
        <v>3729</v>
      </c>
      <c r="J3505">
        <v>11</v>
      </c>
      <c r="M3505">
        <v>130</v>
      </c>
      <c r="N3505">
        <v>20</v>
      </c>
      <c r="O3505">
        <v>16</v>
      </c>
      <c r="P3505">
        <v>32</v>
      </c>
      <c r="Q3505">
        <v>34</v>
      </c>
      <c r="R3505">
        <v>31</v>
      </c>
    </row>
    <row r="3506" spans="1:18" x14ac:dyDescent="0.25">
      <c r="A3506" t="s">
        <v>3752</v>
      </c>
      <c r="B3506" t="s">
        <v>55</v>
      </c>
      <c r="C3506" t="s">
        <v>3727</v>
      </c>
      <c r="D3506" t="s">
        <v>3728</v>
      </c>
      <c r="E3506" t="s">
        <v>78</v>
      </c>
      <c r="F3506" t="s">
        <v>252</v>
      </c>
      <c r="G3506">
        <v>6.5861000000000001</v>
      </c>
      <c r="H3506">
        <v>-76.886399999999995</v>
      </c>
      <c r="I3506" t="s">
        <v>3729</v>
      </c>
      <c r="J3506">
        <v>11</v>
      </c>
      <c r="M3506">
        <v>129</v>
      </c>
      <c r="N3506">
        <v>32</v>
      </c>
      <c r="O3506">
        <v>28</v>
      </c>
      <c r="P3506">
        <v>22</v>
      </c>
      <c r="Q3506">
        <v>12</v>
      </c>
      <c r="R3506">
        <v>55</v>
      </c>
    </row>
    <row r="3507" spans="1:18" x14ac:dyDescent="0.25">
      <c r="A3507" t="s">
        <v>3753</v>
      </c>
      <c r="B3507" t="s">
        <v>55</v>
      </c>
      <c r="C3507" t="s">
        <v>3727</v>
      </c>
      <c r="D3507" t="s">
        <v>3728</v>
      </c>
      <c r="E3507" t="s">
        <v>78</v>
      </c>
      <c r="F3507" t="s">
        <v>252</v>
      </c>
      <c r="G3507">
        <v>6.5861000000000001</v>
      </c>
      <c r="H3507">
        <v>-76.886399999999995</v>
      </c>
      <c r="I3507" t="s">
        <v>3729</v>
      </c>
      <c r="J3507">
        <v>11</v>
      </c>
      <c r="M3507">
        <v>126</v>
      </c>
      <c r="N3507">
        <v>22</v>
      </c>
      <c r="O3507">
        <v>24</v>
      </c>
      <c r="P3507">
        <v>26</v>
      </c>
      <c r="Q3507">
        <v>21</v>
      </c>
      <c r="R3507">
        <v>51</v>
      </c>
    </row>
    <row r="3508" spans="1:18" x14ac:dyDescent="0.25">
      <c r="A3508" t="s">
        <v>3754</v>
      </c>
      <c r="B3508" t="s">
        <v>55</v>
      </c>
      <c r="C3508" t="s">
        <v>3727</v>
      </c>
      <c r="D3508" t="s">
        <v>3728</v>
      </c>
      <c r="E3508" t="s">
        <v>78</v>
      </c>
      <c r="F3508" t="s">
        <v>252</v>
      </c>
      <c r="G3508">
        <v>6.5861000000000001</v>
      </c>
      <c r="H3508">
        <v>-76.886399999999995</v>
      </c>
      <c r="I3508" t="s">
        <v>3729</v>
      </c>
      <c r="J3508">
        <v>11</v>
      </c>
      <c r="M3508">
        <v>121</v>
      </c>
      <c r="N3508">
        <v>34</v>
      </c>
      <c r="O3508">
        <v>16</v>
      </c>
      <c r="P3508">
        <v>26</v>
      </c>
      <c r="Q3508">
        <v>19</v>
      </c>
      <c r="R3508">
        <v>29</v>
      </c>
    </row>
    <row r="3509" spans="1:18" x14ac:dyDescent="0.25">
      <c r="A3509" t="s">
        <v>3755</v>
      </c>
      <c r="B3509" t="s">
        <v>55</v>
      </c>
      <c r="C3509" t="s">
        <v>3727</v>
      </c>
      <c r="D3509" t="s">
        <v>3728</v>
      </c>
      <c r="E3509" t="s">
        <v>78</v>
      </c>
      <c r="F3509" t="s">
        <v>252</v>
      </c>
      <c r="G3509">
        <v>6.5861000000000001</v>
      </c>
      <c r="H3509">
        <v>-76.886399999999995</v>
      </c>
      <c r="I3509" t="s">
        <v>3729</v>
      </c>
      <c r="J3509">
        <v>11</v>
      </c>
      <c r="M3509">
        <v>120</v>
      </c>
      <c r="N3509">
        <v>32</v>
      </c>
      <c r="O3509">
        <v>18</v>
      </c>
      <c r="P3509">
        <v>22</v>
      </c>
      <c r="Q3509">
        <v>22</v>
      </c>
      <c r="R3509">
        <v>31</v>
      </c>
    </row>
    <row r="3510" spans="1:18" x14ac:dyDescent="0.25">
      <c r="A3510" t="s">
        <v>3756</v>
      </c>
      <c r="B3510" t="s">
        <v>55</v>
      </c>
      <c r="C3510" t="s">
        <v>3727</v>
      </c>
      <c r="D3510" t="s">
        <v>3728</v>
      </c>
      <c r="E3510" t="s">
        <v>78</v>
      </c>
      <c r="F3510" t="s">
        <v>252</v>
      </c>
      <c r="G3510">
        <v>6.5861000000000001</v>
      </c>
      <c r="H3510">
        <v>-76.886399999999995</v>
      </c>
      <c r="I3510" t="s">
        <v>3729</v>
      </c>
      <c r="J3510">
        <v>11</v>
      </c>
      <c r="M3510">
        <v>120</v>
      </c>
      <c r="N3510">
        <v>24</v>
      </c>
      <c r="O3510">
        <v>22</v>
      </c>
      <c r="P3510">
        <v>30</v>
      </c>
      <c r="Q3510">
        <v>21</v>
      </c>
      <c r="R3510">
        <v>22</v>
      </c>
    </row>
    <row r="3511" spans="1:18" x14ac:dyDescent="0.25">
      <c r="A3511" t="s">
        <v>3757</v>
      </c>
      <c r="B3511" t="s">
        <v>55</v>
      </c>
      <c r="C3511" t="s">
        <v>3727</v>
      </c>
      <c r="D3511" t="s">
        <v>3728</v>
      </c>
      <c r="E3511" t="s">
        <v>78</v>
      </c>
      <c r="F3511" t="s">
        <v>252</v>
      </c>
      <c r="G3511">
        <v>6.5861000000000001</v>
      </c>
      <c r="H3511">
        <v>-76.886399999999995</v>
      </c>
      <c r="I3511" t="s">
        <v>3729</v>
      </c>
      <c r="J3511">
        <v>11</v>
      </c>
      <c r="M3511">
        <v>120</v>
      </c>
      <c r="N3511">
        <v>39</v>
      </c>
      <c r="O3511">
        <v>16</v>
      </c>
      <c r="P3511">
        <v>18</v>
      </c>
      <c r="Q3511">
        <v>12</v>
      </c>
      <c r="R3511">
        <v>56</v>
      </c>
    </row>
    <row r="3512" spans="1:18" x14ac:dyDescent="0.25">
      <c r="A3512" t="s">
        <v>3758</v>
      </c>
      <c r="B3512" t="s">
        <v>55</v>
      </c>
      <c r="C3512" t="s">
        <v>3727</v>
      </c>
      <c r="D3512" t="s">
        <v>3728</v>
      </c>
      <c r="E3512" t="s">
        <v>78</v>
      </c>
      <c r="F3512" t="s">
        <v>252</v>
      </c>
      <c r="G3512">
        <v>6.5861000000000001</v>
      </c>
      <c r="H3512">
        <v>-76.886399999999995</v>
      </c>
      <c r="I3512" t="s">
        <v>3729</v>
      </c>
      <c r="J3512">
        <v>11</v>
      </c>
      <c r="M3512">
        <v>117</v>
      </c>
      <c r="N3512">
        <v>27</v>
      </c>
      <c r="O3512">
        <v>12</v>
      </c>
      <c r="P3512">
        <v>32</v>
      </c>
      <c r="Q3512">
        <v>16</v>
      </c>
      <c r="R3512">
        <v>45</v>
      </c>
    </row>
    <row r="3513" spans="1:18" x14ac:dyDescent="0.25">
      <c r="A3513" t="s">
        <v>3759</v>
      </c>
      <c r="B3513" t="s">
        <v>55</v>
      </c>
      <c r="C3513" t="s">
        <v>3727</v>
      </c>
      <c r="D3513" t="s">
        <v>3728</v>
      </c>
      <c r="E3513" t="s">
        <v>78</v>
      </c>
      <c r="F3513" t="s">
        <v>252</v>
      </c>
      <c r="G3513">
        <v>6.5861000000000001</v>
      </c>
      <c r="H3513">
        <v>-76.886399999999995</v>
      </c>
      <c r="I3513" t="s">
        <v>3729</v>
      </c>
      <c r="J3513">
        <v>11</v>
      </c>
      <c r="M3513">
        <v>113</v>
      </c>
      <c r="N3513">
        <v>17</v>
      </c>
      <c r="O3513">
        <v>24</v>
      </c>
      <c r="P3513">
        <v>28</v>
      </c>
      <c r="Q3513">
        <v>21</v>
      </c>
      <c r="R3513">
        <v>24</v>
      </c>
    </row>
    <row r="3514" spans="1:18" x14ac:dyDescent="0.25">
      <c r="A3514" t="s">
        <v>3760</v>
      </c>
      <c r="B3514" t="s">
        <v>55</v>
      </c>
      <c r="C3514" t="s">
        <v>3727</v>
      </c>
      <c r="D3514" t="s">
        <v>3728</v>
      </c>
      <c r="E3514" t="s">
        <v>78</v>
      </c>
      <c r="F3514" t="s">
        <v>252</v>
      </c>
      <c r="G3514">
        <v>6.5861000000000001</v>
      </c>
      <c r="H3514">
        <v>-76.886399999999995</v>
      </c>
      <c r="I3514" t="s">
        <v>3729</v>
      </c>
      <c r="J3514">
        <v>11</v>
      </c>
      <c r="M3514">
        <v>107</v>
      </c>
      <c r="N3514">
        <v>29</v>
      </c>
      <c r="O3514">
        <v>18</v>
      </c>
      <c r="P3514">
        <v>28</v>
      </c>
      <c r="Q3514">
        <v>9</v>
      </c>
      <c r="R3514">
        <v>25</v>
      </c>
    </row>
    <row r="3515" spans="1:18" x14ac:dyDescent="0.25">
      <c r="A3515" t="s">
        <v>3761</v>
      </c>
      <c r="B3515" t="s">
        <v>55</v>
      </c>
      <c r="C3515" t="s">
        <v>3727</v>
      </c>
      <c r="D3515" t="s">
        <v>3728</v>
      </c>
      <c r="E3515" t="s">
        <v>78</v>
      </c>
      <c r="F3515" t="s">
        <v>252</v>
      </c>
      <c r="G3515">
        <v>6.5861000000000001</v>
      </c>
      <c r="H3515">
        <v>-76.886399999999995</v>
      </c>
      <c r="I3515" t="s">
        <v>3729</v>
      </c>
      <c r="J3515">
        <v>11</v>
      </c>
      <c r="M3515">
        <v>97</v>
      </c>
      <c r="N3515">
        <v>17</v>
      </c>
      <c r="O3515">
        <v>20</v>
      </c>
      <c r="P3515">
        <v>24</v>
      </c>
      <c r="Q3515">
        <v>16</v>
      </c>
      <c r="R3515">
        <v>24</v>
      </c>
    </row>
    <row r="3516" spans="1:18" x14ac:dyDescent="0.25">
      <c r="A3516" t="s">
        <v>3762</v>
      </c>
      <c r="B3516" t="s">
        <v>55</v>
      </c>
      <c r="C3516" t="s">
        <v>3727</v>
      </c>
      <c r="D3516" t="s">
        <v>3728</v>
      </c>
      <c r="E3516" t="s">
        <v>78</v>
      </c>
      <c r="F3516" t="s">
        <v>252</v>
      </c>
      <c r="G3516">
        <v>6.5861000000000001</v>
      </c>
      <c r="H3516">
        <v>-76.886399999999995</v>
      </c>
      <c r="I3516" t="s">
        <v>3729</v>
      </c>
      <c r="J3516">
        <v>11</v>
      </c>
      <c r="M3516">
        <v>69</v>
      </c>
      <c r="N3516">
        <v>34</v>
      </c>
      <c r="O3516">
        <v>14</v>
      </c>
      <c r="P3516">
        <v>8</v>
      </c>
      <c r="Q3516">
        <v>3</v>
      </c>
      <c r="R3516">
        <v>0</v>
      </c>
    </row>
    <row r="3517" spans="1:18" x14ac:dyDescent="0.25">
      <c r="A3517" t="s">
        <v>3763</v>
      </c>
      <c r="B3517" t="s">
        <v>55</v>
      </c>
      <c r="C3517" t="s">
        <v>3764</v>
      </c>
      <c r="D3517" t="s">
        <v>3765</v>
      </c>
      <c r="E3517" t="s">
        <v>78</v>
      </c>
      <c r="F3517" t="s">
        <v>252</v>
      </c>
      <c r="G3517">
        <v>5.7916999999999996</v>
      </c>
      <c r="H3517">
        <v>-75.839399999999998</v>
      </c>
      <c r="I3517" t="s">
        <v>3766</v>
      </c>
      <c r="J3517">
        <v>11</v>
      </c>
      <c r="M3517">
        <v>257</v>
      </c>
      <c r="N3517">
        <v>51</v>
      </c>
      <c r="O3517">
        <v>42</v>
      </c>
      <c r="P3517">
        <v>68</v>
      </c>
      <c r="Q3517">
        <v>45</v>
      </c>
      <c r="R3517">
        <v>51</v>
      </c>
    </row>
    <row r="3518" spans="1:18" x14ac:dyDescent="0.25">
      <c r="A3518" t="s">
        <v>3767</v>
      </c>
      <c r="B3518" t="s">
        <v>55</v>
      </c>
      <c r="C3518" t="s">
        <v>3764</v>
      </c>
      <c r="D3518" t="s">
        <v>3765</v>
      </c>
      <c r="E3518" t="s">
        <v>78</v>
      </c>
      <c r="F3518" t="s">
        <v>252</v>
      </c>
      <c r="G3518">
        <v>5.7916999999999996</v>
      </c>
      <c r="H3518">
        <v>-75.839399999999998</v>
      </c>
      <c r="I3518" t="s">
        <v>3766</v>
      </c>
      <c r="J3518">
        <v>11</v>
      </c>
      <c r="M3518">
        <v>237</v>
      </c>
      <c r="N3518">
        <v>59</v>
      </c>
      <c r="O3518">
        <v>36</v>
      </c>
      <c r="P3518">
        <v>52</v>
      </c>
      <c r="Q3518">
        <v>33</v>
      </c>
      <c r="R3518">
        <v>78</v>
      </c>
    </row>
    <row r="3519" spans="1:18" x14ac:dyDescent="0.25">
      <c r="A3519" t="s">
        <v>3768</v>
      </c>
      <c r="B3519" t="s">
        <v>55</v>
      </c>
      <c r="C3519" t="s">
        <v>3764</v>
      </c>
      <c r="D3519" t="s">
        <v>3765</v>
      </c>
      <c r="E3519" t="s">
        <v>78</v>
      </c>
      <c r="F3519" t="s">
        <v>252</v>
      </c>
      <c r="G3519">
        <v>5.7916999999999996</v>
      </c>
      <c r="H3519">
        <v>-75.839399999999998</v>
      </c>
      <c r="I3519" t="s">
        <v>3766</v>
      </c>
      <c r="J3519">
        <v>11</v>
      </c>
      <c r="M3519">
        <v>226</v>
      </c>
      <c r="N3519">
        <v>44</v>
      </c>
      <c r="O3519">
        <v>44</v>
      </c>
      <c r="P3519">
        <v>40</v>
      </c>
      <c r="Q3519">
        <v>40</v>
      </c>
      <c r="R3519">
        <v>84</v>
      </c>
    </row>
    <row r="3520" spans="1:18" x14ac:dyDescent="0.25">
      <c r="A3520" t="s">
        <v>3769</v>
      </c>
      <c r="B3520" t="s">
        <v>55</v>
      </c>
      <c r="C3520" t="s">
        <v>3764</v>
      </c>
      <c r="D3520" t="s">
        <v>3765</v>
      </c>
      <c r="E3520" t="s">
        <v>78</v>
      </c>
      <c r="F3520" t="s">
        <v>252</v>
      </c>
      <c r="G3520">
        <v>5.7916999999999996</v>
      </c>
      <c r="H3520">
        <v>-75.839399999999998</v>
      </c>
      <c r="I3520" t="s">
        <v>3766</v>
      </c>
      <c r="J3520">
        <v>11</v>
      </c>
      <c r="M3520">
        <v>219</v>
      </c>
      <c r="N3520">
        <v>41</v>
      </c>
      <c r="O3520">
        <v>44</v>
      </c>
      <c r="P3520">
        <v>46</v>
      </c>
      <c r="Q3520">
        <v>43</v>
      </c>
      <c r="R3520">
        <v>45</v>
      </c>
    </row>
    <row r="3521" spans="1:18" x14ac:dyDescent="0.25">
      <c r="A3521" t="s">
        <v>3770</v>
      </c>
      <c r="B3521" t="s">
        <v>55</v>
      </c>
      <c r="C3521" t="s">
        <v>3764</v>
      </c>
      <c r="D3521" t="s">
        <v>3765</v>
      </c>
      <c r="E3521" t="s">
        <v>78</v>
      </c>
      <c r="F3521" t="s">
        <v>252</v>
      </c>
      <c r="G3521">
        <v>5.7916999999999996</v>
      </c>
      <c r="H3521">
        <v>-75.839399999999998</v>
      </c>
      <c r="I3521" t="s">
        <v>3766</v>
      </c>
      <c r="J3521">
        <v>11</v>
      </c>
      <c r="M3521">
        <v>216</v>
      </c>
      <c r="N3521">
        <v>61</v>
      </c>
      <c r="O3521">
        <v>36</v>
      </c>
      <c r="P3521">
        <v>38</v>
      </c>
      <c r="Q3521">
        <v>28</v>
      </c>
      <c r="R3521">
        <v>73</v>
      </c>
    </row>
    <row r="3522" spans="1:18" x14ac:dyDescent="0.25">
      <c r="A3522" t="s">
        <v>3771</v>
      </c>
      <c r="B3522" t="s">
        <v>55</v>
      </c>
      <c r="C3522" t="s">
        <v>3764</v>
      </c>
      <c r="D3522" t="s">
        <v>3765</v>
      </c>
      <c r="E3522" t="s">
        <v>78</v>
      </c>
      <c r="F3522" t="s">
        <v>252</v>
      </c>
      <c r="G3522">
        <v>5.7916999999999996</v>
      </c>
      <c r="H3522">
        <v>-75.839399999999998</v>
      </c>
      <c r="I3522" t="s">
        <v>3766</v>
      </c>
      <c r="J3522">
        <v>11</v>
      </c>
      <c r="M3522">
        <v>211</v>
      </c>
      <c r="N3522">
        <v>44</v>
      </c>
      <c r="O3522">
        <v>30</v>
      </c>
      <c r="P3522">
        <v>50</v>
      </c>
      <c r="Q3522">
        <v>38</v>
      </c>
      <c r="R3522">
        <v>64</v>
      </c>
    </row>
    <row r="3523" spans="1:18" x14ac:dyDescent="0.25">
      <c r="A3523" t="s">
        <v>3772</v>
      </c>
      <c r="B3523" t="s">
        <v>55</v>
      </c>
      <c r="C3523" t="s">
        <v>3764</v>
      </c>
      <c r="D3523" t="s">
        <v>3765</v>
      </c>
      <c r="E3523" t="s">
        <v>78</v>
      </c>
      <c r="F3523" t="s">
        <v>252</v>
      </c>
      <c r="G3523">
        <v>5.7916999999999996</v>
      </c>
      <c r="H3523">
        <v>-75.839399999999998</v>
      </c>
      <c r="I3523" t="s">
        <v>3766</v>
      </c>
      <c r="J3523">
        <v>11</v>
      </c>
      <c r="M3523">
        <v>211</v>
      </c>
      <c r="N3523">
        <v>56</v>
      </c>
      <c r="O3523">
        <v>28</v>
      </c>
      <c r="P3523">
        <v>46</v>
      </c>
      <c r="Q3523">
        <v>34</v>
      </c>
      <c r="R3523">
        <v>55</v>
      </c>
    </row>
    <row r="3524" spans="1:18" x14ac:dyDescent="0.25">
      <c r="A3524" t="s">
        <v>3773</v>
      </c>
      <c r="B3524" t="s">
        <v>55</v>
      </c>
      <c r="C3524" t="s">
        <v>3764</v>
      </c>
      <c r="D3524" t="s">
        <v>3765</v>
      </c>
      <c r="E3524" t="s">
        <v>78</v>
      </c>
      <c r="F3524" t="s">
        <v>252</v>
      </c>
      <c r="G3524">
        <v>5.7916999999999996</v>
      </c>
      <c r="H3524">
        <v>-75.839399999999998</v>
      </c>
      <c r="I3524" t="s">
        <v>3766</v>
      </c>
      <c r="J3524">
        <v>11</v>
      </c>
      <c r="M3524">
        <v>200</v>
      </c>
      <c r="N3524">
        <v>44</v>
      </c>
      <c r="O3524">
        <v>36</v>
      </c>
      <c r="P3524">
        <v>46</v>
      </c>
      <c r="Q3524">
        <v>34</v>
      </c>
      <c r="R3524">
        <v>38</v>
      </c>
    </row>
    <row r="3525" spans="1:18" x14ac:dyDescent="0.25">
      <c r="A3525" t="s">
        <v>3774</v>
      </c>
      <c r="B3525" t="s">
        <v>55</v>
      </c>
      <c r="C3525" t="s">
        <v>3764</v>
      </c>
      <c r="D3525" t="s">
        <v>3765</v>
      </c>
      <c r="E3525" t="s">
        <v>78</v>
      </c>
      <c r="F3525" t="s">
        <v>252</v>
      </c>
      <c r="G3525">
        <v>5.7916999999999996</v>
      </c>
      <c r="H3525">
        <v>-75.839399999999998</v>
      </c>
      <c r="I3525" t="s">
        <v>3766</v>
      </c>
      <c r="J3525">
        <v>11</v>
      </c>
      <c r="M3525">
        <v>194</v>
      </c>
      <c r="N3525">
        <v>41</v>
      </c>
      <c r="O3525">
        <v>24</v>
      </c>
      <c r="P3525">
        <v>56</v>
      </c>
      <c r="Q3525">
        <v>29</v>
      </c>
      <c r="R3525">
        <v>51</v>
      </c>
    </row>
    <row r="3526" spans="1:18" x14ac:dyDescent="0.25">
      <c r="A3526" t="s">
        <v>3775</v>
      </c>
      <c r="B3526" t="s">
        <v>55</v>
      </c>
      <c r="C3526" t="s">
        <v>3764</v>
      </c>
      <c r="D3526" t="s">
        <v>3765</v>
      </c>
      <c r="E3526" t="s">
        <v>78</v>
      </c>
      <c r="F3526" t="s">
        <v>252</v>
      </c>
      <c r="G3526">
        <v>5.7916999999999996</v>
      </c>
      <c r="H3526">
        <v>-75.839399999999998</v>
      </c>
      <c r="I3526" t="s">
        <v>3766</v>
      </c>
      <c r="J3526">
        <v>11</v>
      </c>
      <c r="M3526">
        <v>186</v>
      </c>
      <c r="N3526">
        <v>51</v>
      </c>
      <c r="O3526">
        <v>26</v>
      </c>
      <c r="P3526">
        <v>34</v>
      </c>
      <c r="Q3526">
        <v>38</v>
      </c>
      <c r="R3526">
        <v>36</v>
      </c>
    </row>
    <row r="3527" spans="1:18" x14ac:dyDescent="0.25">
      <c r="A3527" t="s">
        <v>3776</v>
      </c>
      <c r="B3527" t="s">
        <v>55</v>
      </c>
      <c r="C3527" t="s">
        <v>3764</v>
      </c>
      <c r="D3527" t="s">
        <v>3765</v>
      </c>
      <c r="E3527" t="s">
        <v>78</v>
      </c>
      <c r="F3527" t="s">
        <v>252</v>
      </c>
      <c r="G3527">
        <v>5.7916999999999996</v>
      </c>
      <c r="H3527">
        <v>-75.839399999999998</v>
      </c>
      <c r="I3527" t="s">
        <v>3766</v>
      </c>
      <c r="J3527">
        <v>11</v>
      </c>
      <c r="M3527">
        <v>184</v>
      </c>
      <c r="N3527">
        <v>41</v>
      </c>
      <c r="O3527">
        <v>24</v>
      </c>
      <c r="P3527">
        <v>46</v>
      </c>
      <c r="Q3527">
        <v>34</v>
      </c>
      <c r="R3527">
        <v>42</v>
      </c>
    </row>
    <row r="3528" spans="1:18" x14ac:dyDescent="0.25">
      <c r="A3528" t="s">
        <v>3777</v>
      </c>
      <c r="B3528" t="s">
        <v>55</v>
      </c>
      <c r="C3528" t="s">
        <v>3764</v>
      </c>
      <c r="D3528" t="s">
        <v>3765</v>
      </c>
      <c r="E3528" t="s">
        <v>78</v>
      </c>
      <c r="F3528" t="s">
        <v>252</v>
      </c>
      <c r="G3528">
        <v>5.7916999999999996</v>
      </c>
      <c r="H3528">
        <v>-75.839399999999998</v>
      </c>
      <c r="I3528" t="s">
        <v>3766</v>
      </c>
      <c r="J3528">
        <v>11</v>
      </c>
      <c r="M3528">
        <v>182</v>
      </c>
      <c r="N3528">
        <v>24</v>
      </c>
      <c r="O3528">
        <v>36</v>
      </c>
      <c r="P3528">
        <v>46</v>
      </c>
      <c r="Q3528">
        <v>33</v>
      </c>
      <c r="R3528">
        <v>55</v>
      </c>
    </row>
    <row r="3529" spans="1:18" x14ac:dyDescent="0.25">
      <c r="A3529" t="s">
        <v>3778</v>
      </c>
      <c r="B3529" t="s">
        <v>55</v>
      </c>
      <c r="C3529" t="s">
        <v>3764</v>
      </c>
      <c r="D3529" t="s">
        <v>3765</v>
      </c>
      <c r="E3529" t="s">
        <v>78</v>
      </c>
      <c r="F3529" t="s">
        <v>252</v>
      </c>
      <c r="G3529">
        <v>5.7916999999999996</v>
      </c>
      <c r="H3529">
        <v>-75.839399999999998</v>
      </c>
      <c r="I3529" t="s">
        <v>3766</v>
      </c>
      <c r="J3529">
        <v>11</v>
      </c>
      <c r="M3529">
        <v>181</v>
      </c>
      <c r="N3529">
        <v>56</v>
      </c>
      <c r="O3529">
        <v>32</v>
      </c>
      <c r="P3529">
        <v>30</v>
      </c>
      <c r="Q3529">
        <v>26</v>
      </c>
      <c r="R3529">
        <v>40</v>
      </c>
    </row>
    <row r="3530" spans="1:18" x14ac:dyDescent="0.25">
      <c r="A3530" t="s">
        <v>3779</v>
      </c>
      <c r="B3530" t="s">
        <v>55</v>
      </c>
      <c r="C3530" t="s">
        <v>3764</v>
      </c>
      <c r="D3530" t="s">
        <v>3765</v>
      </c>
      <c r="E3530" t="s">
        <v>78</v>
      </c>
      <c r="F3530" t="s">
        <v>252</v>
      </c>
      <c r="G3530">
        <v>5.7916999999999996</v>
      </c>
      <c r="H3530">
        <v>-75.839399999999998</v>
      </c>
      <c r="I3530" t="s">
        <v>3766</v>
      </c>
      <c r="J3530">
        <v>11</v>
      </c>
      <c r="M3530">
        <v>177</v>
      </c>
      <c r="N3530">
        <v>32</v>
      </c>
      <c r="O3530">
        <v>28</v>
      </c>
      <c r="P3530">
        <v>54</v>
      </c>
      <c r="Q3530">
        <v>21</v>
      </c>
      <c r="R3530">
        <v>58</v>
      </c>
    </row>
    <row r="3531" spans="1:18" x14ac:dyDescent="0.25">
      <c r="A3531" t="s">
        <v>3780</v>
      </c>
      <c r="B3531" t="s">
        <v>55</v>
      </c>
      <c r="C3531" t="s">
        <v>3764</v>
      </c>
      <c r="D3531" t="s">
        <v>3765</v>
      </c>
      <c r="E3531" t="s">
        <v>78</v>
      </c>
      <c r="F3531" t="s">
        <v>252</v>
      </c>
      <c r="G3531">
        <v>5.7916999999999996</v>
      </c>
      <c r="H3531">
        <v>-75.839399999999998</v>
      </c>
      <c r="I3531" t="s">
        <v>3766</v>
      </c>
      <c r="J3531">
        <v>11</v>
      </c>
      <c r="M3531">
        <v>176</v>
      </c>
      <c r="N3531">
        <v>32</v>
      </c>
      <c r="O3531">
        <v>26</v>
      </c>
      <c r="P3531">
        <v>46</v>
      </c>
      <c r="Q3531">
        <v>33</v>
      </c>
      <c r="R3531">
        <v>49</v>
      </c>
    </row>
    <row r="3532" spans="1:18" x14ac:dyDescent="0.25">
      <c r="A3532" t="s">
        <v>3781</v>
      </c>
      <c r="B3532" t="s">
        <v>55</v>
      </c>
      <c r="C3532" t="s">
        <v>3764</v>
      </c>
      <c r="D3532" t="s">
        <v>3765</v>
      </c>
      <c r="E3532" t="s">
        <v>78</v>
      </c>
      <c r="F3532" t="s">
        <v>252</v>
      </c>
      <c r="G3532">
        <v>5.7916999999999996</v>
      </c>
      <c r="H3532">
        <v>-75.839399999999998</v>
      </c>
      <c r="I3532" t="s">
        <v>3766</v>
      </c>
      <c r="J3532">
        <v>11</v>
      </c>
      <c r="M3532">
        <v>174</v>
      </c>
      <c r="N3532">
        <v>34</v>
      </c>
      <c r="O3532">
        <v>36</v>
      </c>
      <c r="P3532">
        <v>40</v>
      </c>
      <c r="Q3532">
        <v>28</v>
      </c>
      <c r="R3532">
        <v>40</v>
      </c>
    </row>
    <row r="3533" spans="1:18" x14ac:dyDescent="0.25">
      <c r="A3533" t="s">
        <v>3782</v>
      </c>
      <c r="B3533" t="s">
        <v>55</v>
      </c>
      <c r="C3533" t="s">
        <v>3764</v>
      </c>
      <c r="D3533" t="s">
        <v>3765</v>
      </c>
      <c r="E3533" t="s">
        <v>78</v>
      </c>
      <c r="F3533" t="s">
        <v>252</v>
      </c>
      <c r="G3533">
        <v>5.7916999999999996</v>
      </c>
      <c r="H3533">
        <v>-75.839399999999998</v>
      </c>
      <c r="I3533" t="s">
        <v>3766</v>
      </c>
      <c r="J3533">
        <v>11</v>
      </c>
      <c r="M3533">
        <v>172</v>
      </c>
      <c r="N3533">
        <v>39</v>
      </c>
      <c r="O3533">
        <v>24</v>
      </c>
      <c r="P3533">
        <v>50</v>
      </c>
      <c r="Q3533">
        <v>22</v>
      </c>
      <c r="R3533">
        <v>42</v>
      </c>
    </row>
    <row r="3534" spans="1:18" x14ac:dyDescent="0.25">
      <c r="A3534" t="s">
        <v>3783</v>
      </c>
      <c r="B3534" t="s">
        <v>55</v>
      </c>
      <c r="C3534" t="s">
        <v>3764</v>
      </c>
      <c r="D3534" t="s">
        <v>3765</v>
      </c>
      <c r="E3534" t="s">
        <v>78</v>
      </c>
      <c r="F3534" t="s">
        <v>252</v>
      </c>
      <c r="G3534">
        <v>5.7916999999999996</v>
      </c>
      <c r="H3534">
        <v>-75.839399999999998</v>
      </c>
      <c r="I3534" t="s">
        <v>3766</v>
      </c>
      <c r="J3534">
        <v>11</v>
      </c>
      <c r="M3534">
        <v>172</v>
      </c>
      <c r="N3534">
        <v>37</v>
      </c>
      <c r="O3534">
        <v>26</v>
      </c>
      <c r="P3534">
        <v>34</v>
      </c>
      <c r="Q3534">
        <v>40</v>
      </c>
      <c r="R3534">
        <v>38</v>
      </c>
    </row>
    <row r="3535" spans="1:18" x14ac:dyDescent="0.25">
      <c r="A3535" t="s">
        <v>3784</v>
      </c>
      <c r="B3535" t="s">
        <v>55</v>
      </c>
      <c r="C3535" t="s">
        <v>3764</v>
      </c>
      <c r="D3535" t="s">
        <v>3765</v>
      </c>
      <c r="E3535" t="s">
        <v>78</v>
      </c>
      <c r="F3535" t="s">
        <v>252</v>
      </c>
      <c r="G3535">
        <v>5.7916999999999996</v>
      </c>
      <c r="H3535">
        <v>-75.839399999999998</v>
      </c>
      <c r="I3535" t="s">
        <v>3766</v>
      </c>
      <c r="J3535">
        <v>11</v>
      </c>
      <c r="M3535">
        <v>172</v>
      </c>
      <c r="N3535">
        <v>32</v>
      </c>
      <c r="O3535">
        <v>24</v>
      </c>
      <c r="P3535">
        <v>50</v>
      </c>
      <c r="Q3535">
        <v>29</v>
      </c>
      <c r="R3535">
        <v>42</v>
      </c>
    </row>
    <row r="3536" spans="1:18" x14ac:dyDescent="0.25">
      <c r="A3536" t="s">
        <v>3785</v>
      </c>
      <c r="B3536" t="s">
        <v>55</v>
      </c>
      <c r="C3536" t="s">
        <v>3764</v>
      </c>
      <c r="D3536" t="s">
        <v>3765</v>
      </c>
      <c r="E3536" t="s">
        <v>78</v>
      </c>
      <c r="F3536" t="s">
        <v>252</v>
      </c>
      <c r="G3536">
        <v>5.7916999999999996</v>
      </c>
      <c r="H3536">
        <v>-75.839399999999998</v>
      </c>
      <c r="I3536" t="s">
        <v>3766</v>
      </c>
      <c r="J3536">
        <v>11</v>
      </c>
      <c r="M3536">
        <v>170</v>
      </c>
      <c r="N3536">
        <v>41</v>
      </c>
      <c r="O3536">
        <v>24</v>
      </c>
      <c r="P3536">
        <v>28</v>
      </c>
      <c r="Q3536">
        <v>28</v>
      </c>
      <c r="R3536">
        <v>80</v>
      </c>
    </row>
    <row r="3537" spans="1:18" x14ac:dyDescent="0.25">
      <c r="A3537" t="s">
        <v>3786</v>
      </c>
      <c r="B3537" t="s">
        <v>55</v>
      </c>
      <c r="C3537" t="s">
        <v>3764</v>
      </c>
      <c r="D3537" t="s">
        <v>3765</v>
      </c>
      <c r="E3537" t="s">
        <v>78</v>
      </c>
      <c r="F3537" t="s">
        <v>252</v>
      </c>
      <c r="G3537">
        <v>5.7916999999999996</v>
      </c>
      <c r="H3537">
        <v>-75.839399999999998</v>
      </c>
      <c r="I3537" t="s">
        <v>3766</v>
      </c>
      <c r="J3537">
        <v>11</v>
      </c>
      <c r="M3537">
        <v>167</v>
      </c>
      <c r="N3537">
        <v>37</v>
      </c>
      <c r="O3537">
        <v>30</v>
      </c>
      <c r="P3537">
        <v>34</v>
      </c>
      <c r="Q3537">
        <v>31</v>
      </c>
      <c r="R3537">
        <v>40</v>
      </c>
    </row>
    <row r="3538" spans="1:18" x14ac:dyDescent="0.25">
      <c r="A3538" t="s">
        <v>3787</v>
      </c>
      <c r="B3538" t="s">
        <v>55</v>
      </c>
      <c r="C3538" t="s">
        <v>3764</v>
      </c>
      <c r="D3538" t="s">
        <v>3765</v>
      </c>
      <c r="E3538" t="s">
        <v>78</v>
      </c>
      <c r="F3538" t="s">
        <v>252</v>
      </c>
      <c r="G3538">
        <v>5.7916999999999996</v>
      </c>
      <c r="H3538">
        <v>-75.839399999999998</v>
      </c>
      <c r="I3538" t="s">
        <v>3766</v>
      </c>
      <c r="J3538">
        <v>11</v>
      </c>
      <c r="M3538">
        <v>166</v>
      </c>
      <c r="N3538">
        <v>41</v>
      </c>
      <c r="O3538">
        <v>24</v>
      </c>
      <c r="P3538">
        <v>46</v>
      </c>
      <c r="Q3538">
        <v>21</v>
      </c>
      <c r="R3538">
        <v>35</v>
      </c>
    </row>
    <row r="3539" spans="1:18" x14ac:dyDescent="0.25">
      <c r="A3539" t="s">
        <v>3788</v>
      </c>
      <c r="B3539" t="s">
        <v>55</v>
      </c>
      <c r="C3539" t="s">
        <v>3764</v>
      </c>
      <c r="D3539" t="s">
        <v>3765</v>
      </c>
      <c r="E3539" t="s">
        <v>78</v>
      </c>
      <c r="F3539" t="s">
        <v>252</v>
      </c>
      <c r="G3539">
        <v>5.7916999999999996</v>
      </c>
      <c r="H3539">
        <v>-75.839399999999998</v>
      </c>
      <c r="I3539" t="s">
        <v>3766</v>
      </c>
      <c r="J3539">
        <v>11</v>
      </c>
      <c r="M3539">
        <v>158</v>
      </c>
      <c r="N3539">
        <v>49</v>
      </c>
      <c r="O3539">
        <v>16</v>
      </c>
      <c r="P3539">
        <v>36</v>
      </c>
      <c r="Q3539">
        <v>22</v>
      </c>
      <c r="R3539">
        <v>42</v>
      </c>
    </row>
    <row r="3540" spans="1:18" x14ac:dyDescent="0.25">
      <c r="A3540" t="s">
        <v>3789</v>
      </c>
      <c r="B3540" t="s">
        <v>55</v>
      </c>
      <c r="C3540" t="s">
        <v>3764</v>
      </c>
      <c r="D3540" t="s">
        <v>3765</v>
      </c>
      <c r="E3540" t="s">
        <v>78</v>
      </c>
      <c r="F3540" t="s">
        <v>252</v>
      </c>
      <c r="G3540">
        <v>5.7916999999999996</v>
      </c>
      <c r="H3540">
        <v>-75.839399999999998</v>
      </c>
      <c r="I3540" t="s">
        <v>3766</v>
      </c>
      <c r="J3540">
        <v>11</v>
      </c>
      <c r="M3540">
        <v>156</v>
      </c>
      <c r="N3540">
        <v>39</v>
      </c>
      <c r="O3540">
        <v>24</v>
      </c>
      <c r="P3540">
        <v>38</v>
      </c>
      <c r="Q3540">
        <v>24</v>
      </c>
      <c r="R3540">
        <v>31</v>
      </c>
    </row>
    <row r="3541" spans="1:18" x14ac:dyDescent="0.25">
      <c r="A3541" t="s">
        <v>3790</v>
      </c>
      <c r="B3541" t="s">
        <v>55</v>
      </c>
      <c r="C3541" t="s">
        <v>3764</v>
      </c>
      <c r="D3541" t="s">
        <v>3765</v>
      </c>
      <c r="E3541" t="s">
        <v>78</v>
      </c>
      <c r="F3541" t="s">
        <v>252</v>
      </c>
      <c r="G3541">
        <v>5.7916999999999996</v>
      </c>
      <c r="H3541">
        <v>-75.839399999999998</v>
      </c>
      <c r="I3541" t="s">
        <v>3766</v>
      </c>
      <c r="J3541">
        <v>11</v>
      </c>
      <c r="M3541">
        <v>154</v>
      </c>
      <c r="N3541">
        <v>32</v>
      </c>
      <c r="O3541">
        <v>32</v>
      </c>
      <c r="P3541">
        <v>36</v>
      </c>
      <c r="Q3541">
        <v>24</v>
      </c>
      <c r="R3541">
        <v>29</v>
      </c>
    </row>
    <row r="3542" spans="1:18" x14ac:dyDescent="0.25">
      <c r="A3542" t="s">
        <v>3791</v>
      </c>
      <c r="B3542" t="s">
        <v>55</v>
      </c>
      <c r="C3542" t="s">
        <v>3764</v>
      </c>
      <c r="D3542" t="s">
        <v>3765</v>
      </c>
      <c r="E3542" t="s">
        <v>78</v>
      </c>
      <c r="F3542" t="s">
        <v>252</v>
      </c>
      <c r="G3542">
        <v>5.7916999999999996</v>
      </c>
      <c r="H3542">
        <v>-75.839399999999998</v>
      </c>
      <c r="I3542" t="s">
        <v>3766</v>
      </c>
      <c r="J3542">
        <v>11</v>
      </c>
      <c r="M3542">
        <v>152</v>
      </c>
      <c r="N3542">
        <v>34</v>
      </c>
      <c r="O3542">
        <v>24</v>
      </c>
      <c r="P3542">
        <v>44</v>
      </c>
      <c r="Q3542">
        <v>19</v>
      </c>
      <c r="R3542">
        <v>31</v>
      </c>
    </row>
    <row r="3543" spans="1:18" x14ac:dyDescent="0.25">
      <c r="A3543" t="s">
        <v>3792</v>
      </c>
      <c r="B3543" t="s">
        <v>55</v>
      </c>
      <c r="C3543" t="s">
        <v>3764</v>
      </c>
      <c r="D3543" t="s">
        <v>3765</v>
      </c>
      <c r="E3543" t="s">
        <v>78</v>
      </c>
      <c r="F3543" t="s">
        <v>252</v>
      </c>
      <c r="G3543">
        <v>5.7916999999999996</v>
      </c>
      <c r="H3543">
        <v>-75.839399999999998</v>
      </c>
      <c r="I3543" t="s">
        <v>3766</v>
      </c>
      <c r="J3543">
        <v>11</v>
      </c>
      <c r="M3543">
        <v>148</v>
      </c>
      <c r="N3543">
        <v>32</v>
      </c>
      <c r="O3543">
        <v>30</v>
      </c>
      <c r="P3543">
        <v>28</v>
      </c>
      <c r="Q3543">
        <v>31</v>
      </c>
      <c r="R3543">
        <v>24</v>
      </c>
    </row>
    <row r="3544" spans="1:18" x14ac:dyDescent="0.25">
      <c r="A3544" t="s">
        <v>3793</v>
      </c>
      <c r="B3544" t="s">
        <v>55</v>
      </c>
      <c r="C3544" t="s">
        <v>3764</v>
      </c>
      <c r="D3544" t="s">
        <v>3765</v>
      </c>
      <c r="E3544" t="s">
        <v>78</v>
      </c>
      <c r="F3544" t="s">
        <v>252</v>
      </c>
      <c r="G3544">
        <v>5.7916999999999996</v>
      </c>
      <c r="H3544">
        <v>-75.839399999999998</v>
      </c>
      <c r="I3544" t="s">
        <v>3766</v>
      </c>
      <c r="J3544">
        <v>11</v>
      </c>
      <c r="M3544">
        <v>147</v>
      </c>
      <c r="N3544">
        <v>41</v>
      </c>
      <c r="O3544">
        <v>22</v>
      </c>
      <c r="P3544">
        <v>34</v>
      </c>
      <c r="Q3544">
        <v>17</v>
      </c>
      <c r="R3544">
        <v>38</v>
      </c>
    </row>
    <row r="3545" spans="1:18" x14ac:dyDescent="0.25">
      <c r="A3545" t="s">
        <v>3794</v>
      </c>
      <c r="B3545" t="s">
        <v>55</v>
      </c>
      <c r="C3545" t="s">
        <v>3764</v>
      </c>
      <c r="D3545" t="s">
        <v>3765</v>
      </c>
      <c r="E3545" t="s">
        <v>78</v>
      </c>
      <c r="F3545" t="s">
        <v>252</v>
      </c>
      <c r="G3545">
        <v>5.7916999999999996</v>
      </c>
      <c r="H3545">
        <v>-75.839399999999998</v>
      </c>
      <c r="I3545" t="s">
        <v>3766</v>
      </c>
      <c r="J3545">
        <v>11</v>
      </c>
      <c r="M3545">
        <v>147</v>
      </c>
      <c r="N3545">
        <v>27</v>
      </c>
      <c r="O3545">
        <v>26</v>
      </c>
      <c r="P3545">
        <v>32</v>
      </c>
      <c r="Q3545">
        <v>26</v>
      </c>
      <c r="R3545">
        <v>49</v>
      </c>
    </row>
    <row r="3546" spans="1:18" x14ac:dyDescent="0.25">
      <c r="A3546" t="s">
        <v>3795</v>
      </c>
      <c r="B3546" t="s">
        <v>55</v>
      </c>
      <c r="C3546" t="s">
        <v>3764</v>
      </c>
      <c r="D3546" t="s">
        <v>3765</v>
      </c>
      <c r="E3546" t="s">
        <v>78</v>
      </c>
      <c r="F3546" t="s">
        <v>252</v>
      </c>
      <c r="G3546">
        <v>5.7916999999999996</v>
      </c>
      <c r="H3546">
        <v>-75.839399999999998</v>
      </c>
      <c r="I3546" t="s">
        <v>3766</v>
      </c>
      <c r="J3546">
        <v>11</v>
      </c>
      <c r="M3546">
        <v>141</v>
      </c>
      <c r="N3546">
        <v>37</v>
      </c>
      <c r="O3546">
        <v>24</v>
      </c>
      <c r="P3546">
        <v>30</v>
      </c>
      <c r="Q3546">
        <v>19</v>
      </c>
      <c r="R3546">
        <v>38</v>
      </c>
    </row>
    <row r="3547" spans="1:18" x14ac:dyDescent="0.25">
      <c r="A3547" t="s">
        <v>3796</v>
      </c>
      <c r="B3547" t="s">
        <v>55</v>
      </c>
      <c r="C3547" t="s">
        <v>3764</v>
      </c>
      <c r="D3547" t="s">
        <v>3765</v>
      </c>
      <c r="E3547" t="s">
        <v>78</v>
      </c>
      <c r="F3547" t="s">
        <v>252</v>
      </c>
      <c r="G3547">
        <v>5.7916999999999996</v>
      </c>
      <c r="H3547">
        <v>-75.839399999999998</v>
      </c>
      <c r="I3547" t="s">
        <v>3766</v>
      </c>
      <c r="J3547">
        <v>11</v>
      </c>
      <c r="M3547">
        <v>140</v>
      </c>
      <c r="N3547">
        <v>29</v>
      </c>
      <c r="O3547">
        <v>34</v>
      </c>
      <c r="P3547">
        <v>20</v>
      </c>
      <c r="Q3547">
        <v>29</v>
      </c>
      <c r="R3547">
        <v>27</v>
      </c>
    </row>
    <row r="3548" spans="1:18" x14ac:dyDescent="0.25">
      <c r="A3548" t="s">
        <v>3797</v>
      </c>
      <c r="B3548" t="s">
        <v>55</v>
      </c>
      <c r="C3548" t="s">
        <v>3764</v>
      </c>
      <c r="D3548" t="s">
        <v>3765</v>
      </c>
      <c r="E3548" t="s">
        <v>78</v>
      </c>
      <c r="F3548" t="s">
        <v>252</v>
      </c>
      <c r="G3548">
        <v>5.7916999999999996</v>
      </c>
      <c r="H3548">
        <v>-75.839399999999998</v>
      </c>
      <c r="I3548" t="s">
        <v>3766</v>
      </c>
      <c r="J3548">
        <v>11</v>
      </c>
      <c r="M3548">
        <v>130</v>
      </c>
      <c r="N3548">
        <v>20</v>
      </c>
      <c r="O3548">
        <v>28</v>
      </c>
      <c r="P3548">
        <v>32</v>
      </c>
      <c r="Q3548">
        <v>21</v>
      </c>
      <c r="R3548">
        <v>36</v>
      </c>
    </row>
    <row r="3549" spans="1:18" x14ac:dyDescent="0.25">
      <c r="A3549" t="s">
        <v>3798</v>
      </c>
      <c r="B3549" t="s">
        <v>55</v>
      </c>
      <c r="C3549" t="s">
        <v>3799</v>
      </c>
      <c r="D3549" t="s">
        <v>3800</v>
      </c>
      <c r="E3549" t="s">
        <v>78</v>
      </c>
      <c r="F3549" t="s">
        <v>252</v>
      </c>
      <c r="G3549">
        <v>7.6017000000000001</v>
      </c>
      <c r="H3549">
        <v>-74.808300000000003</v>
      </c>
      <c r="I3549" t="s">
        <v>3801</v>
      </c>
      <c r="J3549">
        <v>11</v>
      </c>
      <c r="M3549">
        <v>230</v>
      </c>
      <c r="N3549">
        <v>49</v>
      </c>
      <c r="O3549">
        <v>32</v>
      </c>
      <c r="P3549">
        <v>64</v>
      </c>
      <c r="Q3549">
        <v>41</v>
      </c>
      <c r="R3549">
        <v>40</v>
      </c>
    </row>
    <row r="3550" spans="1:18" x14ac:dyDescent="0.25">
      <c r="A3550" t="s">
        <v>3802</v>
      </c>
      <c r="B3550" t="s">
        <v>55</v>
      </c>
      <c r="C3550" t="s">
        <v>3799</v>
      </c>
      <c r="D3550" t="s">
        <v>3800</v>
      </c>
      <c r="E3550" t="s">
        <v>78</v>
      </c>
      <c r="F3550" t="s">
        <v>252</v>
      </c>
      <c r="G3550">
        <v>7.6017000000000001</v>
      </c>
      <c r="H3550">
        <v>-74.808300000000003</v>
      </c>
      <c r="I3550" t="s">
        <v>3801</v>
      </c>
      <c r="J3550">
        <v>11</v>
      </c>
      <c r="M3550">
        <v>224</v>
      </c>
      <c r="N3550">
        <v>46</v>
      </c>
      <c r="O3550">
        <v>32</v>
      </c>
      <c r="P3550">
        <v>60</v>
      </c>
      <c r="Q3550">
        <v>36</v>
      </c>
      <c r="R3550">
        <v>60</v>
      </c>
    </row>
    <row r="3551" spans="1:18" x14ac:dyDescent="0.25">
      <c r="A3551" t="s">
        <v>3803</v>
      </c>
      <c r="B3551" t="s">
        <v>55</v>
      </c>
      <c r="C3551" t="s">
        <v>3799</v>
      </c>
      <c r="D3551" t="s">
        <v>3800</v>
      </c>
      <c r="E3551" t="s">
        <v>78</v>
      </c>
      <c r="F3551" t="s">
        <v>252</v>
      </c>
      <c r="G3551">
        <v>7.6017000000000001</v>
      </c>
      <c r="H3551">
        <v>-74.808300000000003</v>
      </c>
      <c r="I3551" t="s">
        <v>3801</v>
      </c>
      <c r="J3551">
        <v>11</v>
      </c>
      <c r="M3551">
        <v>220</v>
      </c>
      <c r="N3551">
        <v>39</v>
      </c>
      <c r="O3551">
        <v>28</v>
      </c>
      <c r="P3551">
        <v>60</v>
      </c>
      <c r="Q3551">
        <v>48</v>
      </c>
      <c r="R3551">
        <v>47</v>
      </c>
    </row>
    <row r="3552" spans="1:18" x14ac:dyDescent="0.25">
      <c r="A3552" t="s">
        <v>3804</v>
      </c>
      <c r="B3552" t="s">
        <v>55</v>
      </c>
      <c r="C3552" t="s">
        <v>3799</v>
      </c>
      <c r="D3552" t="s">
        <v>3800</v>
      </c>
      <c r="E3552" t="s">
        <v>78</v>
      </c>
      <c r="F3552" t="s">
        <v>252</v>
      </c>
      <c r="G3552">
        <v>7.6017000000000001</v>
      </c>
      <c r="H3552">
        <v>-74.808300000000003</v>
      </c>
      <c r="I3552" t="s">
        <v>3801</v>
      </c>
      <c r="J3552">
        <v>11</v>
      </c>
      <c r="M3552">
        <v>198</v>
      </c>
      <c r="N3552">
        <v>44</v>
      </c>
      <c r="O3552">
        <v>34</v>
      </c>
      <c r="P3552">
        <v>52</v>
      </c>
      <c r="Q3552">
        <v>26</v>
      </c>
      <c r="R3552">
        <v>47</v>
      </c>
    </row>
    <row r="3553" spans="1:18" x14ac:dyDescent="0.25">
      <c r="A3553" t="s">
        <v>3805</v>
      </c>
      <c r="B3553" t="s">
        <v>55</v>
      </c>
      <c r="C3553" t="s">
        <v>3799</v>
      </c>
      <c r="D3553" t="s">
        <v>3800</v>
      </c>
      <c r="E3553" t="s">
        <v>78</v>
      </c>
      <c r="F3553" t="s">
        <v>252</v>
      </c>
      <c r="G3553">
        <v>7.6017000000000001</v>
      </c>
      <c r="H3553">
        <v>-74.808300000000003</v>
      </c>
      <c r="I3553" t="s">
        <v>3801</v>
      </c>
      <c r="J3553">
        <v>11</v>
      </c>
      <c r="M3553">
        <v>196</v>
      </c>
      <c r="N3553">
        <v>66</v>
      </c>
      <c r="O3553">
        <v>26</v>
      </c>
      <c r="P3553">
        <v>38</v>
      </c>
      <c r="Q3553">
        <v>29</v>
      </c>
      <c r="R3553">
        <v>33</v>
      </c>
    </row>
    <row r="3554" spans="1:18" x14ac:dyDescent="0.25">
      <c r="A3554" t="s">
        <v>3806</v>
      </c>
      <c r="B3554" t="s">
        <v>55</v>
      </c>
      <c r="C3554" t="s">
        <v>3799</v>
      </c>
      <c r="D3554" t="s">
        <v>3800</v>
      </c>
      <c r="E3554" t="s">
        <v>78</v>
      </c>
      <c r="F3554" t="s">
        <v>252</v>
      </c>
      <c r="G3554">
        <v>7.6017000000000001</v>
      </c>
      <c r="H3554">
        <v>-74.808300000000003</v>
      </c>
      <c r="I3554" t="s">
        <v>3801</v>
      </c>
      <c r="J3554">
        <v>11</v>
      </c>
      <c r="M3554">
        <v>191</v>
      </c>
      <c r="N3554">
        <v>46</v>
      </c>
      <c r="O3554">
        <v>28</v>
      </c>
      <c r="P3554">
        <v>50</v>
      </c>
      <c r="Q3554">
        <v>31</v>
      </c>
      <c r="R3554">
        <v>31</v>
      </c>
    </row>
    <row r="3555" spans="1:18" x14ac:dyDescent="0.25">
      <c r="A3555" t="s">
        <v>3807</v>
      </c>
      <c r="B3555" t="s">
        <v>55</v>
      </c>
      <c r="C3555" t="s">
        <v>3799</v>
      </c>
      <c r="D3555" t="s">
        <v>3800</v>
      </c>
      <c r="E3555" t="s">
        <v>78</v>
      </c>
      <c r="F3555" t="s">
        <v>252</v>
      </c>
      <c r="G3555">
        <v>7.6017000000000001</v>
      </c>
      <c r="H3555">
        <v>-74.808300000000003</v>
      </c>
      <c r="I3555" t="s">
        <v>3801</v>
      </c>
      <c r="J3555">
        <v>11</v>
      </c>
      <c r="M3555">
        <v>187</v>
      </c>
      <c r="N3555">
        <v>37</v>
      </c>
      <c r="O3555">
        <v>24</v>
      </c>
      <c r="P3555">
        <v>56</v>
      </c>
      <c r="Q3555">
        <v>29</v>
      </c>
      <c r="R3555">
        <v>47</v>
      </c>
    </row>
    <row r="3556" spans="1:18" x14ac:dyDescent="0.25">
      <c r="A3556" t="s">
        <v>3808</v>
      </c>
      <c r="B3556" t="s">
        <v>55</v>
      </c>
      <c r="C3556" t="s">
        <v>3799</v>
      </c>
      <c r="D3556" t="s">
        <v>3800</v>
      </c>
      <c r="E3556" t="s">
        <v>78</v>
      </c>
      <c r="F3556" t="s">
        <v>252</v>
      </c>
      <c r="G3556">
        <v>7.6017000000000001</v>
      </c>
      <c r="H3556">
        <v>-74.808300000000003</v>
      </c>
      <c r="I3556" t="s">
        <v>3801</v>
      </c>
      <c r="J3556">
        <v>11</v>
      </c>
      <c r="M3556">
        <v>183</v>
      </c>
      <c r="N3556">
        <v>39</v>
      </c>
      <c r="O3556">
        <v>24</v>
      </c>
      <c r="P3556">
        <v>42</v>
      </c>
      <c r="Q3556">
        <v>38</v>
      </c>
      <c r="R3556">
        <v>47</v>
      </c>
    </row>
    <row r="3557" spans="1:18" x14ac:dyDescent="0.25">
      <c r="A3557" t="s">
        <v>3809</v>
      </c>
      <c r="B3557" t="s">
        <v>55</v>
      </c>
      <c r="C3557" t="s">
        <v>3799</v>
      </c>
      <c r="D3557" t="s">
        <v>3800</v>
      </c>
      <c r="E3557" t="s">
        <v>78</v>
      </c>
      <c r="F3557" t="s">
        <v>252</v>
      </c>
      <c r="G3557">
        <v>7.6017000000000001</v>
      </c>
      <c r="H3557">
        <v>-74.808300000000003</v>
      </c>
      <c r="I3557" t="s">
        <v>3801</v>
      </c>
      <c r="J3557">
        <v>11</v>
      </c>
      <c r="M3557">
        <v>182</v>
      </c>
      <c r="N3557">
        <v>34</v>
      </c>
      <c r="O3557">
        <v>42</v>
      </c>
      <c r="P3557">
        <v>32</v>
      </c>
      <c r="Q3557">
        <v>41</v>
      </c>
      <c r="R3557">
        <v>24</v>
      </c>
    </row>
    <row r="3558" spans="1:18" x14ac:dyDescent="0.25">
      <c r="A3558" t="s">
        <v>3810</v>
      </c>
      <c r="B3558" t="s">
        <v>55</v>
      </c>
      <c r="C3558" t="s">
        <v>3799</v>
      </c>
      <c r="D3558" t="s">
        <v>3800</v>
      </c>
      <c r="E3558" t="s">
        <v>78</v>
      </c>
      <c r="F3558" t="s">
        <v>252</v>
      </c>
      <c r="G3558">
        <v>7.6017000000000001</v>
      </c>
      <c r="H3558">
        <v>-74.808300000000003</v>
      </c>
      <c r="I3558" t="s">
        <v>3801</v>
      </c>
      <c r="J3558">
        <v>11</v>
      </c>
      <c r="M3558">
        <v>179</v>
      </c>
      <c r="N3558">
        <v>44</v>
      </c>
      <c r="O3558">
        <v>32</v>
      </c>
      <c r="P3558">
        <v>36</v>
      </c>
      <c r="Q3558">
        <v>31</v>
      </c>
      <c r="R3558">
        <v>36</v>
      </c>
    </row>
    <row r="3559" spans="1:18" x14ac:dyDescent="0.25">
      <c r="A3559" t="s">
        <v>3811</v>
      </c>
      <c r="B3559" t="s">
        <v>55</v>
      </c>
      <c r="C3559" t="s">
        <v>3799</v>
      </c>
      <c r="D3559" t="s">
        <v>3800</v>
      </c>
      <c r="E3559" t="s">
        <v>78</v>
      </c>
      <c r="F3559" t="s">
        <v>252</v>
      </c>
      <c r="G3559">
        <v>7.6017000000000001</v>
      </c>
      <c r="H3559">
        <v>-74.808300000000003</v>
      </c>
      <c r="I3559" t="s">
        <v>3801</v>
      </c>
      <c r="J3559">
        <v>11</v>
      </c>
      <c r="M3559">
        <v>175</v>
      </c>
      <c r="N3559">
        <v>34</v>
      </c>
      <c r="O3559">
        <v>24</v>
      </c>
      <c r="P3559">
        <v>38</v>
      </c>
      <c r="Q3559">
        <v>40</v>
      </c>
      <c r="R3559">
        <v>47</v>
      </c>
    </row>
    <row r="3560" spans="1:18" x14ac:dyDescent="0.25">
      <c r="A3560" t="s">
        <v>3812</v>
      </c>
      <c r="B3560" t="s">
        <v>55</v>
      </c>
      <c r="C3560" t="s">
        <v>3799</v>
      </c>
      <c r="D3560" t="s">
        <v>3800</v>
      </c>
      <c r="E3560" t="s">
        <v>78</v>
      </c>
      <c r="F3560" t="s">
        <v>252</v>
      </c>
      <c r="G3560">
        <v>7.6017000000000001</v>
      </c>
      <c r="H3560">
        <v>-74.808300000000003</v>
      </c>
      <c r="I3560" t="s">
        <v>3801</v>
      </c>
      <c r="J3560">
        <v>11</v>
      </c>
      <c r="M3560">
        <v>169</v>
      </c>
      <c r="N3560">
        <v>44</v>
      </c>
      <c r="O3560">
        <v>28</v>
      </c>
      <c r="P3560">
        <v>36</v>
      </c>
      <c r="Q3560">
        <v>24</v>
      </c>
      <c r="R3560">
        <v>44</v>
      </c>
    </row>
    <row r="3561" spans="1:18" x14ac:dyDescent="0.25">
      <c r="A3561" t="s">
        <v>3813</v>
      </c>
      <c r="B3561" t="s">
        <v>55</v>
      </c>
      <c r="C3561" t="s">
        <v>3799</v>
      </c>
      <c r="D3561" t="s">
        <v>3800</v>
      </c>
      <c r="E3561" t="s">
        <v>78</v>
      </c>
      <c r="F3561" t="s">
        <v>252</v>
      </c>
      <c r="G3561">
        <v>7.6017000000000001</v>
      </c>
      <c r="H3561">
        <v>-74.808300000000003</v>
      </c>
      <c r="I3561" t="s">
        <v>3801</v>
      </c>
      <c r="J3561">
        <v>11</v>
      </c>
      <c r="M3561">
        <v>160</v>
      </c>
      <c r="N3561">
        <v>27</v>
      </c>
      <c r="O3561">
        <v>30</v>
      </c>
      <c r="P3561">
        <v>38</v>
      </c>
      <c r="Q3561">
        <v>29</v>
      </c>
      <c r="R3561">
        <v>44</v>
      </c>
    </row>
    <row r="3562" spans="1:18" x14ac:dyDescent="0.25">
      <c r="A3562" t="s">
        <v>3814</v>
      </c>
      <c r="B3562" t="s">
        <v>55</v>
      </c>
      <c r="C3562" t="s">
        <v>3799</v>
      </c>
      <c r="D3562" t="s">
        <v>3800</v>
      </c>
      <c r="E3562" t="s">
        <v>78</v>
      </c>
      <c r="F3562" t="s">
        <v>252</v>
      </c>
      <c r="G3562">
        <v>7.6017000000000001</v>
      </c>
      <c r="H3562">
        <v>-74.808300000000003</v>
      </c>
      <c r="I3562" t="s">
        <v>3801</v>
      </c>
      <c r="J3562">
        <v>11</v>
      </c>
      <c r="M3562">
        <v>158</v>
      </c>
      <c r="N3562">
        <v>32</v>
      </c>
      <c r="O3562">
        <v>30</v>
      </c>
      <c r="P3562">
        <v>38</v>
      </c>
      <c r="Q3562">
        <v>28</v>
      </c>
      <c r="R3562">
        <v>29</v>
      </c>
    </row>
    <row r="3563" spans="1:18" x14ac:dyDescent="0.25">
      <c r="A3563" t="s">
        <v>3815</v>
      </c>
      <c r="B3563" t="s">
        <v>55</v>
      </c>
      <c r="C3563" t="s">
        <v>3799</v>
      </c>
      <c r="D3563" t="s">
        <v>3800</v>
      </c>
      <c r="E3563" t="s">
        <v>78</v>
      </c>
      <c r="F3563" t="s">
        <v>252</v>
      </c>
      <c r="G3563">
        <v>7.6017000000000001</v>
      </c>
      <c r="H3563">
        <v>-74.808300000000003</v>
      </c>
      <c r="I3563" t="s">
        <v>3801</v>
      </c>
      <c r="J3563">
        <v>11</v>
      </c>
      <c r="M3563">
        <v>156</v>
      </c>
      <c r="N3563">
        <v>34</v>
      </c>
      <c r="O3563">
        <v>26</v>
      </c>
      <c r="P3563">
        <v>38</v>
      </c>
      <c r="Q3563">
        <v>24</v>
      </c>
      <c r="R3563">
        <v>38</v>
      </c>
    </row>
    <row r="3564" spans="1:18" x14ac:dyDescent="0.25">
      <c r="A3564" t="s">
        <v>3816</v>
      </c>
      <c r="B3564" t="s">
        <v>55</v>
      </c>
      <c r="C3564" t="s">
        <v>3799</v>
      </c>
      <c r="D3564" t="s">
        <v>3800</v>
      </c>
      <c r="E3564" t="s">
        <v>78</v>
      </c>
      <c r="F3564" t="s">
        <v>252</v>
      </c>
      <c r="G3564">
        <v>7.6017000000000001</v>
      </c>
      <c r="H3564">
        <v>-74.808300000000003</v>
      </c>
      <c r="I3564" t="s">
        <v>3801</v>
      </c>
      <c r="J3564">
        <v>11</v>
      </c>
      <c r="M3564">
        <v>155</v>
      </c>
      <c r="N3564">
        <v>34</v>
      </c>
      <c r="O3564">
        <v>22</v>
      </c>
      <c r="P3564">
        <v>36</v>
      </c>
      <c r="Q3564">
        <v>31</v>
      </c>
      <c r="R3564">
        <v>33</v>
      </c>
    </row>
    <row r="3565" spans="1:18" x14ac:dyDescent="0.25">
      <c r="A3565" t="s">
        <v>3817</v>
      </c>
      <c r="B3565" t="s">
        <v>55</v>
      </c>
      <c r="C3565" t="s">
        <v>3799</v>
      </c>
      <c r="D3565" t="s">
        <v>3800</v>
      </c>
      <c r="E3565" t="s">
        <v>78</v>
      </c>
      <c r="F3565" t="s">
        <v>252</v>
      </c>
      <c r="G3565">
        <v>7.6017000000000001</v>
      </c>
      <c r="H3565">
        <v>-74.808300000000003</v>
      </c>
      <c r="I3565" t="s">
        <v>3801</v>
      </c>
      <c r="J3565">
        <v>11</v>
      </c>
      <c r="M3565">
        <v>152</v>
      </c>
      <c r="N3565">
        <v>44</v>
      </c>
      <c r="O3565">
        <v>28</v>
      </c>
      <c r="P3565">
        <v>24</v>
      </c>
      <c r="Q3565">
        <v>24</v>
      </c>
      <c r="R3565">
        <v>36</v>
      </c>
    </row>
    <row r="3566" spans="1:18" x14ac:dyDescent="0.25">
      <c r="A3566" t="s">
        <v>3818</v>
      </c>
      <c r="B3566" t="s">
        <v>55</v>
      </c>
      <c r="C3566" t="s">
        <v>3799</v>
      </c>
      <c r="D3566" t="s">
        <v>3800</v>
      </c>
      <c r="E3566" t="s">
        <v>78</v>
      </c>
      <c r="F3566" t="s">
        <v>252</v>
      </c>
      <c r="G3566">
        <v>7.6017000000000001</v>
      </c>
      <c r="H3566">
        <v>-74.808300000000003</v>
      </c>
      <c r="I3566" t="s">
        <v>3801</v>
      </c>
      <c r="J3566">
        <v>11</v>
      </c>
      <c r="M3566">
        <v>151</v>
      </c>
      <c r="N3566">
        <v>39</v>
      </c>
      <c r="O3566">
        <v>20</v>
      </c>
      <c r="P3566">
        <v>34</v>
      </c>
      <c r="Q3566">
        <v>24</v>
      </c>
      <c r="R3566">
        <v>42</v>
      </c>
    </row>
    <row r="3567" spans="1:18" x14ac:dyDescent="0.25">
      <c r="A3567" t="s">
        <v>3819</v>
      </c>
      <c r="B3567" t="s">
        <v>55</v>
      </c>
      <c r="C3567" t="s">
        <v>3799</v>
      </c>
      <c r="D3567" t="s">
        <v>3800</v>
      </c>
      <c r="E3567" t="s">
        <v>78</v>
      </c>
      <c r="F3567" t="s">
        <v>252</v>
      </c>
      <c r="G3567">
        <v>7.6017000000000001</v>
      </c>
      <c r="H3567">
        <v>-74.808300000000003</v>
      </c>
      <c r="I3567" t="s">
        <v>3801</v>
      </c>
      <c r="J3567">
        <v>11</v>
      </c>
      <c r="M3567">
        <v>149</v>
      </c>
      <c r="N3567">
        <v>24</v>
      </c>
      <c r="O3567">
        <v>32</v>
      </c>
      <c r="P3567">
        <v>36</v>
      </c>
      <c r="Q3567">
        <v>29</v>
      </c>
      <c r="R3567">
        <v>22</v>
      </c>
    </row>
    <row r="3568" spans="1:18" x14ac:dyDescent="0.25">
      <c r="A3568" t="s">
        <v>3820</v>
      </c>
      <c r="B3568" t="s">
        <v>55</v>
      </c>
      <c r="C3568" t="s">
        <v>3799</v>
      </c>
      <c r="D3568" t="s">
        <v>3800</v>
      </c>
      <c r="E3568" t="s">
        <v>78</v>
      </c>
      <c r="F3568" t="s">
        <v>252</v>
      </c>
      <c r="G3568">
        <v>7.6017000000000001</v>
      </c>
      <c r="H3568">
        <v>-74.808300000000003</v>
      </c>
      <c r="I3568" t="s">
        <v>3801</v>
      </c>
      <c r="J3568">
        <v>11</v>
      </c>
      <c r="M3568">
        <v>149</v>
      </c>
      <c r="N3568">
        <v>46</v>
      </c>
      <c r="O3568">
        <v>28</v>
      </c>
      <c r="P3568">
        <v>18</v>
      </c>
      <c r="Q3568">
        <v>29</v>
      </c>
      <c r="R3568">
        <v>22</v>
      </c>
    </row>
    <row r="3569" spans="1:18" x14ac:dyDescent="0.25">
      <c r="A3569" t="s">
        <v>3821</v>
      </c>
      <c r="B3569" t="s">
        <v>55</v>
      </c>
      <c r="C3569" t="s">
        <v>3799</v>
      </c>
      <c r="D3569" t="s">
        <v>3800</v>
      </c>
      <c r="E3569" t="s">
        <v>78</v>
      </c>
      <c r="F3569" t="s">
        <v>252</v>
      </c>
      <c r="G3569">
        <v>7.6017000000000001</v>
      </c>
      <c r="H3569">
        <v>-74.808300000000003</v>
      </c>
      <c r="I3569" t="s">
        <v>3801</v>
      </c>
      <c r="J3569">
        <v>11</v>
      </c>
      <c r="M3569">
        <v>147</v>
      </c>
      <c r="N3569">
        <v>27</v>
      </c>
      <c r="O3569">
        <v>38</v>
      </c>
      <c r="P3569">
        <v>36</v>
      </c>
      <c r="Q3569">
        <v>17</v>
      </c>
      <c r="R3569">
        <v>29</v>
      </c>
    </row>
    <row r="3570" spans="1:18" x14ac:dyDescent="0.25">
      <c r="A3570" t="s">
        <v>3822</v>
      </c>
      <c r="B3570" t="s">
        <v>55</v>
      </c>
      <c r="C3570" t="s">
        <v>3799</v>
      </c>
      <c r="D3570" t="s">
        <v>3800</v>
      </c>
      <c r="E3570" t="s">
        <v>78</v>
      </c>
      <c r="F3570" t="s">
        <v>252</v>
      </c>
      <c r="G3570">
        <v>7.6017000000000001</v>
      </c>
      <c r="H3570">
        <v>-74.808300000000003</v>
      </c>
      <c r="I3570" t="s">
        <v>3801</v>
      </c>
      <c r="J3570">
        <v>11</v>
      </c>
      <c r="M3570">
        <v>145</v>
      </c>
      <c r="N3570">
        <v>27</v>
      </c>
      <c r="O3570">
        <v>22</v>
      </c>
      <c r="P3570">
        <v>28</v>
      </c>
      <c r="Q3570">
        <v>33</v>
      </c>
      <c r="R3570">
        <v>47</v>
      </c>
    </row>
    <row r="3571" spans="1:18" x14ac:dyDescent="0.25">
      <c r="A3571" t="s">
        <v>3823</v>
      </c>
      <c r="B3571" t="s">
        <v>55</v>
      </c>
      <c r="C3571" t="s">
        <v>3799</v>
      </c>
      <c r="D3571" t="s">
        <v>3800</v>
      </c>
      <c r="E3571" t="s">
        <v>78</v>
      </c>
      <c r="F3571" t="s">
        <v>252</v>
      </c>
      <c r="G3571">
        <v>7.6017000000000001</v>
      </c>
      <c r="H3571">
        <v>-74.808300000000003</v>
      </c>
      <c r="I3571" t="s">
        <v>3801</v>
      </c>
      <c r="J3571">
        <v>11</v>
      </c>
      <c r="M3571">
        <v>144</v>
      </c>
      <c r="N3571">
        <v>24</v>
      </c>
      <c r="O3571">
        <v>24</v>
      </c>
      <c r="P3571">
        <v>36</v>
      </c>
      <c r="Q3571">
        <v>22</v>
      </c>
      <c r="R3571">
        <v>53</v>
      </c>
    </row>
    <row r="3572" spans="1:18" x14ac:dyDescent="0.25">
      <c r="A3572" t="s">
        <v>3824</v>
      </c>
      <c r="B3572" t="s">
        <v>55</v>
      </c>
      <c r="C3572" t="s">
        <v>3799</v>
      </c>
      <c r="D3572" t="s">
        <v>3800</v>
      </c>
      <c r="E3572" t="s">
        <v>78</v>
      </c>
      <c r="F3572" t="s">
        <v>252</v>
      </c>
      <c r="G3572">
        <v>7.6017000000000001</v>
      </c>
      <c r="H3572">
        <v>-74.808300000000003</v>
      </c>
      <c r="I3572" t="s">
        <v>3801</v>
      </c>
      <c r="J3572">
        <v>11</v>
      </c>
      <c r="M3572">
        <v>142</v>
      </c>
      <c r="N3572">
        <v>34</v>
      </c>
      <c r="O3572">
        <v>14</v>
      </c>
      <c r="P3572">
        <v>32</v>
      </c>
      <c r="Q3572">
        <v>33</v>
      </c>
      <c r="R3572">
        <v>31</v>
      </c>
    </row>
    <row r="3573" spans="1:18" x14ac:dyDescent="0.25">
      <c r="A3573" t="s">
        <v>3825</v>
      </c>
      <c r="B3573" t="s">
        <v>55</v>
      </c>
      <c r="C3573" t="s">
        <v>3799</v>
      </c>
      <c r="D3573" t="s">
        <v>3800</v>
      </c>
      <c r="E3573" t="s">
        <v>78</v>
      </c>
      <c r="F3573" t="s">
        <v>252</v>
      </c>
      <c r="G3573">
        <v>7.6017000000000001</v>
      </c>
      <c r="H3573">
        <v>-74.808300000000003</v>
      </c>
      <c r="I3573" t="s">
        <v>3801</v>
      </c>
      <c r="J3573">
        <v>11</v>
      </c>
      <c r="M3573">
        <v>138</v>
      </c>
      <c r="N3573">
        <v>17</v>
      </c>
      <c r="O3573">
        <v>26</v>
      </c>
      <c r="P3573">
        <v>44</v>
      </c>
      <c r="Q3573">
        <v>21</v>
      </c>
      <c r="R3573">
        <v>36</v>
      </c>
    </row>
    <row r="3574" spans="1:18" x14ac:dyDescent="0.25">
      <c r="A3574" t="s">
        <v>3826</v>
      </c>
      <c r="B3574" t="s">
        <v>55</v>
      </c>
      <c r="C3574" t="s">
        <v>3799</v>
      </c>
      <c r="D3574" t="s">
        <v>3800</v>
      </c>
      <c r="E3574" t="s">
        <v>78</v>
      </c>
      <c r="F3574" t="s">
        <v>252</v>
      </c>
      <c r="G3574">
        <v>7.6017000000000001</v>
      </c>
      <c r="H3574">
        <v>-74.808300000000003</v>
      </c>
      <c r="I3574" t="s">
        <v>3801</v>
      </c>
      <c r="J3574">
        <v>11</v>
      </c>
      <c r="M3574">
        <v>137</v>
      </c>
      <c r="N3574">
        <v>27</v>
      </c>
      <c r="O3574">
        <v>18</v>
      </c>
      <c r="P3574">
        <v>28</v>
      </c>
      <c r="Q3574">
        <v>33</v>
      </c>
      <c r="R3574">
        <v>38</v>
      </c>
    </row>
    <row r="3575" spans="1:18" x14ac:dyDescent="0.25">
      <c r="A3575" t="s">
        <v>3827</v>
      </c>
      <c r="B3575" t="s">
        <v>55</v>
      </c>
      <c r="C3575" t="s">
        <v>3799</v>
      </c>
      <c r="D3575" t="s">
        <v>3800</v>
      </c>
      <c r="E3575" t="s">
        <v>78</v>
      </c>
      <c r="F3575" t="s">
        <v>252</v>
      </c>
      <c r="G3575">
        <v>7.6017000000000001</v>
      </c>
      <c r="H3575">
        <v>-74.808300000000003</v>
      </c>
      <c r="I3575" t="s">
        <v>3801</v>
      </c>
      <c r="J3575">
        <v>11</v>
      </c>
      <c r="M3575">
        <v>134</v>
      </c>
      <c r="N3575">
        <v>29</v>
      </c>
      <c r="O3575">
        <v>20</v>
      </c>
      <c r="P3575">
        <v>22</v>
      </c>
      <c r="Q3575">
        <v>34</v>
      </c>
      <c r="R3575">
        <v>31</v>
      </c>
    </row>
    <row r="3576" spans="1:18" x14ac:dyDescent="0.25">
      <c r="A3576" t="s">
        <v>3828</v>
      </c>
      <c r="B3576" t="s">
        <v>55</v>
      </c>
      <c r="C3576" t="s">
        <v>3799</v>
      </c>
      <c r="D3576" t="s">
        <v>3800</v>
      </c>
      <c r="E3576" t="s">
        <v>78</v>
      </c>
      <c r="F3576" t="s">
        <v>252</v>
      </c>
      <c r="G3576">
        <v>7.6017000000000001</v>
      </c>
      <c r="H3576">
        <v>-74.808300000000003</v>
      </c>
      <c r="I3576" t="s">
        <v>3801</v>
      </c>
      <c r="J3576">
        <v>11</v>
      </c>
      <c r="M3576">
        <v>134</v>
      </c>
      <c r="N3576">
        <v>27</v>
      </c>
      <c r="O3576">
        <v>14</v>
      </c>
      <c r="P3576">
        <v>40</v>
      </c>
      <c r="Q3576">
        <v>24</v>
      </c>
      <c r="R3576">
        <v>33</v>
      </c>
    </row>
    <row r="3577" spans="1:18" x14ac:dyDescent="0.25">
      <c r="A3577" t="s">
        <v>3829</v>
      </c>
      <c r="B3577" t="s">
        <v>55</v>
      </c>
      <c r="C3577" t="s">
        <v>3799</v>
      </c>
      <c r="D3577" t="s">
        <v>3800</v>
      </c>
      <c r="E3577" t="s">
        <v>78</v>
      </c>
      <c r="F3577" t="s">
        <v>252</v>
      </c>
      <c r="G3577">
        <v>7.6017000000000001</v>
      </c>
      <c r="H3577">
        <v>-74.808300000000003</v>
      </c>
      <c r="I3577" t="s">
        <v>3801</v>
      </c>
      <c r="J3577">
        <v>11</v>
      </c>
      <c r="M3577">
        <v>133</v>
      </c>
      <c r="N3577">
        <v>39</v>
      </c>
      <c r="O3577">
        <v>28</v>
      </c>
      <c r="P3577">
        <v>20</v>
      </c>
      <c r="Q3577">
        <v>21</v>
      </c>
      <c r="R3577">
        <v>24</v>
      </c>
    </row>
    <row r="3578" spans="1:18" x14ac:dyDescent="0.25">
      <c r="A3578" t="s">
        <v>3830</v>
      </c>
      <c r="B3578" t="s">
        <v>55</v>
      </c>
      <c r="C3578" t="s">
        <v>3799</v>
      </c>
      <c r="D3578" t="s">
        <v>3800</v>
      </c>
      <c r="E3578" t="s">
        <v>78</v>
      </c>
      <c r="F3578" t="s">
        <v>252</v>
      </c>
      <c r="G3578">
        <v>7.6017000000000001</v>
      </c>
      <c r="H3578">
        <v>-74.808300000000003</v>
      </c>
      <c r="I3578" t="s">
        <v>3801</v>
      </c>
      <c r="J3578">
        <v>11</v>
      </c>
      <c r="M3578">
        <v>133</v>
      </c>
      <c r="N3578">
        <v>29</v>
      </c>
      <c r="O3578">
        <v>20</v>
      </c>
      <c r="P3578">
        <v>30</v>
      </c>
      <c r="Q3578">
        <v>28</v>
      </c>
      <c r="R3578">
        <v>25</v>
      </c>
    </row>
    <row r="3579" spans="1:18" x14ac:dyDescent="0.25">
      <c r="A3579" t="s">
        <v>3831</v>
      </c>
      <c r="B3579" t="s">
        <v>55</v>
      </c>
      <c r="C3579" t="s">
        <v>3799</v>
      </c>
      <c r="D3579" t="s">
        <v>3800</v>
      </c>
      <c r="E3579" t="s">
        <v>78</v>
      </c>
      <c r="F3579" t="s">
        <v>252</v>
      </c>
      <c r="G3579">
        <v>7.6017000000000001</v>
      </c>
      <c r="H3579">
        <v>-74.808300000000003</v>
      </c>
      <c r="I3579" t="s">
        <v>3801</v>
      </c>
      <c r="J3579">
        <v>11</v>
      </c>
      <c r="M3579">
        <v>130</v>
      </c>
      <c r="N3579">
        <v>34</v>
      </c>
      <c r="O3579">
        <v>22</v>
      </c>
      <c r="P3579">
        <v>24</v>
      </c>
      <c r="Q3579">
        <v>22</v>
      </c>
      <c r="R3579">
        <v>29</v>
      </c>
    </row>
    <row r="3580" spans="1:18" x14ac:dyDescent="0.25">
      <c r="A3580" t="s">
        <v>3832</v>
      </c>
      <c r="B3580" t="s">
        <v>55</v>
      </c>
      <c r="C3580" t="s">
        <v>3799</v>
      </c>
      <c r="D3580" t="s">
        <v>3800</v>
      </c>
      <c r="E3580" t="s">
        <v>78</v>
      </c>
      <c r="F3580" t="s">
        <v>252</v>
      </c>
      <c r="G3580">
        <v>7.6017000000000001</v>
      </c>
      <c r="H3580">
        <v>-74.808300000000003</v>
      </c>
      <c r="I3580" t="s">
        <v>3801</v>
      </c>
      <c r="J3580">
        <v>11</v>
      </c>
      <c r="M3580">
        <v>129</v>
      </c>
      <c r="N3580">
        <v>29</v>
      </c>
      <c r="O3580">
        <v>16</v>
      </c>
      <c r="P3580">
        <v>28</v>
      </c>
      <c r="Q3580">
        <v>29</v>
      </c>
      <c r="R3580">
        <v>27</v>
      </c>
    </row>
    <row r="3581" spans="1:18" x14ac:dyDescent="0.25">
      <c r="A3581" t="s">
        <v>3833</v>
      </c>
      <c r="B3581" t="s">
        <v>55</v>
      </c>
      <c r="C3581" t="s">
        <v>3799</v>
      </c>
      <c r="D3581" t="s">
        <v>3800</v>
      </c>
      <c r="E3581" t="s">
        <v>78</v>
      </c>
      <c r="F3581" t="s">
        <v>252</v>
      </c>
      <c r="G3581">
        <v>7.6017000000000001</v>
      </c>
      <c r="H3581">
        <v>-74.808300000000003</v>
      </c>
      <c r="I3581" t="s">
        <v>3801</v>
      </c>
      <c r="J3581">
        <v>11</v>
      </c>
      <c r="M3581">
        <v>128</v>
      </c>
      <c r="N3581">
        <v>22</v>
      </c>
      <c r="O3581">
        <v>22</v>
      </c>
      <c r="P3581">
        <v>32</v>
      </c>
      <c r="Q3581">
        <v>28</v>
      </c>
      <c r="R3581">
        <v>22</v>
      </c>
    </row>
    <row r="3582" spans="1:18" x14ac:dyDescent="0.25">
      <c r="A3582" t="s">
        <v>3834</v>
      </c>
      <c r="B3582" t="s">
        <v>55</v>
      </c>
      <c r="C3582" t="s">
        <v>3799</v>
      </c>
      <c r="D3582" t="s">
        <v>3800</v>
      </c>
      <c r="E3582" t="s">
        <v>78</v>
      </c>
      <c r="F3582" t="s">
        <v>252</v>
      </c>
      <c r="G3582">
        <v>7.6017000000000001</v>
      </c>
      <c r="H3582">
        <v>-74.808300000000003</v>
      </c>
      <c r="I3582" t="s">
        <v>3801</v>
      </c>
      <c r="J3582">
        <v>11</v>
      </c>
      <c r="M3582">
        <v>126</v>
      </c>
      <c r="N3582">
        <v>22</v>
      </c>
      <c r="O3582">
        <v>24</v>
      </c>
      <c r="P3582">
        <v>26</v>
      </c>
      <c r="Q3582">
        <v>24</v>
      </c>
      <c r="R3582">
        <v>38</v>
      </c>
    </row>
    <row r="3583" spans="1:18" x14ac:dyDescent="0.25">
      <c r="A3583" t="s">
        <v>3835</v>
      </c>
      <c r="B3583" t="s">
        <v>55</v>
      </c>
      <c r="C3583" t="s">
        <v>3799</v>
      </c>
      <c r="D3583" t="s">
        <v>3800</v>
      </c>
      <c r="E3583" t="s">
        <v>78</v>
      </c>
      <c r="F3583" t="s">
        <v>252</v>
      </c>
      <c r="G3583">
        <v>7.6017000000000001</v>
      </c>
      <c r="H3583">
        <v>-74.808300000000003</v>
      </c>
      <c r="I3583" t="s">
        <v>3801</v>
      </c>
      <c r="J3583">
        <v>11</v>
      </c>
      <c r="M3583">
        <v>121</v>
      </c>
      <c r="N3583">
        <v>24</v>
      </c>
      <c r="O3583">
        <v>8</v>
      </c>
      <c r="P3583">
        <v>26</v>
      </c>
      <c r="Q3583">
        <v>38</v>
      </c>
      <c r="R3583">
        <v>25</v>
      </c>
    </row>
    <row r="3584" spans="1:18" x14ac:dyDescent="0.25">
      <c r="A3584" t="s">
        <v>3836</v>
      </c>
      <c r="B3584" t="s">
        <v>55</v>
      </c>
      <c r="C3584" t="s">
        <v>3799</v>
      </c>
      <c r="D3584" t="s">
        <v>3800</v>
      </c>
      <c r="E3584" t="s">
        <v>78</v>
      </c>
      <c r="F3584" t="s">
        <v>252</v>
      </c>
      <c r="G3584">
        <v>7.6017000000000001</v>
      </c>
      <c r="H3584">
        <v>-74.808300000000003</v>
      </c>
      <c r="I3584" t="s">
        <v>3801</v>
      </c>
      <c r="J3584">
        <v>11</v>
      </c>
      <c r="M3584">
        <v>119</v>
      </c>
      <c r="N3584">
        <v>29</v>
      </c>
      <c r="O3584">
        <v>18</v>
      </c>
      <c r="P3584">
        <v>32</v>
      </c>
      <c r="Q3584">
        <v>16</v>
      </c>
      <c r="R3584">
        <v>25</v>
      </c>
    </row>
    <row r="3585" spans="1:18" x14ac:dyDescent="0.25">
      <c r="A3585" t="s">
        <v>3837</v>
      </c>
      <c r="B3585" t="s">
        <v>55</v>
      </c>
      <c r="C3585" t="s">
        <v>3799</v>
      </c>
      <c r="D3585" t="s">
        <v>3800</v>
      </c>
      <c r="E3585" t="s">
        <v>78</v>
      </c>
      <c r="F3585" t="s">
        <v>252</v>
      </c>
      <c r="G3585">
        <v>7.6017000000000001</v>
      </c>
      <c r="H3585">
        <v>-74.808300000000003</v>
      </c>
      <c r="I3585" t="s">
        <v>3801</v>
      </c>
      <c r="J3585">
        <v>11</v>
      </c>
      <c r="M3585">
        <v>107</v>
      </c>
      <c r="N3585">
        <v>17</v>
      </c>
      <c r="O3585">
        <v>30</v>
      </c>
      <c r="P3585">
        <v>18</v>
      </c>
      <c r="Q3585">
        <v>21</v>
      </c>
      <c r="R3585">
        <v>22</v>
      </c>
    </row>
    <row r="3586" spans="1:18" x14ac:dyDescent="0.25">
      <c r="A3586" t="s">
        <v>3838</v>
      </c>
      <c r="B3586" t="s">
        <v>55</v>
      </c>
      <c r="C3586" t="s">
        <v>3799</v>
      </c>
      <c r="D3586" t="s">
        <v>3800</v>
      </c>
      <c r="E3586" t="s">
        <v>78</v>
      </c>
      <c r="F3586" t="s">
        <v>252</v>
      </c>
      <c r="G3586">
        <v>7.6017000000000001</v>
      </c>
      <c r="H3586">
        <v>-74.808300000000003</v>
      </c>
      <c r="I3586" t="s">
        <v>3801</v>
      </c>
      <c r="J3586">
        <v>11</v>
      </c>
      <c r="M3586">
        <v>99</v>
      </c>
      <c r="N3586">
        <v>10</v>
      </c>
      <c r="O3586">
        <v>20</v>
      </c>
      <c r="P3586">
        <v>28</v>
      </c>
      <c r="Q3586">
        <v>21</v>
      </c>
      <c r="R3586">
        <v>22</v>
      </c>
    </row>
    <row r="3587" spans="1:18" x14ac:dyDescent="0.25">
      <c r="A3587" t="s">
        <v>3839</v>
      </c>
      <c r="B3587" t="s">
        <v>55</v>
      </c>
      <c r="C3587" t="s">
        <v>3799</v>
      </c>
      <c r="D3587" t="s">
        <v>3800</v>
      </c>
      <c r="E3587" t="s">
        <v>78</v>
      </c>
      <c r="F3587" t="s">
        <v>252</v>
      </c>
      <c r="G3587">
        <v>7.6017000000000001</v>
      </c>
      <c r="H3587">
        <v>-74.808300000000003</v>
      </c>
      <c r="I3587" t="s">
        <v>3801</v>
      </c>
      <c r="J3587">
        <v>11</v>
      </c>
      <c r="M3587">
        <v>64</v>
      </c>
      <c r="N3587">
        <v>24</v>
      </c>
      <c r="O3587">
        <v>12</v>
      </c>
      <c r="P3587">
        <v>12</v>
      </c>
      <c r="Q3587">
        <v>7</v>
      </c>
      <c r="R3587">
        <v>0</v>
      </c>
    </row>
    <row r="3588" spans="1:18" x14ac:dyDescent="0.25">
      <c r="A3588" t="s">
        <v>3840</v>
      </c>
      <c r="B3588" t="s">
        <v>55</v>
      </c>
      <c r="C3588" t="s">
        <v>3799</v>
      </c>
      <c r="D3588" t="s">
        <v>3800</v>
      </c>
      <c r="E3588" t="s">
        <v>78</v>
      </c>
      <c r="F3588" t="s">
        <v>252</v>
      </c>
      <c r="G3588">
        <v>7.6017000000000001</v>
      </c>
      <c r="H3588">
        <v>-74.808300000000003</v>
      </c>
      <c r="I3588" t="s">
        <v>3801</v>
      </c>
      <c r="J3588">
        <v>11</v>
      </c>
      <c r="M3588">
        <v>62</v>
      </c>
      <c r="N3588">
        <v>0</v>
      </c>
      <c r="O3588">
        <v>12</v>
      </c>
      <c r="P3588">
        <v>22</v>
      </c>
      <c r="Q3588">
        <v>12</v>
      </c>
      <c r="R3588">
        <v>24</v>
      </c>
    </row>
    <row r="3589" spans="1:18" x14ac:dyDescent="0.25">
      <c r="A3589" t="s">
        <v>3841</v>
      </c>
      <c r="B3589" t="s">
        <v>55</v>
      </c>
      <c r="C3589" t="s">
        <v>3842</v>
      </c>
      <c r="D3589" t="s">
        <v>3843</v>
      </c>
      <c r="E3589" t="s">
        <v>78</v>
      </c>
      <c r="F3589" t="s">
        <v>252</v>
      </c>
      <c r="G3589">
        <v>5.7461000000000002</v>
      </c>
      <c r="H3589">
        <v>-75.606899999999996</v>
      </c>
      <c r="I3589" t="s">
        <v>3844</v>
      </c>
      <c r="J3589">
        <v>11</v>
      </c>
      <c r="M3589">
        <v>258</v>
      </c>
      <c r="N3589">
        <v>54</v>
      </c>
      <c r="O3589">
        <v>48</v>
      </c>
      <c r="P3589">
        <v>60</v>
      </c>
      <c r="Q3589">
        <v>43</v>
      </c>
      <c r="R3589">
        <v>56</v>
      </c>
    </row>
    <row r="3590" spans="1:18" x14ac:dyDescent="0.25">
      <c r="A3590" t="s">
        <v>3845</v>
      </c>
      <c r="B3590" t="s">
        <v>55</v>
      </c>
      <c r="C3590" t="s">
        <v>3842</v>
      </c>
      <c r="D3590" t="s">
        <v>3843</v>
      </c>
      <c r="E3590" t="s">
        <v>78</v>
      </c>
      <c r="F3590" t="s">
        <v>252</v>
      </c>
      <c r="G3590">
        <v>5.7461000000000002</v>
      </c>
      <c r="H3590">
        <v>-75.606899999999996</v>
      </c>
      <c r="I3590" t="s">
        <v>3844</v>
      </c>
      <c r="J3590">
        <v>11</v>
      </c>
      <c r="M3590">
        <v>245</v>
      </c>
      <c r="N3590">
        <v>71</v>
      </c>
      <c r="O3590">
        <v>30</v>
      </c>
      <c r="P3590">
        <v>42</v>
      </c>
      <c r="Q3590">
        <v>47</v>
      </c>
      <c r="R3590">
        <v>69</v>
      </c>
    </row>
    <row r="3591" spans="1:18" x14ac:dyDescent="0.25">
      <c r="A3591" t="s">
        <v>3846</v>
      </c>
      <c r="B3591" t="s">
        <v>55</v>
      </c>
      <c r="C3591" t="s">
        <v>3842</v>
      </c>
      <c r="D3591" t="s">
        <v>3843</v>
      </c>
      <c r="E3591" t="s">
        <v>78</v>
      </c>
      <c r="F3591" t="s">
        <v>252</v>
      </c>
      <c r="G3591">
        <v>5.7461000000000002</v>
      </c>
      <c r="H3591">
        <v>-75.606899999999996</v>
      </c>
      <c r="I3591" t="s">
        <v>3844</v>
      </c>
      <c r="J3591">
        <v>11</v>
      </c>
      <c r="M3591">
        <v>244</v>
      </c>
      <c r="N3591">
        <v>59</v>
      </c>
      <c r="O3591">
        <v>26</v>
      </c>
      <c r="P3591">
        <v>66</v>
      </c>
      <c r="Q3591">
        <v>38</v>
      </c>
      <c r="R3591">
        <v>69</v>
      </c>
    </row>
    <row r="3592" spans="1:18" x14ac:dyDescent="0.25">
      <c r="A3592" t="s">
        <v>3847</v>
      </c>
      <c r="B3592" t="s">
        <v>55</v>
      </c>
      <c r="C3592" t="s">
        <v>3842</v>
      </c>
      <c r="D3592" t="s">
        <v>3843</v>
      </c>
      <c r="E3592" t="s">
        <v>78</v>
      </c>
      <c r="F3592" t="s">
        <v>252</v>
      </c>
      <c r="G3592">
        <v>5.7461000000000002</v>
      </c>
      <c r="H3592">
        <v>-75.606899999999996</v>
      </c>
      <c r="I3592" t="s">
        <v>3844</v>
      </c>
      <c r="J3592">
        <v>11</v>
      </c>
      <c r="M3592">
        <v>235</v>
      </c>
      <c r="N3592">
        <v>51</v>
      </c>
      <c r="O3592">
        <v>34</v>
      </c>
      <c r="P3592">
        <v>54</v>
      </c>
      <c r="Q3592">
        <v>38</v>
      </c>
      <c r="R3592">
        <v>80</v>
      </c>
    </row>
    <row r="3593" spans="1:18" x14ac:dyDescent="0.25">
      <c r="A3593" t="s">
        <v>3848</v>
      </c>
      <c r="B3593" t="s">
        <v>55</v>
      </c>
      <c r="C3593" t="s">
        <v>3842</v>
      </c>
      <c r="D3593" t="s">
        <v>3843</v>
      </c>
      <c r="E3593" t="s">
        <v>78</v>
      </c>
      <c r="F3593" t="s">
        <v>252</v>
      </c>
      <c r="G3593">
        <v>5.7461000000000002</v>
      </c>
      <c r="H3593">
        <v>-75.606899999999996</v>
      </c>
      <c r="I3593" t="s">
        <v>3844</v>
      </c>
      <c r="J3593">
        <v>11</v>
      </c>
      <c r="M3593">
        <v>220</v>
      </c>
      <c r="N3593">
        <v>51</v>
      </c>
      <c r="O3593">
        <v>34</v>
      </c>
      <c r="P3593">
        <v>50</v>
      </c>
      <c r="Q3593">
        <v>36</v>
      </c>
      <c r="R3593">
        <v>58</v>
      </c>
    </row>
    <row r="3594" spans="1:18" x14ac:dyDescent="0.25">
      <c r="A3594" t="s">
        <v>3849</v>
      </c>
      <c r="B3594" t="s">
        <v>55</v>
      </c>
      <c r="C3594" t="s">
        <v>3842</v>
      </c>
      <c r="D3594" t="s">
        <v>3843</v>
      </c>
      <c r="E3594" t="s">
        <v>78</v>
      </c>
      <c r="F3594" t="s">
        <v>252</v>
      </c>
      <c r="G3594">
        <v>5.7461000000000002</v>
      </c>
      <c r="H3594">
        <v>-75.606899999999996</v>
      </c>
      <c r="I3594" t="s">
        <v>3844</v>
      </c>
      <c r="J3594">
        <v>11</v>
      </c>
      <c r="M3594">
        <v>213</v>
      </c>
      <c r="N3594">
        <v>37</v>
      </c>
      <c r="O3594">
        <v>40</v>
      </c>
      <c r="P3594">
        <v>60</v>
      </c>
      <c r="Q3594">
        <v>28</v>
      </c>
      <c r="R3594">
        <v>62</v>
      </c>
    </row>
    <row r="3595" spans="1:18" x14ac:dyDescent="0.25">
      <c r="A3595" t="s">
        <v>3850</v>
      </c>
      <c r="B3595" t="s">
        <v>55</v>
      </c>
      <c r="C3595" t="s">
        <v>3842</v>
      </c>
      <c r="D3595" t="s">
        <v>3843</v>
      </c>
      <c r="E3595" t="s">
        <v>78</v>
      </c>
      <c r="F3595" t="s">
        <v>252</v>
      </c>
      <c r="G3595">
        <v>5.7461000000000002</v>
      </c>
      <c r="H3595">
        <v>-75.606899999999996</v>
      </c>
      <c r="I3595" t="s">
        <v>3844</v>
      </c>
      <c r="J3595">
        <v>11</v>
      </c>
      <c r="M3595">
        <v>211</v>
      </c>
      <c r="N3595">
        <v>56</v>
      </c>
      <c r="O3595">
        <v>22</v>
      </c>
      <c r="P3595">
        <v>58</v>
      </c>
      <c r="Q3595">
        <v>26</v>
      </c>
      <c r="R3595">
        <v>64</v>
      </c>
    </row>
    <row r="3596" spans="1:18" x14ac:dyDescent="0.25">
      <c r="A3596" t="s">
        <v>3851</v>
      </c>
      <c r="B3596" t="s">
        <v>55</v>
      </c>
      <c r="C3596" t="s">
        <v>3842</v>
      </c>
      <c r="D3596" t="s">
        <v>3843</v>
      </c>
      <c r="E3596" t="s">
        <v>78</v>
      </c>
      <c r="F3596" t="s">
        <v>252</v>
      </c>
      <c r="G3596">
        <v>5.7461000000000002</v>
      </c>
      <c r="H3596">
        <v>-75.606899999999996</v>
      </c>
      <c r="I3596" t="s">
        <v>3844</v>
      </c>
      <c r="J3596">
        <v>11</v>
      </c>
      <c r="M3596">
        <v>204</v>
      </c>
      <c r="N3596">
        <v>56</v>
      </c>
      <c r="O3596">
        <v>22</v>
      </c>
      <c r="P3596">
        <v>58</v>
      </c>
      <c r="Q3596">
        <v>29</v>
      </c>
      <c r="R3596">
        <v>35</v>
      </c>
    </row>
    <row r="3597" spans="1:18" x14ac:dyDescent="0.25">
      <c r="A3597" t="s">
        <v>3852</v>
      </c>
      <c r="B3597" t="s">
        <v>55</v>
      </c>
      <c r="C3597" t="s">
        <v>3842</v>
      </c>
      <c r="D3597" t="s">
        <v>3843</v>
      </c>
      <c r="E3597" t="s">
        <v>78</v>
      </c>
      <c r="F3597" t="s">
        <v>252</v>
      </c>
      <c r="G3597">
        <v>5.7461000000000002</v>
      </c>
      <c r="H3597">
        <v>-75.606899999999996</v>
      </c>
      <c r="I3597" t="s">
        <v>3844</v>
      </c>
      <c r="J3597">
        <v>11</v>
      </c>
      <c r="M3597">
        <v>192</v>
      </c>
      <c r="N3597">
        <v>51</v>
      </c>
      <c r="O3597">
        <v>28</v>
      </c>
      <c r="P3597">
        <v>56</v>
      </c>
      <c r="Q3597">
        <v>22</v>
      </c>
      <c r="R3597">
        <v>27</v>
      </c>
    </row>
    <row r="3598" spans="1:18" x14ac:dyDescent="0.25">
      <c r="A3598" t="s">
        <v>3853</v>
      </c>
      <c r="B3598" t="s">
        <v>55</v>
      </c>
      <c r="C3598" t="s">
        <v>3842</v>
      </c>
      <c r="D3598" t="s">
        <v>3843</v>
      </c>
      <c r="E3598" t="s">
        <v>78</v>
      </c>
      <c r="F3598" t="s">
        <v>252</v>
      </c>
      <c r="G3598">
        <v>5.7461000000000002</v>
      </c>
      <c r="H3598">
        <v>-75.606899999999996</v>
      </c>
      <c r="I3598" t="s">
        <v>3844</v>
      </c>
      <c r="J3598">
        <v>11</v>
      </c>
      <c r="M3598">
        <v>184</v>
      </c>
      <c r="N3598">
        <v>39</v>
      </c>
      <c r="O3598">
        <v>28</v>
      </c>
      <c r="P3598">
        <v>34</v>
      </c>
      <c r="Q3598">
        <v>38</v>
      </c>
      <c r="R3598">
        <v>62</v>
      </c>
    </row>
    <row r="3599" spans="1:18" x14ac:dyDescent="0.25">
      <c r="A3599" t="s">
        <v>3854</v>
      </c>
      <c r="B3599" t="s">
        <v>55</v>
      </c>
      <c r="C3599" t="s">
        <v>3842</v>
      </c>
      <c r="D3599" t="s">
        <v>3843</v>
      </c>
      <c r="E3599" t="s">
        <v>78</v>
      </c>
      <c r="F3599" t="s">
        <v>252</v>
      </c>
      <c r="G3599">
        <v>5.7461000000000002</v>
      </c>
      <c r="H3599">
        <v>-75.606899999999996</v>
      </c>
      <c r="I3599" t="s">
        <v>3844</v>
      </c>
      <c r="J3599">
        <v>11</v>
      </c>
      <c r="M3599">
        <v>182</v>
      </c>
      <c r="N3599">
        <v>39</v>
      </c>
      <c r="O3599">
        <v>34</v>
      </c>
      <c r="P3599">
        <v>40</v>
      </c>
      <c r="Q3599">
        <v>33</v>
      </c>
      <c r="R3599">
        <v>36</v>
      </c>
    </row>
    <row r="3600" spans="1:18" x14ac:dyDescent="0.25">
      <c r="A3600" t="s">
        <v>3855</v>
      </c>
      <c r="B3600" t="s">
        <v>55</v>
      </c>
      <c r="C3600" t="s">
        <v>3842</v>
      </c>
      <c r="D3600" t="s">
        <v>3843</v>
      </c>
      <c r="E3600" t="s">
        <v>78</v>
      </c>
      <c r="F3600" t="s">
        <v>252</v>
      </c>
      <c r="G3600">
        <v>5.7461000000000002</v>
      </c>
      <c r="H3600">
        <v>-75.606899999999996</v>
      </c>
      <c r="I3600" t="s">
        <v>3844</v>
      </c>
      <c r="J3600">
        <v>11</v>
      </c>
      <c r="M3600">
        <v>182</v>
      </c>
      <c r="N3600">
        <v>37</v>
      </c>
      <c r="O3600">
        <v>20</v>
      </c>
      <c r="P3600">
        <v>48</v>
      </c>
      <c r="Q3600">
        <v>34</v>
      </c>
      <c r="R3600">
        <v>56</v>
      </c>
    </row>
    <row r="3601" spans="1:18" x14ac:dyDescent="0.25">
      <c r="A3601" t="s">
        <v>3856</v>
      </c>
      <c r="B3601" t="s">
        <v>55</v>
      </c>
      <c r="C3601" t="s">
        <v>3842</v>
      </c>
      <c r="D3601" t="s">
        <v>3843</v>
      </c>
      <c r="E3601" t="s">
        <v>78</v>
      </c>
      <c r="F3601" t="s">
        <v>252</v>
      </c>
      <c r="G3601">
        <v>5.7461000000000002</v>
      </c>
      <c r="H3601">
        <v>-75.606899999999996</v>
      </c>
      <c r="I3601" t="s">
        <v>3844</v>
      </c>
      <c r="J3601">
        <v>11</v>
      </c>
      <c r="M3601">
        <v>179</v>
      </c>
      <c r="N3601">
        <v>51</v>
      </c>
      <c r="O3601">
        <v>28</v>
      </c>
      <c r="P3601">
        <v>38</v>
      </c>
      <c r="Q3601">
        <v>28</v>
      </c>
      <c r="R3601">
        <v>31</v>
      </c>
    </row>
    <row r="3602" spans="1:18" x14ac:dyDescent="0.25">
      <c r="A3602" t="s">
        <v>3857</v>
      </c>
      <c r="B3602" t="s">
        <v>55</v>
      </c>
      <c r="C3602" t="s">
        <v>3842</v>
      </c>
      <c r="D3602" t="s">
        <v>3843</v>
      </c>
      <c r="E3602" t="s">
        <v>78</v>
      </c>
      <c r="F3602" t="s">
        <v>252</v>
      </c>
      <c r="G3602">
        <v>5.7461000000000002</v>
      </c>
      <c r="H3602">
        <v>-75.606899999999996</v>
      </c>
      <c r="I3602" t="s">
        <v>3844</v>
      </c>
      <c r="J3602">
        <v>11</v>
      </c>
      <c r="M3602">
        <v>179</v>
      </c>
      <c r="N3602">
        <v>51</v>
      </c>
      <c r="O3602">
        <v>26</v>
      </c>
      <c r="P3602">
        <v>44</v>
      </c>
      <c r="Q3602">
        <v>19</v>
      </c>
      <c r="R3602">
        <v>44</v>
      </c>
    </row>
    <row r="3603" spans="1:18" x14ac:dyDescent="0.25">
      <c r="A3603" t="s">
        <v>3858</v>
      </c>
      <c r="B3603" t="s">
        <v>55</v>
      </c>
      <c r="C3603" t="s">
        <v>3842</v>
      </c>
      <c r="D3603" t="s">
        <v>3843</v>
      </c>
      <c r="E3603" t="s">
        <v>78</v>
      </c>
      <c r="F3603" t="s">
        <v>252</v>
      </c>
      <c r="G3603">
        <v>5.7461000000000002</v>
      </c>
      <c r="H3603">
        <v>-75.606899999999996</v>
      </c>
      <c r="I3603" t="s">
        <v>3844</v>
      </c>
      <c r="J3603">
        <v>11</v>
      </c>
      <c r="M3603">
        <v>177</v>
      </c>
      <c r="N3603">
        <v>39</v>
      </c>
      <c r="O3603">
        <v>32</v>
      </c>
      <c r="P3603">
        <v>38</v>
      </c>
      <c r="Q3603">
        <v>26</v>
      </c>
      <c r="R3603">
        <v>55</v>
      </c>
    </row>
    <row r="3604" spans="1:18" x14ac:dyDescent="0.25">
      <c r="A3604" t="s">
        <v>3859</v>
      </c>
      <c r="B3604" t="s">
        <v>55</v>
      </c>
      <c r="C3604" t="s">
        <v>3842</v>
      </c>
      <c r="D3604" t="s">
        <v>3843</v>
      </c>
      <c r="E3604" t="s">
        <v>78</v>
      </c>
      <c r="F3604" t="s">
        <v>252</v>
      </c>
      <c r="G3604">
        <v>5.7461000000000002</v>
      </c>
      <c r="H3604">
        <v>-75.606899999999996</v>
      </c>
      <c r="I3604" t="s">
        <v>3844</v>
      </c>
      <c r="J3604">
        <v>11</v>
      </c>
      <c r="M3604">
        <v>172</v>
      </c>
      <c r="N3604">
        <v>49</v>
      </c>
      <c r="O3604">
        <v>20</v>
      </c>
      <c r="P3604">
        <v>34</v>
      </c>
      <c r="Q3604">
        <v>33</v>
      </c>
      <c r="R3604">
        <v>40</v>
      </c>
    </row>
    <row r="3605" spans="1:18" x14ac:dyDescent="0.25">
      <c r="A3605" t="s">
        <v>3860</v>
      </c>
      <c r="B3605" t="s">
        <v>55</v>
      </c>
      <c r="C3605" t="s">
        <v>3842</v>
      </c>
      <c r="D3605" t="s">
        <v>3843</v>
      </c>
      <c r="E3605" t="s">
        <v>78</v>
      </c>
      <c r="F3605" t="s">
        <v>252</v>
      </c>
      <c r="G3605">
        <v>5.7461000000000002</v>
      </c>
      <c r="H3605">
        <v>-75.606899999999996</v>
      </c>
      <c r="I3605" t="s">
        <v>3844</v>
      </c>
      <c r="J3605">
        <v>11</v>
      </c>
      <c r="M3605">
        <v>171</v>
      </c>
      <c r="N3605">
        <v>34</v>
      </c>
      <c r="O3605">
        <v>32</v>
      </c>
      <c r="P3605">
        <v>40</v>
      </c>
      <c r="Q3605">
        <v>31</v>
      </c>
      <c r="R3605">
        <v>33</v>
      </c>
    </row>
    <row r="3606" spans="1:18" x14ac:dyDescent="0.25">
      <c r="A3606" t="s">
        <v>3861</v>
      </c>
      <c r="B3606" t="s">
        <v>55</v>
      </c>
      <c r="C3606" t="s">
        <v>3842</v>
      </c>
      <c r="D3606" t="s">
        <v>3843</v>
      </c>
      <c r="E3606" t="s">
        <v>78</v>
      </c>
      <c r="F3606" t="s">
        <v>252</v>
      </c>
      <c r="G3606">
        <v>5.7461000000000002</v>
      </c>
      <c r="H3606">
        <v>-75.606899999999996</v>
      </c>
      <c r="I3606" t="s">
        <v>3844</v>
      </c>
      <c r="J3606">
        <v>11</v>
      </c>
      <c r="M3606">
        <v>165</v>
      </c>
      <c r="N3606">
        <v>29</v>
      </c>
      <c r="O3606">
        <v>20</v>
      </c>
      <c r="P3606">
        <v>46</v>
      </c>
      <c r="Q3606">
        <v>36</v>
      </c>
      <c r="R3606">
        <v>35</v>
      </c>
    </row>
    <row r="3607" spans="1:18" x14ac:dyDescent="0.25">
      <c r="A3607" t="s">
        <v>3862</v>
      </c>
      <c r="B3607" t="s">
        <v>55</v>
      </c>
      <c r="C3607" t="s">
        <v>3842</v>
      </c>
      <c r="D3607" t="s">
        <v>3843</v>
      </c>
      <c r="E3607" t="s">
        <v>78</v>
      </c>
      <c r="F3607" t="s">
        <v>252</v>
      </c>
      <c r="G3607">
        <v>5.7461000000000002</v>
      </c>
      <c r="H3607">
        <v>-75.606899999999996</v>
      </c>
      <c r="I3607" t="s">
        <v>3844</v>
      </c>
      <c r="J3607">
        <v>11</v>
      </c>
      <c r="M3607">
        <v>162</v>
      </c>
      <c r="N3607">
        <v>41</v>
      </c>
      <c r="O3607">
        <v>18</v>
      </c>
      <c r="P3607">
        <v>42</v>
      </c>
      <c r="Q3607">
        <v>26</v>
      </c>
      <c r="R3607">
        <v>40</v>
      </c>
    </row>
    <row r="3608" spans="1:18" x14ac:dyDescent="0.25">
      <c r="A3608" t="s">
        <v>3863</v>
      </c>
      <c r="B3608" t="s">
        <v>55</v>
      </c>
      <c r="C3608" t="s">
        <v>3842</v>
      </c>
      <c r="D3608" t="s">
        <v>3843</v>
      </c>
      <c r="E3608" t="s">
        <v>78</v>
      </c>
      <c r="F3608" t="s">
        <v>252</v>
      </c>
      <c r="G3608">
        <v>5.7461000000000002</v>
      </c>
      <c r="H3608">
        <v>-75.606899999999996</v>
      </c>
      <c r="I3608" t="s">
        <v>3844</v>
      </c>
      <c r="J3608">
        <v>11</v>
      </c>
      <c r="M3608">
        <v>162</v>
      </c>
      <c r="N3608">
        <v>51</v>
      </c>
      <c r="O3608">
        <v>24</v>
      </c>
      <c r="P3608">
        <v>38</v>
      </c>
      <c r="Q3608">
        <v>19</v>
      </c>
      <c r="R3608">
        <v>24</v>
      </c>
    </row>
    <row r="3609" spans="1:18" x14ac:dyDescent="0.25">
      <c r="A3609" t="s">
        <v>3864</v>
      </c>
      <c r="B3609" t="s">
        <v>55</v>
      </c>
      <c r="C3609" t="s">
        <v>3842</v>
      </c>
      <c r="D3609" t="s">
        <v>3843</v>
      </c>
      <c r="E3609" t="s">
        <v>78</v>
      </c>
      <c r="F3609" t="s">
        <v>252</v>
      </c>
      <c r="G3609">
        <v>5.7461000000000002</v>
      </c>
      <c r="H3609">
        <v>-75.606899999999996</v>
      </c>
      <c r="I3609" t="s">
        <v>3844</v>
      </c>
      <c r="J3609">
        <v>11</v>
      </c>
      <c r="M3609">
        <v>158</v>
      </c>
      <c r="N3609">
        <v>41</v>
      </c>
      <c r="O3609">
        <v>14</v>
      </c>
      <c r="P3609">
        <v>38</v>
      </c>
      <c r="Q3609">
        <v>31</v>
      </c>
      <c r="R3609">
        <v>38</v>
      </c>
    </row>
    <row r="3610" spans="1:18" x14ac:dyDescent="0.25">
      <c r="A3610" t="s">
        <v>3865</v>
      </c>
      <c r="B3610" t="s">
        <v>55</v>
      </c>
      <c r="C3610" t="s">
        <v>3842</v>
      </c>
      <c r="D3610" t="s">
        <v>3843</v>
      </c>
      <c r="E3610" t="s">
        <v>78</v>
      </c>
      <c r="F3610" t="s">
        <v>252</v>
      </c>
      <c r="G3610">
        <v>5.7461000000000002</v>
      </c>
      <c r="H3610">
        <v>-75.606899999999996</v>
      </c>
      <c r="I3610" t="s">
        <v>3844</v>
      </c>
      <c r="J3610">
        <v>11</v>
      </c>
      <c r="M3610">
        <v>154</v>
      </c>
      <c r="N3610">
        <v>29</v>
      </c>
      <c r="O3610">
        <v>28</v>
      </c>
      <c r="P3610">
        <v>46</v>
      </c>
      <c r="Q3610">
        <v>19</v>
      </c>
      <c r="R3610">
        <v>35</v>
      </c>
    </row>
    <row r="3611" spans="1:18" x14ac:dyDescent="0.25">
      <c r="A3611" t="s">
        <v>3866</v>
      </c>
      <c r="B3611" t="s">
        <v>55</v>
      </c>
      <c r="C3611" t="s">
        <v>3842</v>
      </c>
      <c r="D3611" t="s">
        <v>3843</v>
      </c>
      <c r="E3611" t="s">
        <v>78</v>
      </c>
      <c r="F3611" t="s">
        <v>252</v>
      </c>
      <c r="G3611">
        <v>5.7461000000000002</v>
      </c>
      <c r="H3611">
        <v>-75.606899999999996</v>
      </c>
      <c r="I3611" t="s">
        <v>3844</v>
      </c>
      <c r="J3611">
        <v>11</v>
      </c>
      <c r="M3611">
        <v>153</v>
      </c>
      <c r="N3611">
        <v>27</v>
      </c>
      <c r="O3611">
        <v>24</v>
      </c>
      <c r="P3611">
        <v>36</v>
      </c>
      <c r="Q3611">
        <v>34</v>
      </c>
      <c r="R3611">
        <v>35</v>
      </c>
    </row>
    <row r="3612" spans="1:18" x14ac:dyDescent="0.25">
      <c r="A3612" t="s">
        <v>3867</v>
      </c>
      <c r="B3612" t="s">
        <v>55</v>
      </c>
      <c r="C3612" t="s">
        <v>3842</v>
      </c>
      <c r="D3612" t="s">
        <v>3843</v>
      </c>
      <c r="E3612" t="s">
        <v>78</v>
      </c>
      <c r="F3612" t="s">
        <v>252</v>
      </c>
      <c r="G3612">
        <v>5.7461000000000002</v>
      </c>
      <c r="H3612">
        <v>-75.606899999999996</v>
      </c>
      <c r="I3612" t="s">
        <v>3844</v>
      </c>
      <c r="J3612">
        <v>11</v>
      </c>
      <c r="M3612">
        <v>153</v>
      </c>
      <c r="N3612">
        <v>41</v>
      </c>
      <c r="O3612">
        <v>22</v>
      </c>
      <c r="P3612">
        <v>38</v>
      </c>
      <c r="Q3612">
        <v>26</v>
      </c>
      <c r="R3612">
        <v>15</v>
      </c>
    </row>
    <row r="3613" spans="1:18" x14ac:dyDescent="0.25">
      <c r="A3613" t="s">
        <v>3868</v>
      </c>
      <c r="B3613" t="s">
        <v>55</v>
      </c>
      <c r="C3613" t="s">
        <v>3842</v>
      </c>
      <c r="D3613" t="s">
        <v>3843</v>
      </c>
      <c r="E3613" t="s">
        <v>78</v>
      </c>
      <c r="F3613" t="s">
        <v>252</v>
      </c>
      <c r="G3613">
        <v>5.7461000000000002</v>
      </c>
      <c r="H3613">
        <v>-75.606899999999996</v>
      </c>
      <c r="I3613" t="s">
        <v>3844</v>
      </c>
      <c r="J3613">
        <v>11</v>
      </c>
      <c r="M3613">
        <v>149</v>
      </c>
      <c r="N3613">
        <v>27</v>
      </c>
      <c r="O3613">
        <v>24</v>
      </c>
      <c r="P3613">
        <v>44</v>
      </c>
      <c r="Q3613">
        <v>24</v>
      </c>
      <c r="R3613">
        <v>31</v>
      </c>
    </row>
    <row r="3614" spans="1:18" x14ac:dyDescent="0.25">
      <c r="A3614" t="s">
        <v>3869</v>
      </c>
      <c r="B3614" t="s">
        <v>55</v>
      </c>
      <c r="C3614" t="s">
        <v>3842</v>
      </c>
      <c r="D3614" t="s">
        <v>3843</v>
      </c>
      <c r="E3614" t="s">
        <v>78</v>
      </c>
      <c r="F3614" t="s">
        <v>252</v>
      </c>
      <c r="G3614">
        <v>5.7461000000000002</v>
      </c>
      <c r="H3614">
        <v>-75.606899999999996</v>
      </c>
      <c r="I3614" t="s">
        <v>3844</v>
      </c>
      <c r="J3614">
        <v>11</v>
      </c>
      <c r="M3614">
        <v>148</v>
      </c>
      <c r="N3614">
        <v>29</v>
      </c>
      <c r="O3614">
        <v>22</v>
      </c>
      <c r="P3614">
        <v>30</v>
      </c>
      <c r="Q3614">
        <v>36</v>
      </c>
      <c r="R3614">
        <v>33</v>
      </c>
    </row>
    <row r="3615" spans="1:18" x14ac:dyDescent="0.25">
      <c r="A3615" t="s">
        <v>3870</v>
      </c>
      <c r="B3615" t="s">
        <v>55</v>
      </c>
      <c r="C3615" t="s">
        <v>3842</v>
      </c>
      <c r="D3615" t="s">
        <v>3843</v>
      </c>
      <c r="E3615" t="s">
        <v>78</v>
      </c>
      <c r="F3615" t="s">
        <v>252</v>
      </c>
      <c r="G3615">
        <v>5.7461000000000002</v>
      </c>
      <c r="H3615">
        <v>-75.606899999999996</v>
      </c>
      <c r="I3615" t="s">
        <v>3844</v>
      </c>
      <c r="J3615">
        <v>11</v>
      </c>
      <c r="M3615">
        <v>148</v>
      </c>
      <c r="N3615">
        <v>32</v>
      </c>
      <c r="O3615">
        <v>20</v>
      </c>
      <c r="P3615">
        <v>36</v>
      </c>
      <c r="Q3615">
        <v>28</v>
      </c>
      <c r="R3615">
        <v>38</v>
      </c>
    </row>
    <row r="3616" spans="1:18" x14ac:dyDescent="0.25">
      <c r="A3616" t="s">
        <v>3871</v>
      </c>
      <c r="B3616" t="s">
        <v>55</v>
      </c>
      <c r="C3616" t="s">
        <v>3842</v>
      </c>
      <c r="D3616" t="s">
        <v>3843</v>
      </c>
      <c r="E3616" t="s">
        <v>78</v>
      </c>
      <c r="F3616" t="s">
        <v>252</v>
      </c>
      <c r="G3616">
        <v>5.7461000000000002</v>
      </c>
      <c r="H3616">
        <v>-75.606899999999996</v>
      </c>
      <c r="I3616" t="s">
        <v>3844</v>
      </c>
      <c r="J3616">
        <v>11</v>
      </c>
      <c r="M3616">
        <v>148</v>
      </c>
      <c r="N3616">
        <v>41</v>
      </c>
      <c r="O3616">
        <v>18</v>
      </c>
      <c r="P3616">
        <v>26</v>
      </c>
      <c r="Q3616">
        <v>31</v>
      </c>
      <c r="R3616">
        <v>35</v>
      </c>
    </row>
    <row r="3617" spans="1:18" x14ac:dyDescent="0.25">
      <c r="A3617" t="s">
        <v>3872</v>
      </c>
      <c r="B3617" t="s">
        <v>55</v>
      </c>
      <c r="C3617" t="s">
        <v>3842</v>
      </c>
      <c r="D3617" t="s">
        <v>3843</v>
      </c>
      <c r="E3617" t="s">
        <v>78</v>
      </c>
      <c r="F3617" t="s">
        <v>252</v>
      </c>
      <c r="G3617">
        <v>5.7461000000000002</v>
      </c>
      <c r="H3617">
        <v>-75.606899999999996</v>
      </c>
      <c r="I3617" t="s">
        <v>3844</v>
      </c>
      <c r="J3617">
        <v>11</v>
      </c>
      <c r="M3617">
        <v>147</v>
      </c>
      <c r="N3617">
        <v>29</v>
      </c>
      <c r="O3617">
        <v>28</v>
      </c>
      <c r="P3617">
        <v>26</v>
      </c>
      <c r="Q3617">
        <v>31</v>
      </c>
      <c r="R3617">
        <v>40</v>
      </c>
    </row>
    <row r="3618" spans="1:18" x14ac:dyDescent="0.25">
      <c r="A3618" t="s">
        <v>3873</v>
      </c>
      <c r="B3618" t="s">
        <v>55</v>
      </c>
      <c r="C3618" t="s">
        <v>3842</v>
      </c>
      <c r="D3618" t="s">
        <v>3843</v>
      </c>
      <c r="E3618" t="s">
        <v>78</v>
      </c>
      <c r="F3618" t="s">
        <v>252</v>
      </c>
      <c r="G3618">
        <v>5.7461000000000002</v>
      </c>
      <c r="H3618">
        <v>-75.606899999999996</v>
      </c>
      <c r="I3618" t="s">
        <v>3844</v>
      </c>
      <c r="J3618">
        <v>11</v>
      </c>
      <c r="M3618">
        <v>145</v>
      </c>
      <c r="N3618">
        <v>29</v>
      </c>
      <c r="O3618">
        <v>24</v>
      </c>
      <c r="P3618">
        <v>38</v>
      </c>
      <c r="Q3618">
        <v>21</v>
      </c>
      <c r="R3618">
        <v>42</v>
      </c>
    </row>
    <row r="3619" spans="1:18" x14ac:dyDescent="0.25">
      <c r="A3619" t="s">
        <v>3874</v>
      </c>
      <c r="B3619" t="s">
        <v>55</v>
      </c>
      <c r="C3619" t="s">
        <v>3842</v>
      </c>
      <c r="D3619" t="s">
        <v>3843</v>
      </c>
      <c r="E3619" t="s">
        <v>78</v>
      </c>
      <c r="F3619" t="s">
        <v>252</v>
      </c>
      <c r="G3619">
        <v>5.7461000000000002</v>
      </c>
      <c r="H3619">
        <v>-75.606899999999996</v>
      </c>
      <c r="I3619" t="s">
        <v>3844</v>
      </c>
      <c r="J3619">
        <v>11</v>
      </c>
      <c r="M3619">
        <v>144</v>
      </c>
      <c r="N3619">
        <v>32</v>
      </c>
      <c r="O3619">
        <v>22</v>
      </c>
      <c r="P3619">
        <v>36</v>
      </c>
      <c r="Q3619">
        <v>26</v>
      </c>
      <c r="R3619">
        <v>27</v>
      </c>
    </row>
    <row r="3620" spans="1:18" x14ac:dyDescent="0.25">
      <c r="A3620" t="s">
        <v>3875</v>
      </c>
      <c r="B3620" t="s">
        <v>55</v>
      </c>
      <c r="C3620" t="s">
        <v>3842</v>
      </c>
      <c r="D3620" t="s">
        <v>3843</v>
      </c>
      <c r="E3620" t="s">
        <v>78</v>
      </c>
      <c r="F3620" t="s">
        <v>252</v>
      </c>
      <c r="G3620">
        <v>5.7461000000000002</v>
      </c>
      <c r="H3620">
        <v>-75.606899999999996</v>
      </c>
      <c r="I3620" t="s">
        <v>3844</v>
      </c>
      <c r="J3620">
        <v>11</v>
      </c>
      <c r="M3620">
        <v>143</v>
      </c>
      <c r="N3620">
        <v>34</v>
      </c>
      <c r="O3620">
        <v>24</v>
      </c>
      <c r="P3620">
        <v>26</v>
      </c>
      <c r="Q3620">
        <v>29</v>
      </c>
      <c r="R3620">
        <v>33</v>
      </c>
    </row>
    <row r="3621" spans="1:18" x14ac:dyDescent="0.25">
      <c r="A3621" t="s">
        <v>3876</v>
      </c>
      <c r="B3621" t="s">
        <v>55</v>
      </c>
      <c r="C3621" t="s">
        <v>3842</v>
      </c>
      <c r="D3621" t="s">
        <v>3843</v>
      </c>
      <c r="E3621" t="s">
        <v>78</v>
      </c>
      <c r="F3621" t="s">
        <v>252</v>
      </c>
      <c r="G3621">
        <v>5.7461000000000002</v>
      </c>
      <c r="H3621">
        <v>-75.606899999999996</v>
      </c>
      <c r="I3621" t="s">
        <v>3844</v>
      </c>
      <c r="J3621">
        <v>11</v>
      </c>
      <c r="M3621">
        <v>141</v>
      </c>
      <c r="N3621">
        <v>37</v>
      </c>
      <c r="O3621">
        <v>18</v>
      </c>
      <c r="P3621">
        <v>36</v>
      </c>
      <c r="Q3621">
        <v>19</v>
      </c>
      <c r="R3621">
        <v>38</v>
      </c>
    </row>
    <row r="3622" spans="1:18" x14ac:dyDescent="0.25">
      <c r="A3622" t="s">
        <v>3877</v>
      </c>
      <c r="B3622" t="s">
        <v>55</v>
      </c>
      <c r="C3622" t="s">
        <v>3842</v>
      </c>
      <c r="D3622" t="s">
        <v>3843</v>
      </c>
      <c r="E3622" t="s">
        <v>78</v>
      </c>
      <c r="F3622" t="s">
        <v>252</v>
      </c>
      <c r="G3622">
        <v>5.7461000000000002</v>
      </c>
      <c r="H3622">
        <v>-75.606899999999996</v>
      </c>
      <c r="I3622" t="s">
        <v>3844</v>
      </c>
      <c r="J3622">
        <v>11</v>
      </c>
      <c r="M3622">
        <v>138</v>
      </c>
      <c r="N3622">
        <v>29</v>
      </c>
      <c r="O3622">
        <v>22</v>
      </c>
      <c r="P3622">
        <v>36</v>
      </c>
      <c r="Q3622">
        <v>24</v>
      </c>
      <c r="R3622">
        <v>24</v>
      </c>
    </row>
    <row r="3623" spans="1:18" x14ac:dyDescent="0.25">
      <c r="A3623" t="s">
        <v>3878</v>
      </c>
      <c r="B3623" t="s">
        <v>55</v>
      </c>
      <c r="C3623" t="s">
        <v>3842</v>
      </c>
      <c r="D3623" t="s">
        <v>3843</v>
      </c>
      <c r="E3623" t="s">
        <v>78</v>
      </c>
      <c r="F3623" t="s">
        <v>252</v>
      </c>
      <c r="G3623">
        <v>5.7461000000000002</v>
      </c>
      <c r="H3623">
        <v>-75.606899999999996</v>
      </c>
      <c r="I3623" t="s">
        <v>3844</v>
      </c>
      <c r="J3623">
        <v>11</v>
      </c>
      <c r="M3623">
        <v>122</v>
      </c>
      <c r="N3623">
        <v>29</v>
      </c>
      <c r="O3623">
        <v>26</v>
      </c>
      <c r="P3623">
        <v>16</v>
      </c>
      <c r="Q3623">
        <v>26</v>
      </c>
      <c r="R3623">
        <v>25</v>
      </c>
    </row>
    <row r="3624" spans="1:18" x14ac:dyDescent="0.25">
      <c r="A3624" t="s">
        <v>3879</v>
      </c>
      <c r="B3624" t="s">
        <v>55</v>
      </c>
      <c r="C3624" t="s">
        <v>3842</v>
      </c>
      <c r="D3624" t="s">
        <v>3843</v>
      </c>
      <c r="E3624" t="s">
        <v>78</v>
      </c>
      <c r="F3624" t="s">
        <v>252</v>
      </c>
      <c r="G3624">
        <v>5.7461000000000002</v>
      </c>
      <c r="H3624">
        <v>-75.606899999999996</v>
      </c>
      <c r="I3624" t="s">
        <v>3844</v>
      </c>
      <c r="J3624">
        <v>11</v>
      </c>
      <c r="M3624">
        <v>119</v>
      </c>
      <c r="N3624">
        <v>24</v>
      </c>
      <c r="O3624">
        <v>20</v>
      </c>
      <c r="P3624">
        <v>24</v>
      </c>
      <c r="Q3624">
        <v>28</v>
      </c>
      <c r="R3624">
        <v>22</v>
      </c>
    </row>
    <row r="3625" spans="1:18" x14ac:dyDescent="0.25">
      <c r="A3625" t="s">
        <v>3880</v>
      </c>
      <c r="B3625" t="s">
        <v>55</v>
      </c>
      <c r="C3625" t="s">
        <v>3881</v>
      </c>
      <c r="D3625" t="s">
        <v>3800</v>
      </c>
      <c r="E3625" t="s">
        <v>78</v>
      </c>
      <c r="F3625" t="s">
        <v>252</v>
      </c>
      <c r="G3625">
        <v>7.6017000000000001</v>
      </c>
      <c r="H3625">
        <v>-74.808300000000003</v>
      </c>
      <c r="I3625" t="s">
        <v>3882</v>
      </c>
      <c r="J3625">
        <v>11</v>
      </c>
      <c r="M3625">
        <v>228</v>
      </c>
      <c r="N3625">
        <v>63</v>
      </c>
      <c r="O3625">
        <v>16</v>
      </c>
      <c r="P3625">
        <v>50</v>
      </c>
      <c r="Q3625">
        <v>45</v>
      </c>
      <c r="R3625">
        <v>69</v>
      </c>
    </row>
    <row r="3626" spans="1:18" x14ac:dyDescent="0.25">
      <c r="A3626" t="s">
        <v>3883</v>
      </c>
      <c r="B3626" t="s">
        <v>55</v>
      </c>
      <c r="C3626" t="s">
        <v>3881</v>
      </c>
      <c r="D3626" t="s">
        <v>3800</v>
      </c>
      <c r="E3626" t="s">
        <v>78</v>
      </c>
      <c r="F3626" t="s">
        <v>252</v>
      </c>
      <c r="G3626">
        <v>7.6017000000000001</v>
      </c>
      <c r="H3626">
        <v>-74.808300000000003</v>
      </c>
      <c r="I3626" t="s">
        <v>3882</v>
      </c>
      <c r="J3626">
        <v>11</v>
      </c>
      <c r="M3626">
        <v>199</v>
      </c>
      <c r="N3626">
        <v>44</v>
      </c>
      <c r="O3626">
        <v>32</v>
      </c>
      <c r="P3626">
        <v>56</v>
      </c>
      <c r="Q3626">
        <v>28</v>
      </c>
      <c r="R3626">
        <v>38</v>
      </c>
    </row>
    <row r="3627" spans="1:18" x14ac:dyDescent="0.25">
      <c r="A3627" t="s">
        <v>3884</v>
      </c>
      <c r="B3627" t="s">
        <v>55</v>
      </c>
      <c r="C3627" t="s">
        <v>3881</v>
      </c>
      <c r="D3627" t="s">
        <v>3800</v>
      </c>
      <c r="E3627" t="s">
        <v>78</v>
      </c>
      <c r="F3627" t="s">
        <v>252</v>
      </c>
      <c r="G3627">
        <v>7.6017000000000001</v>
      </c>
      <c r="H3627">
        <v>-74.808300000000003</v>
      </c>
      <c r="I3627" t="s">
        <v>3882</v>
      </c>
      <c r="J3627">
        <v>11</v>
      </c>
      <c r="M3627">
        <v>194</v>
      </c>
      <c r="N3627">
        <v>54</v>
      </c>
      <c r="O3627">
        <v>34</v>
      </c>
      <c r="P3627">
        <v>36</v>
      </c>
      <c r="Q3627">
        <v>29</v>
      </c>
      <c r="R3627">
        <v>45</v>
      </c>
    </row>
    <row r="3628" spans="1:18" x14ac:dyDescent="0.25">
      <c r="A3628" t="s">
        <v>3885</v>
      </c>
      <c r="B3628" t="s">
        <v>55</v>
      </c>
      <c r="C3628" t="s">
        <v>3881</v>
      </c>
      <c r="D3628" t="s">
        <v>3800</v>
      </c>
      <c r="E3628" t="s">
        <v>78</v>
      </c>
      <c r="F3628" t="s">
        <v>252</v>
      </c>
      <c r="G3628">
        <v>7.6017000000000001</v>
      </c>
      <c r="H3628">
        <v>-74.808300000000003</v>
      </c>
      <c r="I3628" t="s">
        <v>3882</v>
      </c>
      <c r="J3628">
        <v>11</v>
      </c>
      <c r="M3628">
        <v>193</v>
      </c>
      <c r="N3628">
        <v>46</v>
      </c>
      <c r="O3628">
        <v>26</v>
      </c>
      <c r="P3628">
        <v>42</v>
      </c>
      <c r="Q3628">
        <v>26</v>
      </c>
      <c r="R3628">
        <v>82</v>
      </c>
    </row>
    <row r="3629" spans="1:18" x14ac:dyDescent="0.25">
      <c r="A3629" t="s">
        <v>3886</v>
      </c>
      <c r="B3629" t="s">
        <v>55</v>
      </c>
      <c r="C3629" t="s">
        <v>3881</v>
      </c>
      <c r="D3629" t="s">
        <v>3800</v>
      </c>
      <c r="E3629" t="s">
        <v>78</v>
      </c>
      <c r="F3629" t="s">
        <v>252</v>
      </c>
      <c r="G3629">
        <v>7.6017000000000001</v>
      </c>
      <c r="H3629">
        <v>-74.808300000000003</v>
      </c>
      <c r="I3629" t="s">
        <v>3882</v>
      </c>
      <c r="J3629">
        <v>11</v>
      </c>
      <c r="M3629">
        <v>182</v>
      </c>
      <c r="N3629">
        <v>41</v>
      </c>
      <c r="O3629">
        <v>24</v>
      </c>
      <c r="P3629">
        <v>56</v>
      </c>
      <c r="Q3629">
        <v>19</v>
      </c>
      <c r="R3629">
        <v>51</v>
      </c>
    </row>
    <row r="3630" spans="1:18" x14ac:dyDescent="0.25">
      <c r="A3630" t="s">
        <v>3887</v>
      </c>
      <c r="B3630" t="s">
        <v>55</v>
      </c>
      <c r="C3630" t="s">
        <v>3881</v>
      </c>
      <c r="D3630" t="s">
        <v>3800</v>
      </c>
      <c r="E3630" t="s">
        <v>78</v>
      </c>
      <c r="F3630" t="s">
        <v>252</v>
      </c>
      <c r="G3630">
        <v>7.6017000000000001</v>
      </c>
      <c r="H3630">
        <v>-74.808300000000003</v>
      </c>
      <c r="I3630" t="s">
        <v>3882</v>
      </c>
      <c r="J3630">
        <v>11</v>
      </c>
      <c r="M3630">
        <v>178</v>
      </c>
      <c r="N3630">
        <v>41</v>
      </c>
      <c r="O3630">
        <v>20</v>
      </c>
      <c r="P3630">
        <v>40</v>
      </c>
      <c r="Q3630">
        <v>36</v>
      </c>
      <c r="R3630">
        <v>49</v>
      </c>
    </row>
    <row r="3631" spans="1:18" x14ac:dyDescent="0.25">
      <c r="A3631" t="s">
        <v>3888</v>
      </c>
      <c r="B3631" t="s">
        <v>55</v>
      </c>
      <c r="C3631" t="s">
        <v>3881</v>
      </c>
      <c r="D3631" t="s">
        <v>3800</v>
      </c>
      <c r="E3631" t="s">
        <v>78</v>
      </c>
      <c r="F3631" t="s">
        <v>252</v>
      </c>
      <c r="G3631">
        <v>7.6017000000000001</v>
      </c>
      <c r="H3631">
        <v>-74.808300000000003</v>
      </c>
      <c r="I3631" t="s">
        <v>3882</v>
      </c>
      <c r="J3631">
        <v>11</v>
      </c>
      <c r="M3631">
        <v>175</v>
      </c>
      <c r="N3631">
        <v>37</v>
      </c>
      <c r="O3631">
        <v>30</v>
      </c>
      <c r="P3631">
        <v>48</v>
      </c>
      <c r="Q3631">
        <v>24</v>
      </c>
      <c r="R3631">
        <v>40</v>
      </c>
    </row>
    <row r="3632" spans="1:18" x14ac:dyDescent="0.25">
      <c r="A3632" t="s">
        <v>3889</v>
      </c>
      <c r="B3632" t="s">
        <v>55</v>
      </c>
      <c r="C3632" t="s">
        <v>3881</v>
      </c>
      <c r="D3632" t="s">
        <v>3800</v>
      </c>
      <c r="E3632" t="s">
        <v>78</v>
      </c>
      <c r="F3632" t="s">
        <v>252</v>
      </c>
      <c r="G3632">
        <v>7.6017000000000001</v>
      </c>
      <c r="H3632">
        <v>-74.808300000000003</v>
      </c>
      <c r="I3632" t="s">
        <v>3882</v>
      </c>
      <c r="J3632">
        <v>11</v>
      </c>
      <c r="M3632">
        <v>170</v>
      </c>
      <c r="N3632">
        <v>54</v>
      </c>
      <c r="O3632">
        <v>28</v>
      </c>
      <c r="P3632">
        <v>20</v>
      </c>
      <c r="Q3632">
        <v>34</v>
      </c>
      <c r="R3632">
        <v>35</v>
      </c>
    </row>
    <row r="3633" spans="1:18" x14ac:dyDescent="0.25">
      <c r="A3633" t="s">
        <v>3890</v>
      </c>
      <c r="B3633" t="s">
        <v>55</v>
      </c>
      <c r="C3633" t="s">
        <v>3881</v>
      </c>
      <c r="D3633" t="s">
        <v>3800</v>
      </c>
      <c r="E3633" t="s">
        <v>78</v>
      </c>
      <c r="F3633" t="s">
        <v>252</v>
      </c>
      <c r="G3633">
        <v>7.6017000000000001</v>
      </c>
      <c r="H3633">
        <v>-74.808300000000003</v>
      </c>
      <c r="I3633" t="s">
        <v>3882</v>
      </c>
      <c r="J3633">
        <v>11</v>
      </c>
      <c r="M3633">
        <v>170</v>
      </c>
      <c r="N3633">
        <v>37</v>
      </c>
      <c r="O3633">
        <v>32</v>
      </c>
      <c r="P3633">
        <v>42</v>
      </c>
      <c r="Q3633">
        <v>21</v>
      </c>
      <c r="R3633">
        <v>49</v>
      </c>
    </row>
    <row r="3634" spans="1:18" x14ac:dyDescent="0.25">
      <c r="A3634" t="s">
        <v>3891</v>
      </c>
      <c r="B3634" t="s">
        <v>55</v>
      </c>
      <c r="C3634" t="s">
        <v>3881</v>
      </c>
      <c r="D3634" t="s">
        <v>3800</v>
      </c>
      <c r="E3634" t="s">
        <v>78</v>
      </c>
      <c r="F3634" t="s">
        <v>252</v>
      </c>
      <c r="G3634">
        <v>7.6017000000000001</v>
      </c>
      <c r="H3634">
        <v>-74.808300000000003</v>
      </c>
      <c r="I3634" t="s">
        <v>3882</v>
      </c>
      <c r="J3634">
        <v>11</v>
      </c>
      <c r="M3634">
        <v>169</v>
      </c>
      <c r="N3634">
        <v>49</v>
      </c>
      <c r="O3634">
        <v>30</v>
      </c>
      <c r="P3634">
        <v>32</v>
      </c>
      <c r="Q3634">
        <v>21</v>
      </c>
      <c r="R3634">
        <v>45</v>
      </c>
    </row>
    <row r="3635" spans="1:18" x14ac:dyDescent="0.25">
      <c r="A3635" t="s">
        <v>3892</v>
      </c>
      <c r="B3635" t="s">
        <v>55</v>
      </c>
      <c r="C3635" t="s">
        <v>3881</v>
      </c>
      <c r="D3635" t="s">
        <v>3800</v>
      </c>
      <c r="E3635" t="s">
        <v>78</v>
      </c>
      <c r="F3635" t="s">
        <v>252</v>
      </c>
      <c r="G3635">
        <v>7.6017000000000001</v>
      </c>
      <c r="H3635">
        <v>-74.808300000000003</v>
      </c>
      <c r="I3635" t="s">
        <v>3882</v>
      </c>
      <c r="J3635">
        <v>11</v>
      </c>
      <c r="M3635">
        <v>169</v>
      </c>
      <c r="N3635">
        <v>54</v>
      </c>
      <c r="O3635">
        <v>36</v>
      </c>
      <c r="P3635">
        <v>26</v>
      </c>
      <c r="Q3635">
        <v>19</v>
      </c>
      <c r="R3635">
        <v>35</v>
      </c>
    </row>
    <row r="3636" spans="1:18" x14ac:dyDescent="0.25">
      <c r="A3636" t="s">
        <v>3893</v>
      </c>
      <c r="B3636" t="s">
        <v>55</v>
      </c>
      <c r="C3636" t="s">
        <v>3881</v>
      </c>
      <c r="D3636" t="s">
        <v>3800</v>
      </c>
      <c r="E3636" t="s">
        <v>78</v>
      </c>
      <c r="F3636" t="s">
        <v>252</v>
      </c>
      <c r="G3636">
        <v>7.6017000000000001</v>
      </c>
      <c r="H3636">
        <v>-74.808300000000003</v>
      </c>
      <c r="I3636" t="s">
        <v>3882</v>
      </c>
      <c r="J3636">
        <v>11</v>
      </c>
      <c r="M3636">
        <v>168</v>
      </c>
      <c r="N3636">
        <v>59</v>
      </c>
      <c r="O3636">
        <v>28</v>
      </c>
      <c r="P3636">
        <v>26</v>
      </c>
      <c r="Q3636">
        <v>24</v>
      </c>
      <c r="R3636">
        <v>27</v>
      </c>
    </row>
    <row r="3637" spans="1:18" x14ac:dyDescent="0.25">
      <c r="A3637" t="s">
        <v>3894</v>
      </c>
      <c r="B3637" t="s">
        <v>55</v>
      </c>
      <c r="C3637" t="s">
        <v>3881</v>
      </c>
      <c r="D3637" t="s">
        <v>3800</v>
      </c>
      <c r="E3637" t="s">
        <v>78</v>
      </c>
      <c r="F3637" t="s">
        <v>252</v>
      </c>
      <c r="G3637">
        <v>7.6017000000000001</v>
      </c>
      <c r="H3637">
        <v>-74.808300000000003</v>
      </c>
      <c r="I3637" t="s">
        <v>3882</v>
      </c>
      <c r="J3637">
        <v>11</v>
      </c>
      <c r="M3637">
        <v>165</v>
      </c>
      <c r="N3637">
        <v>44</v>
      </c>
      <c r="O3637">
        <v>28</v>
      </c>
      <c r="P3637">
        <v>40</v>
      </c>
      <c r="Q3637">
        <v>22</v>
      </c>
      <c r="R3637">
        <v>27</v>
      </c>
    </row>
    <row r="3638" spans="1:18" x14ac:dyDescent="0.25">
      <c r="A3638" t="s">
        <v>3895</v>
      </c>
      <c r="B3638" t="s">
        <v>55</v>
      </c>
      <c r="C3638" t="s">
        <v>3881</v>
      </c>
      <c r="D3638" t="s">
        <v>3800</v>
      </c>
      <c r="E3638" t="s">
        <v>78</v>
      </c>
      <c r="F3638" t="s">
        <v>252</v>
      </c>
      <c r="G3638">
        <v>7.6017000000000001</v>
      </c>
      <c r="H3638">
        <v>-74.808300000000003</v>
      </c>
      <c r="I3638" t="s">
        <v>3882</v>
      </c>
      <c r="J3638">
        <v>11</v>
      </c>
      <c r="M3638">
        <v>165</v>
      </c>
      <c r="N3638">
        <v>37</v>
      </c>
      <c r="O3638">
        <v>36</v>
      </c>
      <c r="P3638">
        <v>34</v>
      </c>
      <c r="Q3638">
        <v>26</v>
      </c>
      <c r="R3638">
        <v>31</v>
      </c>
    </row>
    <row r="3639" spans="1:18" x14ac:dyDescent="0.25">
      <c r="A3639" t="s">
        <v>3896</v>
      </c>
      <c r="B3639" t="s">
        <v>55</v>
      </c>
      <c r="C3639" t="s">
        <v>3881</v>
      </c>
      <c r="D3639" t="s">
        <v>3800</v>
      </c>
      <c r="E3639" t="s">
        <v>78</v>
      </c>
      <c r="F3639" t="s">
        <v>252</v>
      </c>
      <c r="G3639">
        <v>7.6017000000000001</v>
      </c>
      <c r="H3639">
        <v>-74.808300000000003</v>
      </c>
      <c r="I3639" t="s">
        <v>3882</v>
      </c>
      <c r="J3639">
        <v>11</v>
      </c>
      <c r="M3639">
        <v>159</v>
      </c>
      <c r="N3639">
        <v>34</v>
      </c>
      <c r="O3639">
        <v>18</v>
      </c>
      <c r="P3639">
        <v>38</v>
      </c>
      <c r="Q3639">
        <v>36</v>
      </c>
      <c r="R3639">
        <v>35</v>
      </c>
    </row>
    <row r="3640" spans="1:18" x14ac:dyDescent="0.25">
      <c r="A3640" t="s">
        <v>3897</v>
      </c>
      <c r="B3640" t="s">
        <v>55</v>
      </c>
      <c r="C3640" t="s">
        <v>3881</v>
      </c>
      <c r="D3640" t="s">
        <v>3800</v>
      </c>
      <c r="E3640" t="s">
        <v>78</v>
      </c>
      <c r="F3640" t="s">
        <v>252</v>
      </c>
      <c r="G3640">
        <v>7.6017000000000001</v>
      </c>
      <c r="H3640">
        <v>-74.808300000000003</v>
      </c>
      <c r="I3640" t="s">
        <v>3882</v>
      </c>
      <c r="J3640">
        <v>11</v>
      </c>
      <c r="M3640">
        <v>159</v>
      </c>
      <c r="N3640">
        <v>34</v>
      </c>
      <c r="O3640">
        <v>30</v>
      </c>
      <c r="P3640">
        <v>40</v>
      </c>
      <c r="Q3640">
        <v>21</v>
      </c>
      <c r="R3640">
        <v>38</v>
      </c>
    </row>
    <row r="3641" spans="1:18" x14ac:dyDescent="0.25">
      <c r="A3641" t="s">
        <v>3898</v>
      </c>
      <c r="B3641" t="s">
        <v>55</v>
      </c>
      <c r="C3641" t="s">
        <v>3881</v>
      </c>
      <c r="D3641" t="s">
        <v>3800</v>
      </c>
      <c r="E3641" t="s">
        <v>78</v>
      </c>
      <c r="F3641" t="s">
        <v>252</v>
      </c>
      <c r="G3641">
        <v>7.6017000000000001</v>
      </c>
      <c r="H3641">
        <v>-74.808300000000003</v>
      </c>
      <c r="I3641" t="s">
        <v>3882</v>
      </c>
      <c r="J3641">
        <v>11</v>
      </c>
      <c r="M3641">
        <v>154</v>
      </c>
      <c r="N3641">
        <v>27</v>
      </c>
      <c r="O3641">
        <v>26</v>
      </c>
      <c r="P3641">
        <v>52</v>
      </c>
      <c r="Q3641">
        <v>17</v>
      </c>
      <c r="R3641">
        <v>35</v>
      </c>
    </row>
    <row r="3642" spans="1:18" x14ac:dyDescent="0.25">
      <c r="A3642" t="s">
        <v>3899</v>
      </c>
      <c r="B3642" t="s">
        <v>55</v>
      </c>
      <c r="C3642" t="s">
        <v>3881</v>
      </c>
      <c r="D3642" t="s">
        <v>3800</v>
      </c>
      <c r="E3642" t="s">
        <v>78</v>
      </c>
      <c r="F3642" t="s">
        <v>252</v>
      </c>
      <c r="G3642">
        <v>7.6017000000000001</v>
      </c>
      <c r="H3642">
        <v>-74.808300000000003</v>
      </c>
      <c r="I3642" t="s">
        <v>3882</v>
      </c>
      <c r="J3642">
        <v>11</v>
      </c>
      <c r="M3642">
        <v>150</v>
      </c>
      <c r="N3642">
        <v>39</v>
      </c>
      <c r="O3642">
        <v>26</v>
      </c>
      <c r="P3642">
        <v>30</v>
      </c>
      <c r="Q3642">
        <v>21</v>
      </c>
      <c r="R3642">
        <v>44</v>
      </c>
    </row>
    <row r="3643" spans="1:18" x14ac:dyDescent="0.25">
      <c r="A3643" t="s">
        <v>3900</v>
      </c>
      <c r="B3643" t="s">
        <v>55</v>
      </c>
      <c r="C3643" t="s">
        <v>3881</v>
      </c>
      <c r="D3643" t="s">
        <v>3800</v>
      </c>
      <c r="E3643" t="s">
        <v>78</v>
      </c>
      <c r="F3643" t="s">
        <v>252</v>
      </c>
      <c r="G3643">
        <v>7.6017000000000001</v>
      </c>
      <c r="H3643">
        <v>-74.808300000000003</v>
      </c>
      <c r="I3643" t="s">
        <v>3882</v>
      </c>
      <c r="J3643">
        <v>11</v>
      </c>
      <c r="M3643">
        <v>148</v>
      </c>
      <c r="N3643">
        <v>46</v>
      </c>
      <c r="O3643">
        <v>24</v>
      </c>
      <c r="P3643">
        <v>32</v>
      </c>
      <c r="Q3643">
        <v>19</v>
      </c>
      <c r="R3643">
        <v>22</v>
      </c>
    </row>
    <row r="3644" spans="1:18" x14ac:dyDescent="0.25">
      <c r="A3644" t="s">
        <v>3901</v>
      </c>
      <c r="B3644" t="s">
        <v>55</v>
      </c>
      <c r="C3644" t="s">
        <v>3881</v>
      </c>
      <c r="D3644" t="s">
        <v>3800</v>
      </c>
      <c r="E3644" t="s">
        <v>78</v>
      </c>
      <c r="F3644" t="s">
        <v>252</v>
      </c>
      <c r="G3644">
        <v>7.6017000000000001</v>
      </c>
      <c r="H3644">
        <v>-74.808300000000003</v>
      </c>
      <c r="I3644" t="s">
        <v>3882</v>
      </c>
      <c r="J3644">
        <v>11</v>
      </c>
      <c r="M3644">
        <v>148</v>
      </c>
      <c r="N3644">
        <v>34</v>
      </c>
      <c r="O3644">
        <v>30</v>
      </c>
      <c r="P3644">
        <v>22</v>
      </c>
      <c r="Q3644">
        <v>29</v>
      </c>
      <c r="R3644">
        <v>38</v>
      </c>
    </row>
    <row r="3645" spans="1:18" x14ac:dyDescent="0.25">
      <c r="A3645" t="s">
        <v>3902</v>
      </c>
      <c r="B3645" t="s">
        <v>55</v>
      </c>
      <c r="C3645" t="s">
        <v>3881</v>
      </c>
      <c r="D3645" t="s">
        <v>3800</v>
      </c>
      <c r="E3645" t="s">
        <v>78</v>
      </c>
      <c r="F3645" t="s">
        <v>252</v>
      </c>
      <c r="G3645">
        <v>7.6017000000000001</v>
      </c>
      <c r="H3645">
        <v>-74.808300000000003</v>
      </c>
      <c r="I3645" t="s">
        <v>3882</v>
      </c>
      <c r="J3645">
        <v>11</v>
      </c>
      <c r="M3645">
        <v>147</v>
      </c>
      <c r="N3645">
        <v>34</v>
      </c>
      <c r="O3645">
        <v>26</v>
      </c>
      <c r="P3645">
        <v>36</v>
      </c>
      <c r="Q3645">
        <v>21</v>
      </c>
      <c r="R3645">
        <v>31</v>
      </c>
    </row>
    <row r="3646" spans="1:18" x14ac:dyDescent="0.25">
      <c r="A3646" t="s">
        <v>3903</v>
      </c>
      <c r="B3646" t="s">
        <v>55</v>
      </c>
      <c r="C3646" t="s">
        <v>3881</v>
      </c>
      <c r="D3646" t="s">
        <v>3800</v>
      </c>
      <c r="E3646" t="s">
        <v>78</v>
      </c>
      <c r="F3646" t="s">
        <v>252</v>
      </c>
      <c r="G3646">
        <v>7.6017000000000001</v>
      </c>
      <c r="H3646">
        <v>-74.808300000000003</v>
      </c>
      <c r="I3646" t="s">
        <v>3882</v>
      </c>
      <c r="J3646">
        <v>11</v>
      </c>
      <c r="M3646">
        <v>145</v>
      </c>
      <c r="N3646">
        <v>41</v>
      </c>
      <c r="O3646">
        <v>20</v>
      </c>
      <c r="P3646">
        <v>34</v>
      </c>
      <c r="Q3646">
        <v>19</v>
      </c>
      <c r="R3646">
        <v>33</v>
      </c>
    </row>
    <row r="3647" spans="1:18" x14ac:dyDescent="0.25">
      <c r="A3647" t="s">
        <v>3904</v>
      </c>
      <c r="B3647" t="s">
        <v>55</v>
      </c>
      <c r="C3647" t="s">
        <v>3881</v>
      </c>
      <c r="D3647" t="s">
        <v>3800</v>
      </c>
      <c r="E3647" t="s">
        <v>78</v>
      </c>
      <c r="F3647" t="s">
        <v>252</v>
      </c>
      <c r="G3647">
        <v>7.6017000000000001</v>
      </c>
      <c r="H3647">
        <v>-74.808300000000003</v>
      </c>
      <c r="I3647" t="s">
        <v>3882</v>
      </c>
      <c r="J3647">
        <v>11</v>
      </c>
      <c r="M3647">
        <v>144</v>
      </c>
      <c r="N3647">
        <v>29</v>
      </c>
      <c r="O3647">
        <v>16</v>
      </c>
      <c r="P3647">
        <v>36</v>
      </c>
      <c r="Q3647">
        <v>36</v>
      </c>
      <c r="R3647">
        <v>22</v>
      </c>
    </row>
    <row r="3648" spans="1:18" x14ac:dyDescent="0.25">
      <c r="A3648" t="s">
        <v>3905</v>
      </c>
      <c r="B3648" t="s">
        <v>55</v>
      </c>
      <c r="C3648" t="s">
        <v>3881</v>
      </c>
      <c r="D3648" t="s">
        <v>3800</v>
      </c>
      <c r="E3648" t="s">
        <v>78</v>
      </c>
      <c r="F3648" t="s">
        <v>252</v>
      </c>
      <c r="G3648">
        <v>7.6017000000000001</v>
      </c>
      <c r="H3648">
        <v>-74.808300000000003</v>
      </c>
      <c r="I3648" t="s">
        <v>3882</v>
      </c>
      <c r="J3648">
        <v>11</v>
      </c>
      <c r="M3648">
        <v>140</v>
      </c>
      <c r="N3648">
        <v>29</v>
      </c>
      <c r="O3648">
        <v>32</v>
      </c>
      <c r="P3648">
        <v>16</v>
      </c>
      <c r="Q3648">
        <v>33</v>
      </c>
      <c r="R3648">
        <v>33</v>
      </c>
    </row>
    <row r="3649" spans="1:18" x14ac:dyDescent="0.25">
      <c r="A3649" t="s">
        <v>3906</v>
      </c>
      <c r="B3649" t="s">
        <v>55</v>
      </c>
      <c r="C3649" t="s">
        <v>3881</v>
      </c>
      <c r="D3649" t="s">
        <v>3800</v>
      </c>
      <c r="E3649" t="s">
        <v>78</v>
      </c>
      <c r="F3649" t="s">
        <v>252</v>
      </c>
      <c r="G3649">
        <v>7.6017000000000001</v>
      </c>
      <c r="H3649">
        <v>-74.808300000000003</v>
      </c>
      <c r="I3649" t="s">
        <v>3882</v>
      </c>
      <c r="J3649">
        <v>11</v>
      </c>
      <c r="M3649">
        <v>138</v>
      </c>
      <c r="N3649">
        <v>34</v>
      </c>
      <c r="O3649">
        <v>28</v>
      </c>
      <c r="P3649">
        <v>24</v>
      </c>
      <c r="Q3649">
        <v>24</v>
      </c>
      <c r="R3649">
        <v>27</v>
      </c>
    </row>
    <row r="3650" spans="1:18" x14ac:dyDescent="0.25">
      <c r="A3650" t="s">
        <v>3907</v>
      </c>
      <c r="B3650" t="s">
        <v>55</v>
      </c>
      <c r="C3650" t="s">
        <v>3881</v>
      </c>
      <c r="D3650" t="s">
        <v>3800</v>
      </c>
      <c r="E3650" t="s">
        <v>78</v>
      </c>
      <c r="F3650" t="s">
        <v>252</v>
      </c>
      <c r="G3650">
        <v>7.6017000000000001</v>
      </c>
      <c r="H3650">
        <v>-74.808300000000003</v>
      </c>
      <c r="I3650" t="s">
        <v>3882</v>
      </c>
      <c r="J3650">
        <v>11</v>
      </c>
      <c r="M3650">
        <v>134</v>
      </c>
      <c r="N3650">
        <v>27</v>
      </c>
      <c r="O3650">
        <v>18</v>
      </c>
      <c r="P3650">
        <v>40</v>
      </c>
      <c r="Q3650">
        <v>19</v>
      </c>
      <c r="R3650">
        <v>36</v>
      </c>
    </row>
    <row r="3651" spans="1:18" x14ac:dyDescent="0.25">
      <c r="A3651" t="s">
        <v>3908</v>
      </c>
      <c r="B3651" t="s">
        <v>55</v>
      </c>
      <c r="C3651" t="s">
        <v>3881</v>
      </c>
      <c r="D3651" t="s">
        <v>3800</v>
      </c>
      <c r="E3651" t="s">
        <v>78</v>
      </c>
      <c r="F3651" t="s">
        <v>252</v>
      </c>
      <c r="G3651">
        <v>7.6017000000000001</v>
      </c>
      <c r="H3651">
        <v>-74.808300000000003</v>
      </c>
      <c r="I3651" t="s">
        <v>3882</v>
      </c>
      <c r="J3651">
        <v>11</v>
      </c>
      <c r="M3651">
        <v>128</v>
      </c>
      <c r="N3651">
        <v>27</v>
      </c>
      <c r="O3651">
        <v>30</v>
      </c>
      <c r="P3651">
        <v>16</v>
      </c>
      <c r="Q3651">
        <v>28</v>
      </c>
      <c r="R3651">
        <v>31</v>
      </c>
    </row>
    <row r="3652" spans="1:18" x14ac:dyDescent="0.25">
      <c r="A3652" t="s">
        <v>3909</v>
      </c>
      <c r="B3652" t="s">
        <v>55</v>
      </c>
      <c r="C3652" t="s">
        <v>3881</v>
      </c>
      <c r="D3652" t="s">
        <v>3800</v>
      </c>
      <c r="E3652" t="s">
        <v>78</v>
      </c>
      <c r="F3652" t="s">
        <v>252</v>
      </c>
      <c r="G3652">
        <v>7.6017000000000001</v>
      </c>
      <c r="H3652">
        <v>-74.808300000000003</v>
      </c>
      <c r="I3652" t="s">
        <v>3882</v>
      </c>
      <c r="J3652">
        <v>11</v>
      </c>
      <c r="M3652">
        <v>126</v>
      </c>
      <c r="N3652">
        <v>24</v>
      </c>
      <c r="O3652">
        <v>24</v>
      </c>
      <c r="P3652">
        <v>30</v>
      </c>
      <c r="Q3652">
        <v>19</v>
      </c>
      <c r="R3652">
        <v>36</v>
      </c>
    </row>
    <row r="3653" spans="1:18" x14ac:dyDescent="0.25">
      <c r="A3653" t="s">
        <v>3910</v>
      </c>
      <c r="B3653" t="s">
        <v>55</v>
      </c>
      <c r="C3653" t="s">
        <v>3881</v>
      </c>
      <c r="D3653" t="s">
        <v>3800</v>
      </c>
      <c r="E3653" t="s">
        <v>78</v>
      </c>
      <c r="F3653" t="s">
        <v>252</v>
      </c>
      <c r="G3653">
        <v>7.6017000000000001</v>
      </c>
      <c r="H3653">
        <v>-74.808300000000003</v>
      </c>
      <c r="I3653" t="s">
        <v>3882</v>
      </c>
      <c r="J3653">
        <v>11</v>
      </c>
      <c r="M3653">
        <v>124</v>
      </c>
      <c r="N3653">
        <v>27</v>
      </c>
      <c r="O3653">
        <v>22</v>
      </c>
      <c r="P3653">
        <v>28</v>
      </c>
      <c r="Q3653">
        <v>21</v>
      </c>
      <c r="R3653">
        <v>31</v>
      </c>
    </row>
    <row r="3654" spans="1:18" x14ac:dyDescent="0.25">
      <c r="A3654" t="s">
        <v>3911</v>
      </c>
      <c r="B3654" t="s">
        <v>55</v>
      </c>
      <c r="C3654" t="s">
        <v>3881</v>
      </c>
      <c r="D3654" t="s">
        <v>3800</v>
      </c>
      <c r="E3654" t="s">
        <v>78</v>
      </c>
      <c r="F3654" t="s">
        <v>252</v>
      </c>
      <c r="G3654">
        <v>7.6017000000000001</v>
      </c>
      <c r="H3654">
        <v>-74.808300000000003</v>
      </c>
      <c r="I3654" t="s">
        <v>3882</v>
      </c>
      <c r="J3654">
        <v>11</v>
      </c>
      <c r="M3654">
        <v>121</v>
      </c>
      <c r="N3654">
        <v>24</v>
      </c>
      <c r="O3654">
        <v>26</v>
      </c>
      <c r="P3654">
        <v>22</v>
      </c>
      <c r="Q3654">
        <v>21</v>
      </c>
      <c r="R3654">
        <v>35</v>
      </c>
    </row>
    <row r="3655" spans="1:18" x14ac:dyDescent="0.25">
      <c r="A3655" t="s">
        <v>3912</v>
      </c>
      <c r="B3655" t="s">
        <v>55</v>
      </c>
      <c r="C3655" t="s">
        <v>3881</v>
      </c>
      <c r="D3655" t="s">
        <v>3800</v>
      </c>
      <c r="E3655" t="s">
        <v>78</v>
      </c>
      <c r="F3655" t="s">
        <v>252</v>
      </c>
      <c r="G3655">
        <v>7.6017000000000001</v>
      </c>
      <c r="H3655">
        <v>-74.808300000000003</v>
      </c>
      <c r="I3655" t="s">
        <v>3882</v>
      </c>
      <c r="J3655">
        <v>11</v>
      </c>
      <c r="M3655">
        <v>116</v>
      </c>
      <c r="N3655">
        <v>24</v>
      </c>
      <c r="O3655">
        <v>20</v>
      </c>
      <c r="P3655">
        <v>24</v>
      </c>
      <c r="Q3655">
        <v>24</v>
      </c>
      <c r="R3655">
        <v>24</v>
      </c>
    </row>
    <row r="3656" spans="1:18" x14ac:dyDescent="0.25">
      <c r="A3656" t="s">
        <v>3913</v>
      </c>
      <c r="B3656" t="s">
        <v>55</v>
      </c>
      <c r="C3656" t="s">
        <v>3881</v>
      </c>
      <c r="D3656" t="s">
        <v>3800</v>
      </c>
      <c r="E3656" t="s">
        <v>78</v>
      </c>
      <c r="F3656" t="s">
        <v>252</v>
      </c>
      <c r="G3656">
        <v>7.6017000000000001</v>
      </c>
      <c r="H3656">
        <v>-74.808300000000003</v>
      </c>
      <c r="I3656" t="s">
        <v>3882</v>
      </c>
      <c r="J3656">
        <v>11</v>
      </c>
      <c r="M3656">
        <v>112</v>
      </c>
      <c r="N3656">
        <v>20</v>
      </c>
      <c r="O3656">
        <v>20</v>
      </c>
      <c r="P3656">
        <v>24</v>
      </c>
      <c r="Q3656">
        <v>24</v>
      </c>
      <c r="R3656">
        <v>27</v>
      </c>
    </row>
    <row r="3657" spans="1:18" x14ac:dyDescent="0.25">
      <c r="A3657" t="s">
        <v>3914</v>
      </c>
      <c r="B3657" t="s">
        <v>55</v>
      </c>
      <c r="C3657" t="s">
        <v>3881</v>
      </c>
      <c r="D3657" t="s">
        <v>3800</v>
      </c>
      <c r="E3657" t="s">
        <v>78</v>
      </c>
      <c r="F3657" t="s">
        <v>252</v>
      </c>
      <c r="G3657">
        <v>7.6017000000000001</v>
      </c>
      <c r="H3657">
        <v>-74.808300000000003</v>
      </c>
      <c r="I3657" t="s">
        <v>3882</v>
      </c>
      <c r="J3657">
        <v>11</v>
      </c>
      <c r="M3657">
        <v>111</v>
      </c>
      <c r="N3657">
        <v>29</v>
      </c>
      <c r="O3657">
        <v>28</v>
      </c>
      <c r="P3657">
        <v>6</v>
      </c>
      <c r="Q3657">
        <v>24</v>
      </c>
      <c r="R3657">
        <v>25</v>
      </c>
    </row>
    <row r="3658" spans="1:18" x14ac:dyDescent="0.25">
      <c r="A3658" t="s">
        <v>3915</v>
      </c>
      <c r="B3658" t="s">
        <v>55</v>
      </c>
      <c r="C3658" t="s">
        <v>3881</v>
      </c>
      <c r="D3658" t="s">
        <v>3800</v>
      </c>
      <c r="E3658" t="s">
        <v>78</v>
      </c>
      <c r="F3658" t="s">
        <v>252</v>
      </c>
      <c r="G3658">
        <v>7.6017000000000001</v>
      </c>
      <c r="H3658">
        <v>-74.808300000000003</v>
      </c>
      <c r="I3658" t="s">
        <v>3882</v>
      </c>
      <c r="J3658">
        <v>11</v>
      </c>
      <c r="M3658">
        <v>92</v>
      </c>
      <c r="N3658">
        <v>32</v>
      </c>
      <c r="O3658">
        <v>18</v>
      </c>
      <c r="P3658">
        <v>16</v>
      </c>
      <c r="Q3658">
        <v>14</v>
      </c>
      <c r="R3658">
        <v>0</v>
      </c>
    </row>
    <row r="3659" spans="1:18" x14ac:dyDescent="0.25">
      <c r="A3659" t="s">
        <v>3916</v>
      </c>
      <c r="B3659" t="s">
        <v>55</v>
      </c>
      <c r="C3659" t="s">
        <v>3917</v>
      </c>
      <c r="D3659" t="s">
        <v>3918</v>
      </c>
      <c r="E3659" t="s">
        <v>78</v>
      </c>
      <c r="F3659" t="s">
        <v>252</v>
      </c>
      <c r="G3659">
        <v>6.7805999999999997</v>
      </c>
      <c r="H3659">
        <v>-76.130799999999994</v>
      </c>
      <c r="I3659" t="s">
        <v>3919</v>
      </c>
      <c r="J3659">
        <v>11</v>
      </c>
      <c r="M3659">
        <v>235</v>
      </c>
      <c r="N3659">
        <v>41</v>
      </c>
      <c r="O3659">
        <v>42</v>
      </c>
      <c r="P3659">
        <v>72</v>
      </c>
      <c r="Q3659">
        <v>33</v>
      </c>
      <c r="R3659">
        <v>47</v>
      </c>
    </row>
    <row r="3660" spans="1:18" x14ac:dyDescent="0.25">
      <c r="A3660" t="s">
        <v>3920</v>
      </c>
      <c r="B3660" t="s">
        <v>55</v>
      </c>
      <c r="C3660" t="s">
        <v>3917</v>
      </c>
      <c r="D3660" t="s">
        <v>3918</v>
      </c>
      <c r="E3660" t="s">
        <v>78</v>
      </c>
      <c r="F3660" t="s">
        <v>252</v>
      </c>
      <c r="G3660">
        <v>6.7805999999999997</v>
      </c>
      <c r="H3660">
        <v>-76.130799999999994</v>
      </c>
      <c r="I3660" t="s">
        <v>3919</v>
      </c>
      <c r="J3660">
        <v>11</v>
      </c>
      <c r="M3660">
        <v>223</v>
      </c>
      <c r="N3660">
        <v>41</v>
      </c>
      <c r="O3660">
        <v>42</v>
      </c>
      <c r="P3660">
        <v>62</v>
      </c>
      <c r="Q3660">
        <v>29</v>
      </c>
      <c r="R3660">
        <v>55</v>
      </c>
    </row>
    <row r="3661" spans="1:18" x14ac:dyDescent="0.25">
      <c r="A3661" t="s">
        <v>3921</v>
      </c>
      <c r="B3661" t="s">
        <v>55</v>
      </c>
      <c r="C3661" t="s">
        <v>3917</v>
      </c>
      <c r="D3661" t="s">
        <v>3918</v>
      </c>
      <c r="E3661" t="s">
        <v>78</v>
      </c>
      <c r="F3661" t="s">
        <v>252</v>
      </c>
      <c r="G3661">
        <v>6.7805999999999997</v>
      </c>
      <c r="H3661">
        <v>-76.130799999999994</v>
      </c>
      <c r="I3661" t="s">
        <v>3919</v>
      </c>
      <c r="J3661">
        <v>11</v>
      </c>
      <c r="M3661">
        <v>211</v>
      </c>
      <c r="N3661">
        <v>41</v>
      </c>
      <c r="O3661">
        <v>38</v>
      </c>
      <c r="P3661">
        <v>56</v>
      </c>
      <c r="Q3661">
        <v>29</v>
      </c>
      <c r="R3661">
        <v>55</v>
      </c>
    </row>
    <row r="3662" spans="1:18" x14ac:dyDescent="0.25">
      <c r="A3662" t="s">
        <v>3922</v>
      </c>
      <c r="B3662" t="s">
        <v>55</v>
      </c>
      <c r="C3662" t="s">
        <v>3917</v>
      </c>
      <c r="D3662" t="s">
        <v>3918</v>
      </c>
      <c r="E3662" t="s">
        <v>78</v>
      </c>
      <c r="F3662" t="s">
        <v>252</v>
      </c>
      <c r="G3662">
        <v>6.7805999999999997</v>
      </c>
      <c r="H3662">
        <v>-76.130799999999994</v>
      </c>
      <c r="I3662" t="s">
        <v>3919</v>
      </c>
      <c r="J3662">
        <v>11</v>
      </c>
      <c r="M3662">
        <v>209</v>
      </c>
      <c r="N3662">
        <v>39</v>
      </c>
      <c r="O3662">
        <v>38</v>
      </c>
      <c r="P3662">
        <v>64</v>
      </c>
      <c r="Q3662">
        <v>29</v>
      </c>
      <c r="R3662">
        <v>33</v>
      </c>
    </row>
    <row r="3663" spans="1:18" x14ac:dyDescent="0.25">
      <c r="A3663" t="s">
        <v>3923</v>
      </c>
      <c r="B3663" t="s">
        <v>55</v>
      </c>
      <c r="C3663" t="s">
        <v>3917</v>
      </c>
      <c r="D3663" t="s">
        <v>3918</v>
      </c>
      <c r="E3663" t="s">
        <v>78</v>
      </c>
      <c r="F3663" t="s">
        <v>252</v>
      </c>
      <c r="G3663">
        <v>6.7805999999999997</v>
      </c>
      <c r="H3663">
        <v>-76.130799999999994</v>
      </c>
      <c r="I3663" t="s">
        <v>3919</v>
      </c>
      <c r="J3663">
        <v>11</v>
      </c>
      <c r="M3663">
        <v>207</v>
      </c>
      <c r="N3663">
        <v>51</v>
      </c>
      <c r="O3663">
        <v>36</v>
      </c>
      <c r="P3663">
        <v>50</v>
      </c>
      <c r="Q3663">
        <v>33</v>
      </c>
      <c r="R3663">
        <v>29</v>
      </c>
    </row>
    <row r="3664" spans="1:18" x14ac:dyDescent="0.25">
      <c r="A3664" t="s">
        <v>3924</v>
      </c>
      <c r="B3664" t="s">
        <v>55</v>
      </c>
      <c r="C3664" t="s">
        <v>3917</v>
      </c>
      <c r="D3664" t="s">
        <v>3918</v>
      </c>
      <c r="E3664" t="s">
        <v>78</v>
      </c>
      <c r="F3664" t="s">
        <v>252</v>
      </c>
      <c r="G3664">
        <v>6.7805999999999997</v>
      </c>
      <c r="H3664">
        <v>-76.130799999999994</v>
      </c>
      <c r="I3664" t="s">
        <v>3919</v>
      </c>
      <c r="J3664">
        <v>11</v>
      </c>
      <c r="M3664">
        <v>204</v>
      </c>
      <c r="N3664">
        <v>71</v>
      </c>
      <c r="O3664">
        <v>42</v>
      </c>
      <c r="P3664">
        <v>34</v>
      </c>
      <c r="Q3664">
        <v>17</v>
      </c>
      <c r="R3664">
        <v>38</v>
      </c>
    </row>
    <row r="3665" spans="1:18" x14ac:dyDescent="0.25">
      <c r="A3665" t="s">
        <v>3925</v>
      </c>
      <c r="B3665" t="s">
        <v>55</v>
      </c>
      <c r="C3665" t="s">
        <v>3917</v>
      </c>
      <c r="D3665" t="s">
        <v>3918</v>
      </c>
      <c r="E3665" t="s">
        <v>78</v>
      </c>
      <c r="F3665" t="s">
        <v>252</v>
      </c>
      <c r="G3665">
        <v>6.7805999999999997</v>
      </c>
      <c r="H3665">
        <v>-76.130799999999994</v>
      </c>
      <c r="I3665" t="s">
        <v>3919</v>
      </c>
      <c r="J3665">
        <v>11</v>
      </c>
      <c r="M3665">
        <v>186</v>
      </c>
      <c r="N3665">
        <v>41</v>
      </c>
      <c r="O3665">
        <v>30</v>
      </c>
      <c r="P3665">
        <v>44</v>
      </c>
      <c r="Q3665">
        <v>38</v>
      </c>
      <c r="R3665">
        <v>24</v>
      </c>
    </row>
    <row r="3666" spans="1:18" x14ac:dyDescent="0.25">
      <c r="A3666" t="s">
        <v>3926</v>
      </c>
      <c r="B3666" t="s">
        <v>55</v>
      </c>
      <c r="C3666" t="s">
        <v>3917</v>
      </c>
      <c r="D3666" t="s">
        <v>3918</v>
      </c>
      <c r="E3666" t="s">
        <v>78</v>
      </c>
      <c r="F3666" t="s">
        <v>252</v>
      </c>
      <c r="G3666">
        <v>6.7805999999999997</v>
      </c>
      <c r="H3666">
        <v>-76.130799999999994</v>
      </c>
      <c r="I3666" t="s">
        <v>3919</v>
      </c>
      <c r="J3666">
        <v>11</v>
      </c>
      <c r="M3666">
        <v>186</v>
      </c>
      <c r="N3666">
        <v>46</v>
      </c>
      <c r="O3666">
        <v>36</v>
      </c>
      <c r="P3666">
        <v>46</v>
      </c>
      <c r="Q3666">
        <v>24</v>
      </c>
      <c r="R3666">
        <v>25</v>
      </c>
    </row>
    <row r="3667" spans="1:18" x14ac:dyDescent="0.25">
      <c r="A3667" t="s">
        <v>3927</v>
      </c>
      <c r="B3667" t="s">
        <v>55</v>
      </c>
      <c r="C3667" t="s">
        <v>3917</v>
      </c>
      <c r="D3667" t="s">
        <v>3918</v>
      </c>
      <c r="E3667" t="s">
        <v>78</v>
      </c>
      <c r="F3667" t="s">
        <v>252</v>
      </c>
      <c r="G3667">
        <v>6.7805999999999997</v>
      </c>
      <c r="H3667">
        <v>-76.130799999999994</v>
      </c>
      <c r="I3667" t="s">
        <v>3919</v>
      </c>
      <c r="J3667">
        <v>11</v>
      </c>
      <c r="M3667">
        <v>185</v>
      </c>
      <c r="N3667">
        <v>46</v>
      </c>
      <c r="O3667">
        <v>32</v>
      </c>
      <c r="P3667">
        <v>36</v>
      </c>
      <c r="Q3667">
        <v>34</v>
      </c>
      <c r="R3667">
        <v>35</v>
      </c>
    </row>
    <row r="3668" spans="1:18" x14ac:dyDescent="0.25">
      <c r="A3668" t="s">
        <v>3928</v>
      </c>
      <c r="B3668" t="s">
        <v>55</v>
      </c>
      <c r="C3668" t="s">
        <v>3917</v>
      </c>
      <c r="D3668" t="s">
        <v>3918</v>
      </c>
      <c r="E3668" t="s">
        <v>78</v>
      </c>
      <c r="F3668" t="s">
        <v>252</v>
      </c>
      <c r="G3668">
        <v>6.7805999999999997</v>
      </c>
      <c r="H3668">
        <v>-76.130799999999994</v>
      </c>
      <c r="I3668" t="s">
        <v>3919</v>
      </c>
      <c r="J3668">
        <v>11</v>
      </c>
      <c r="M3668">
        <v>179</v>
      </c>
      <c r="N3668">
        <v>39</v>
      </c>
      <c r="O3668">
        <v>32</v>
      </c>
      <c r="P3668">
        <v>36</v>
      </c>
      <c r="Q3668">
        <v>33</v>
      </c>
      <c r="R3668">
        <v>47</v>
      </c>
    </row>
    <row r="3669" spans="1:18" x14ac:dyDescent="0.25">
      <c r="A3669" t="s">
        <v>3929</v>
      </c>
      <c r="B3669" t="s">
        <v>55</v>
      </c>
      <c r="C3669" t="s">
        <v>3917</v>
      </c>
      <c r="D3669" t="s">
        <v>3918</v>
      </c>
      <c r="E3669" t="s">
        <v>78</v>
      </c>
      <c r="F3669" t="s">
        <v>252</v>
      </c>
      <c r="G3669">
        <v>6.7805999999999997</v>
      </c>
      <c r="H3669">
        <v>-76.130799999999994</v>
      </c>
      <c r="I3669" t="s">
        <v>3919</v>
      </c>
      <c r="J3669">
        <v>11</v>
      </c>
      <c r="M3669">
        <v>179</v>
      </c>
      <c r="N3669">
        <v>54</v>
      </c>
      <c r="O3669">
        <v>30</v>
      </c>
      <c r="P3669">
        <v>38</v>
      </c>
      <c r="Q3669">
        <v>24</v>
      </c>
      <c r="R3669">
        <v>29</v>
      </c>
    </row>
    <row r="3670" spans="1:18" x14ac:dyDescent="0.25">
      <c r="A3670" t="s">
        <v>3930</v>
      </c>
      <c r="B3670" t="s">
        <v>55</v>
      </c>
      <c r="C3670" t="s">
        <v>3917</v>
      </c>
      <c r="D3670" t="s">
        <v>3918</v>
      </c>
      <c r="E3670" t="s">
        <v>78</v>
      </c>
      <c r="F3670" t="s">
        <v>252</v>
      </c>
      <c r="G3670">
        <v>6.7805999999999997</v>
      </c>
      <c r="H3670">
        <v>-76.130799999999994</v>
      </c>
      <c r="I3670" t="s">
        <v>3919</v>
      </c>
      <c r="J3670">
        <v>11</v>
      </c>
      <c r="M3670">
        <v>158</v>
      </c>
      <c r="N3670">
        <v>46</v>
      </c>
      <c r="O3670">
        <v>32</v>
      </c>
      <c r="P3670">
        <v>20</v>
      </c>
      <c r="Q3670">
        <v>29</v>
      </c>
      <c r="R3670">
        <v>27</v>
      </c>
    </row>
    <row r="3671" spans="1:18" x14ac:dyDescent="0.25">
      <c r="A3671" t="s">
        <v>3931</v>
      </c>
      <c r="B3671" t="s">
        <v>55</v>
      </c>
      <c r="C3671" t="s">
        <v>3917</v>
      </c>
      <c r="D3671" t="s">
        <v>3918</v>
      </c>
      <c r="E3671" t="s">
        <v>78</v>
      </c>
      <c r="F3671" t="s">
        <v>252</v>
      </c>
      <c r="G3671">
        <v>6.7805999999999997</v>
      </c>
      <c r="H3671">
        <v>-76.130799999999994</v>
      </c>
      <c r="I3671" t="s">
        <v>3919</v>
      </c>
      <c r="J3671">
        <v>11</v>
      </c>
      <c r="M3671">
        <v>150</v>
      </c>
      <c r="N3671">
        <v>22</v>
      </c>
      <c r="O3671">
        <v>20</v>
      </c>
      <c r="P3671">
        <v>38</v>
      </c>
      <c r="Q3671">
        <v>34</v>
      </c>
      <c r="R3671">
        <v>47</v>
      </c>
    </row>
    <row r="3672" spans="1:18" x14ac:dyDescent="0.25">
      <c r="A3672" t="s">
        <v>3932</v>
      </c>
      <c r="B3672" t="s">
        <v>55</v>
      </c>
      <c r="C3672" t="s">
        <v>3917</v>
      </c>
      <c r="D3672" t="s">
        <v>3918</v>
      </c>
      <c r="E3672" t="s">
        <v>78</v>
      </c>
      <c r="F3672" t="s">
        <v>252</v>
      </c>
      <c r="G3672">
        <v>6.7805999999999997</v>
      </c>
      <c r="H3672">
        <v>-76.130799999999994</v>
      </c>
      <c r="I3672" t="s">
        <v>3919</v>
      </c>
      <c r="J3672">
        <v>11</v>
      </c>
      <c r="M3672">
        <v>145</v>
      </c>
      <c r="N3672">
        <v>39</v>
      </c>
      <c r="O3672">
        <v>16</v>
      </c>
      <c r="P3672">
        <v>32</v>
      </c>
      <c r="Q3672">
        <v>29</v>
      </c>
      <c r="R3672">
        <v>27</v>
      </c>
    </row>
    <row r="3673" spans="1:18" x14ac:dyDescent="0.25">
      <c r="A3673" t="s">
        <v>3933</v>
      </c>
      <c r="B3673" t="s">
        <v>55</v>
      </c>
      <c r="C3673" t="s">
        <v>3917</v>
      </c>
      <c r="D3673" t="s">
        <v>3918</v>
      </c>
      <c r="E3673" t="s">
        <v>78</v>
      </c>
      <c r="F3673" t="s">
        <v>252</v>
      </c>
      <c r="G3673">
        <v>6.7805999999999997</v>
      </c>
      <c r="H3673">
        <v>-76.130799999999994</v>
      </c>
      <c r="I3673" t="s">
        <v>3919</v>
      </c>
      <c r="J3673">
        <v>11</v>
      </c>
      <c r="M3673">
        <v>139</v>
      </c>
      <c r="N3673">
        <v>17</v>
      </c>
      <c r="O3673">
        <v>22</v>
      </c>
      <c r="P3673">
        <v>38</v>
      </c>
      <c r="Q3673">
        <v>34</v>
      </c>
      <c r="R3673">
        <v>25</v>
      </c>
    </row>
    <row r="3674" spans="1:18" x14ac:dyDescent="0.25">
      <c r="A3674" t="s">
        <v>3934</v>
      </c>
      <c r="B3674" t="s">
        <v>55</v>
      </c>
      <c r="C3674" t="s">
        <v>3917</v>
      </c>
      <c r="D3674" t="s">
        <v>3918</v>
      </c>
      <c r="E3674" t="s">
        <v>78</v>
      </c>
      <c r="F3674" t="s">
        <v>252</v>
      </c>
      <c r="G3674">
        <v>6.7805999999999997</v>
      </c>
      <c r="H3674">
        <v>-76.130799999999994</v>
      </c>
      <c r="I3674" t="s">
        <v>3919</v>
      </c>
      <c r="J3674">
        <v>11</v>
      </c>
      <c r="M3674">
        <v>134</v>
      </c>
      <c r="N3674">
        <v>39</v>
      </c>
      <c r="O3674">
        <v>32</v>
      </c>
      <c r="P3674">
        <v>26</v>
      </c>
      <c r="Q3674">
        <v>14</v>
      </c>
      <c r="R3674">
        <v>16</v>
      </c>
    </row>
    <row r="3675" spans="1:18" x14ac:dyDescent="0.25">
      <c r="A3675" t="s">
        <v>3935</v>
      </c>
      <c r="B3675" t="s">
        <v>55</v>
      </c>
      <c r="C3675" t="s">
        <v>3917</v>
      </c>
      <c r="D3675" t="s">
        <v>3918</v>
      </c>
      <c r="E3675" t="s">
        <v>78</v>
      </c>
      <c r="F3675" t="s">
        <v>252</v>
      </c>
      <c r="G3675">
        <v>6.7805999999999997</v>
      </c>
      <c r="H3675">
        <v>-76.130799999999994</v>
      </c>
      <c r="I3675" t="s">
        <v>3919</v>
      </c>
      <c r="J3675">
        <v>11</v>
      </c>
      <c r="M3675">
        <v>132</v>
      </c>
      <c r="N3675">
        <v>34</v>
      </c>
      <c r="O3675">
        <v>24</v>
      </c>
      <c r="P3675">
        <v>24</v>
      </c>
      <c r="Q3675">
        <v>22</v>
      </c>
      <c r="R3675">
        <v>29</v>
      </c>
    </row>
    <row r="3676" spans="1:18" x14ac:dyDescent="0.25">
      <c r="A3676" t="s">
        <v>3936</v>
      </c>
      <c r="B3676" t="s">
        <v>55</v>
      </c>
      <c r="C3676" t="s">
        <v>3917</v>
      </c>
      <c r="D3676" t="s">
        <v>3918</v>
      </c>
      <c r="E3676" t="s">
        <v>78</v>
      </c>
      <c r="F3676" t="s">
        <v>252</v>
      </c>
      <c r="G3676">
        <v>6.7805999999999997</v>
      </c>
      <c r="H3676">
        <v>-76.130799999999994</v>
      </c>
      <c r="I3676" t="s">
        <v>3919</v>
      </c>
      <c r="J3676">
        <v>11</v>
      </c>
      <c r="M3676">
        <v>132</v>
      </c>
      <c r="N3676">
        <v>29</v>
      </c>
      <c r="O3676">
        <v>20</v>
      </c>
      <c r="P3676">
        <v>38</v>
      </c>
      <c r="Q3676">
        <v>19</v>
      </c>
      <c r="R3676">
        <v>24</v>
      </c>
    </row>
    <row r="3677" spans="1:18" x14ac:dyDescent="0.25">
      <c r="A3677" t="s">
        <v>3937</v>
      </c>
      <c r="B3677" t="s">
        <v>55</v>
      </c>
      <c r="C3677" t="s">
        <v>3917</v>
      </c>
      <c r="D3677" t="s">
        <v>3918</v>
      </c>
      <c r="E3677" t="s">
        <v>78</v>
      </c>
      <c r="F3677" t="s">
        <v>252</v>
      </c>
      <c r="G3677">
        <v>6.7805999999999997</v>
      </c>
      <c r="H3677">
        <v>-76.130799999999994</v>
      </c>
      <c r="I3677" t="s">
        <v>3919</v>
      </c>
      <c r="J3677">
        <v>11</v>
      </c>
      <c r="M3677">
        <v>129</v>
      </c>
      <c r="N3677">
        <v>39</v>
      </c>
      <c r="O3677">
        <v>20</v>
      </c>
      <c r="P3677">
        <v>24</v>
      </c>
      <c r="Q3677">
        <v>19</v>
      </c>
      <c r="R3677">
        <v>29</v>
      </c>
    </row>
    <row r="3678" spans="1:18" x14ac:dyDescent="0.25">
      <c r="A3678" t="s">
        <v>3938</v>
      </c>
      <c r="B3678" t="s">
        <v>55</v>
      </c>
      <c r="C3678" t="s">
        <v>3917</v>
      </c>
      <c r="D3678" t="s">
        <v>3918</v>
      </c>
      <c r="E3678" t="s">
        <v>78</v>
      </c>
      <c r="F3678" t="s">
        <v>252</v>
      </c>
      <c r="G3678">
        <v>6.7805999999999997</v>
      </c>
      <c r="H3678">
        <v>-76.130799999999994</v>
      </c>
      <c r="I3678" t="s">
        <v>3919</v>
      </c>
      <c r="J3678">
        <v>11</v>
      </c>
      <c r="M3678">
        <v>117</v>
      </c>
      <c r="N3678">
        <v>29</v>
      </c>
      <c r="O3678">
        <v>22</v>
      </c>
      <c r="P3678">
        <v>18</v>
      </c>
      <c r="Q3678">
        <v>22</v>
      </c>
      <c r="R3678">
        <v>29</v>
      </c>
    </row>
    <row r="3679" spans="1:18" x14ac:dyDescent="0.25">
      <c r="A3679" t="s">
        <v>3939</v>
      </c>
      <c r="B3679" t="s">
        <v>55</v>
      </c>
      <c r="C3679" t="s">
        <v>3940</v>
      </c>
      <c r="D3679" t="s">
        <v>3941</v>
      </c>
      <c r="E3679" t="s">
        <v>78</v>
      </c>
      <c r="F3679" t="s">
        <v>252</v>
      </c>
      <c r="G3679">
        <v>6.7119</v>
      </c>
      <c r="H3679">
        <v>-75.908600000000007</v>
      </c>
      <c r="I3679" t="s">
        <v>3942</v>
      </c>
      <c r="J3679">
        <v>11</v>
      </c>
      <c r="M3679">
        <v>269</v>
      </c>
      <c r="N3679">
        <v>76</v>
      </c>
      <c r="O3679">
        <v>32</v>
      </c>
      <c r="P3679">
        <v>64</v>
      </c>
      <c r="Q3679">
        <v>43</v>
      </c>
      <c r="R3679">
        <v>56</v>
      </c>
    </row>
    <row r="3680" spans="1:18" x14ac:dyDescent="0.25">
      <c r="A3680" t="s">
        <v>3943</v>
      </c>
      <c r="B3680" t="s">
        <v>55</v>
      </c>
      <c r="C3680" t="s">
        <v>3940</v>
      </c>
      <c r="D3680" t="s">
        <v>3941</v>
      </c>
      <c r="E3680" t="s">
        <v>78</v>
      </c>
      <c r="F3680" t="s">
        <v>252</v>
      </c>
      <c r="G3680">
        <v>6.7119</v>
      </c>
      <c r="H3680">
        <v>-75.908600000000007</v>
      </c>
      <c r="I3680" t="s">
        <v>3942</v>
      </c>
      <c r="J3680">
        <v>11</v>
      </c>
      <c r="M3680">
        <v>266</v>
      </c>
      <c r="N3680">
        <v>61</v>
      </c>
      <c r="O3680">
        <v>56</v>
      </c>
      <c r="P3680">
        <v>60</v>
      </c>
      <c r="Q3680">
        <v>36</v>
      </c>
      <c r="R3680">
        <v>53</v>
      </c>
    </row>
    <row r="3681" spans="1:18" x14ac:dyDescent="0.25">
      <c r="A3681" t="s">
        <v>3944</v>
      </c>
      <c r="B3681" t="s">
        <v>55</v>
      </c>
      <c r="C3681" t="s">
        <v>3940</v>
      </c>
      <c r="D3681" t="s">
        <v>3941</v>
      </c>
      <c r="E3681" t="s">
        <v>78</v>
      </c>
      <c r="F3681" t="s">
        <v>252</v>
      </c>
      <c r="G3681">
        <v>6.7119</v>
      </c>
      <c r="H3681">
        <v>-75.908600000000007</v>
      </c>
      <c r="I3681" t="s">
        <v>3942</v>
      </c>
      <c r="J3681">
        <v>11</v>
      </c>
      <c r="M3681">
        <v>252</v>
      </c>
      <c r="N3681">
        <v>59</v>
      </c>
      <c r="O3681">
        <v>42</v>
      </c>
      <c r="P3681">
        <v>58</v>
      </c>
      <c r="Q3681">
        <v>40</v>
      </c>
      <c r="R3681">
        <v>60</v>
      </c>
    </row>
    <row r="3682" spans="1:18" x14ac:dyDescent="0.25">
      <c r="A3682" t="s">
        <v>3945</v>
      </c>
      <c r="B3682" t="s">
        <v>55</v>
      </c>
      <c r="C3682" t="s">
        <v>3940</v>
      </c>
      <c r="D3682" t="s">
        <v>3941</v>
      </c>
      <c r="E3682" t="s">
        <v>78</v>
      </c>
      <c r="F3682" t="s">
        <v>252</v>
      </c>
      <c r="G3682">
        <v>6.7119</v>
      </c>
      <c r="H3682">
        <v>-75.908600000000007</v>
      </c>
      <c r="I3682" t="s">
        <v>3942</v>
      </c>
      <c r="J3682">
        <v>11</v>
      </c>
      <c r="M3682">
        <v>237</v>
      </c>
      <c r="N3682">
        <v>54</v>
      </c>
      <c r="O3682">
        <v>38</v>
      </c>
      <c r="P3682">
        <v>64</v>
      </c>
      <c r="Q3682">
        <v>29</v>
      </c>
      <c r="R3682">
        <v>60</v>
      </c>
    </row>
    <row r="3683" spans="1:18" x14ac:dyDescent="0.25">
      <c r="A3683" t="s">
        <v>3946</v>
      </c>
      <c r="B3683" t="s">
        <v>55</v>
      </c>
      <c r="C3683" t="s">
        <v>3940</v>
      </c>
      <c r="D3683" t="s">
        <v>3941</v>
      </c>
      <c r="E3683" t="s">
        <v>78</v>
      </c>
      <c r="F3683" t="s">
        <v>252</v>
      </c>
      <c r="G3683">
        <v>6.7119</v>
      </c>
      <c r="H3683">
        <v>-75.908600000000007</v>
      </c>
      <c r="I3683" t="s">
        <v>3942</v>
      </c>
      <c r="J3683">
        <v>11</v>
      </c>
      <c r="M3683">
        <v>222</v>
      </c>
      <c r="N3683">
        <v>59</v>
      </c>
      <c r="O3683">
        <v>28</v>
      </c>
      <c r="P3683">
        <v>54</v>
      </c>
      <c r="Q3683">
        <v>36</v>
      </c>
      <c r="R3683">
        <v>47</v>
      </c>
    </row>
    <row r="3684" spans="1:18" x14ac:dyDescent="0.25">
      <c r="A3684" t="s">
        <v>3947</v>
      </c>
      <c r="B3684" t="s">
        <v>55</v>
      </c>
      <c r="C3684" t="s">
        <v>3940</v>
      </c>
      <c r="D3684" t="s">
        <v>3941</v>
      </c>
      <c r="E3684" t="s">
        <v>78</v>
      </c>
      <c r="F3684" t="s">
        <v>252</v>
      </c>
      <c r="G3684">
        <v>6.7119</v>
      </c>
      <c r="H3684">
        <v>-75.908600000000007</v>
      </c>
      <c r="I3684" t="s">
        <v>3942</v>
      </c>
      <c r="J3684">
        <v>11</v>
      </c>
      <c r="M3684">
        <v>218</v>
      </c>
      <c r="N3684">
        <v>44</v>
      </c>
      <c r="O3684">
        <v>36</v>
      </c>
      <c r="P3684">
        <v>60</v>
      </c>
      <c r="Q3684">
        <v>29</v>
      </c>
      <c r="R3684">
        <v>60</v>
      </c>
    </row>
    <row r="3685" spans="1:18" x14ac:dyDescent="0.25">
      <c r="A3685" t="s">
        <v>3948</v>
      </c>
      <c r="B3685" t="s">
        <v>55</v>
      </c>
      <c r="C3685" t="s">
        <v>3940</v>
      </c>
      <c r="D3685" t="s">
        <v>3941</v>
      </c>
      <c r="E3685" t="s">
        <v>78</v>
      </c>
      <c r="F3685" t="s">
        <v>252</v>
      </c>
      <c r="G3685">
        <v>6.7119</v>
      </c>
      <c r="H3685">
        <v>-75.908600000000007</v>
      </c>
      <c r="I3685" t="s">
        <v>3942</v>
      </c>
      <c r="J3685">
        <v>11</v>
      </c>
      <c r="M3685">
        <v>209</v>
      </c>
      <c r="N3685">
        <v>61</v>
      </c>
      <c r="O3685">
        <v>24</v>
      </c>
      <c r="P3685">
        <v>58</v>
      </c>
      <c r="Q3685">
        <v>22</v>
      </c>
      <c r="R3685">
        <v>47</v>
      </c>
    </row>
    <row r="3686" spans="1:18" x14ac:dyDescent="0.25">
      <c r="A3686" t="s">
        <v>3949</v>
      </c>
      <c r="B3686" t="s">
        <v>55</v>
      </c>
      <c r="C3686" t="s">
        <v>3940</v>
      </c>
      <c r="D3686" t="s">
        <v>3941</v>
      </c>
      <c r="E3686" t="s">
        <v>78</v>
      </c>
      <c r="F3686" t="s">
        <v>252</v>
      </c>
      <c r="G3686">
        <v>6.7119</v>
      </c>
      <c r="H3686">
        <v>-75.908600000000007</v>
      </c>
      <c r="I3686" t="s">
        <v>3942</v>
      </c>
      <c r="J3686">
        <v>11</v>
      </c>
      <c r="M3686">
        <v>194</v>
      </c>
      <c r="N3686">
        <v>51</v>
      </c>
      <c r="O3686">
        <v>30</v>
      </c>
      <c r="P3686">
        <v>48</v>
      </c>
      <c r="Q3686">
        <v>24</v>
      </c>
      <c r="R3686">
        <v>45</v>
      </c>
    </row>
    <row r="3687" spans="1:18" x14ac:dyDescent="0.25">
      <c r="A3687" t="s">
        <v>3950</v>
      </c>
      <c r="B3687" t="s">
        <v>55</v>
      </c>
      <c r="C3687" t="s">
        <v>3940</v>
      </c>
      <c r="D3687" t="s">
        <v>3941</v>
      </c>
      <c r="E3687" t="s">
        <v>78</v>
      </c>
      <c r="F3687" t="s">
        <v>252</v>
      </c>
      <c r="G3687">
        <v>6.7119</v>
      </c>
      <c r="H3687">
        <v>-75.908600000000007</v>
      </c>
      <c r="I3687" t="s">
        <v>3942</v>
      </c>
      <c r="J3687">
        <v>11</v>
      </c>
      <c r="M3687">
        <v>194</v>
      </c>
      <c r="N3687">
        <v>37</v>
      </c>
      <c r="O3687">
        <v>38</v>
      </c>
      <c r="P3687">
        <v>42</v>
      </c>
      <c r="Q3687">
        <v>36</v>
      </c>
      <c r="R3687">
        <v>45</v>
      </c>
    </row>
    <row r="3688" spans="1:18" x14ac:dyDescent="0.25">
      <c r="A3688" t="s">
        <v>3951</v>
      </c>
      <c r="B3688" t="s">
        <v>55</v>
      </c>
      <c r="C3688" t="s">
        <v>3940</v>
      </c>
      <c r="D3688" t="s">
        <v>3941</v>
      </c>
      <c r="E3688" t="s">
        <v>78</v>
      </c>
      <c r="F3688" t="s">
        <v>252</v>
      </c>
      <c r="G3688">
        <v>6.7119</v>
      </c>
      <c r="H3688">
        <v>-75.908600000000007</v>
      </c>
      <c r="I3688" t="s">
        <v>3942</v>
      </c>
      <c r="J3688">
        <v>11</v>
      </c>
      <c r="M3688">
        <v>193</v>
      </c>
      <c r="N3688">
        <v>39</v>
      </c>
      <c r="O3688">
        <v>30</v>
      </c>
      <c r="P3688">
        <v>50</v>
      </c>
      <c r="Q3688">
        <v>33</v>
      </c>
      <c r="R3688">
        <v>45</v>
      </c>
    </row>
    <row r="3689" spans="1:18" x14ac:dyDescent="0.25">
      <c r="A3689" t="s">
        <v>3952</v>
      </c>
      <c r="B3689" t="s">
        <v>55</v>
      </c>
      <c r="C3689" t="s">
        <v>3940</v>
      </c>
      <c r="D3689" t="s">
        <v>3941</v>
      </c>
      <c r="E3689" t="s">
        <v>78</v>
      </c>
      <c r="F3689" t="s">
        <v>252</v>
      </c>
      <c r="G3689">
        <v>6.7119</v>
      </c>
      <c r="H3689">
        <v>-75.908600000000007</v>
      </c>
      <c r="I3689" t="s">
        <v>3942</v>
      </c>
      <c r="J3689">
        <v>11</v>
      </c>
      <c r="M3689">
        <v>191</v>
      </c>
      <c r="N3689">
        <v>44</v>
      </c>
      <c r="O3689">
        <v>16</v>
      </c>
      <c r="P3689">
        <v>64</v>
      </c>
      <c r="Q3689">
        <v>28</v>
      </c>
      <c r="R3689">
        <v>42</v>
      </c>
    </row>
    <row r="3690" spans="1:18" x14ac:dyDescent="0.25">
      <c r="A3690" t="s">
        <v>3953</v>
      </c>
      <c r="B3690" t="s">
        <v>55</v>
      </c>
      <c r="C3690" t="s">
        <v>3940</v>
      </c>
      <c r="D3690" t="s">
        <v>3941</v>
      </c>
      <c r="E3690" t="s">
        <v>78</v>
      </c>
      <c r="F3690" t="s">
        <v>252</v>
      </c>
      <c r="G3690">
        <v>6.7119</v>
      </c>
      <c r="H3690">
        <v>-75.908600000000007</v>
      </c>
      <c r="I3690" t="s">
        <v>3942</v>
      </c>
      <c r="J3690">
        <v>11</v>
      </c>
      <c r="M3690">
        <v>187</v>
      </c>
      <c r="N3690">
        <v>41</v>
      </c>
      <c r="O3690">
        <v>28</v>
      </c>
      <c r="P3690">
        <v>46</v>
      </c>
      <c r="Q3690">
        <v>31</v>
      </c>
      <c r="R3690">
        <v>47</v>
      </c>
    </row>
    <row r="3691" spans="1:18" x14ac:dyDescent="0.25">
      <c r="A3691" t="s">
        <v>3954</v>
      </c>
      <c r="B3691" t="s">
        <v>55</v>
      </c>
      <c r="C3691" t="s">
        <v>3940</v>
      </c>
      <c r="D3691" t="s">
        <v>3941</v>
      </c>
      <c r="E3691" t="s">
        <v>78</v>
      </c>
      <c r="F3691" t="s">
        <v>252</v>
      </c>
      <c r="G3691">
        <v>6.7119</v>
      </c>
      <c r="H3691">
        <v>-75.908600000000007</v>
      </c>
      <c r="I3691" t="s">
        <v>3942</v>
      </c>
      <c r="J3691">
        <v>11</v>
      </c>
      <c r="M3691">
        <v>186</v>
      </c>
      <c r="N3691">
        <v>41</v>
      </c>
      <c r="O3691">
        <v>28</v>
      </c>
      <c r="P3691">
        <v>44</v>
      </c>
      <c r="Q3691">
        <v>36</v>
      </c>
      <c r="R3691">
        <v>35</v>
      </c>
    </row>
    <row r="3692" spans="1:18" x14ac:dyDescent="0.25">
      <c r="A3692" t="s">
        <v>3955</v>
      </c>
      <c r="B3692" t="s">
        <v>55</v>
      </c>
      <c r="C3692" t="s">
        <v>3940</v>
      </c>
      <c r="D3692" t="s">
        <v>3941</v>
      </c>
      <c r="E3692" t="s">
        <v>78</v>
      </c>
      <c r="F3692" t="s">
        <v>252</v>
      </c>
      <c r="G3692">
        <v>6.7119</v>
      </c>
      <c r="H3692">
        <v>-75.908600000000007</v>
      </c>
      <c r="I3692" t="s">
        <v>3942</v>
      </c>
      <c r="J3692">
        <v>11</v>
      </c>
      <c r="M3692">
        <v>185</v>
      </c>
      <c r="N3692">
        <v>34</v>
      </c>
      <c r="O3692">
        <v>40</v>
      </c>
      <c r="P3692">
        <v>44</v>
      </c>
      <c r="Q3692">
        <v>26</v>
      </c>
      <c r="R3692">
        <v>49</v>
      </c>
    </row>
    <row r="3693" spans="1:18" x14ac:dyDescent="0.25">
      <c r="A3693" t="s">
        <v>3956</v>
      </c>
      <c r="B3693" t="s">
        <v>55</v>
      </c>
      <c r="C3693" t="s">
        <v>3940</v>
      </c>
      <c r="D3693" t="s">
        <v>3941</v>
      </c>
      <c r="E3693" t="s">
        <v>78</v>
      </c>
      <c r="F3693" t="s">
        <v>252</v>
      </c>
      <c r="G3693">
        <v>6.7119</v>
      </c>
      <c r="H3693">
        <v>-75.908600000000007</v>
      </c>
      <c r="I3693" t="s">
        <v>3942</v>
      </c>
      <c r="J3693">
        <v>11</v>
      </c>
      <c r="M3693">
        <v>177</v>
      </c>
      <c r="N3693">
        <v>37</v>
      </c>
      <c r="O3693">
        <v>28</v>
      </c>
      <c r="P3693">
        <v>54</v>
      </c>
      <c r="Q3693">
        <v>22</v>
      </c>
      <c r="R3693">
        <v>38</v>
      </c>
    </row>
    <row r="3694" spans="1:18" x14ac:dyDescent="0.25">
      <c r="A3694" t="s">
        <v>3957</v>
      </c>
      <c r="B3694" t="s">
        <v>55</v>
      </c>
      <c r="C3694" t="s">
        <v>3940</v>
      </c>
      <c r="D3694" t="s">
        <v>3941</v>
      </c>
      <c r="E3694" t="s">
        <v>78</v>
      </c>
      <c r="F3694" t="s">
        <v>252</v>
      </c>
      <c r="G3694">
        <v>6.7119</v>
      </c>
      <c r="H3694">
        <v>-75.908600000000007</v>
      </c>
      <c r="I3694" t="s">
        <v>3942</v>
      </c>
      <c r="J3694">
        <v>11</v>
      </c>
      <c r="M3694">
        <v>170</v>
      </c>
      <c r="N3694">
        <v>34</v>
      </c>
      <c r="O3694">
        <v>24</v>
      </c>
      <c r="P3694">
        <v>48</v>
      </c>
      <c r="Q3694">
        <v>29</v>
      </c>
      <c r="R3694">
        <v>36</v>
      </c>
    </row>
    <row r="3695" spans="1:18" x14ac:dyDescent="0.25">
      <c r="A3695" t="s">
        <v>3958</v>
      </c>
      <c r="B3695" t="s">
        <v>55</v>
      </c>
      <c r="C3695" t="s">
        <v>3940</v>
      </c>
      <c r="D3695" t="s">
        <v>3941</v>
      </c>
      <c r="E3695" t="s">
        <v>78</v>
      </c>
      <c r="F3695" t="s">
        <v>252</v>
      </c>
      <c r="G3695">
        <v>6.7119</v>
      </c>
      <c r="H3695">
        <v>-75.908600000000007</v>
      </c>
      <c r="I3695" t="s">
        <v>3942</v>
      </c>
      <c r="J3695">
        <v>11</v>
      </c>
      <c r="M3695">
        <v>168</v>
      </c>
      <c r="N3695">
        <v>37</v>
      </c>
      <c r="O3695">
        <v>32</v>
      </c>
      <c r="P3695">
        <v>42</v>
      </c>
      <c r="Q3695">
        <v>22</v>
      </c>
      <c r="R3695">
        <v>38</v>
      </c>
    </row>
    <row r="3696" spans="1:18" x14ac:dyDescent="0.25">
      <c r="A3696" t="s">
        <v>3959</v>
      </c>
      <c r="B3696" t="s">
        <v>55</v>
      </c>
      <c r="C3696" t="s">
        <v>3940</v>
      </c>
      <c r="D3696" t="s">
        <v>3941</v>
      </c>
      <c r="E3696" t="s">
        <v>78</v>
      </c>
      <c r="F3696" t="s">
        <v>252</v>
      </c>
      <c r="G3696">
        <v>6.7119</v>
      </c>
      <c r="H3696">
        <v>-75.908600000000007</v>
      </c>
      <c r="I3696" t="s">
        <v>3942</v>
      </c>
      <c r="J3696">
        <v>11</v>
      </c>
      <c r="M3696">
        <v>152</v>
      </c>
      <c r="N3696">
        <v>41</v>
      </c>
      <c r="O3696">
        <v>22</v>
      </c>
      <c r="P3696">
        <v>30</v>
      </c>
      <c r="Q3696">
        <v>26</v>
      </c>
      <c r="R3696">
        <v>38</v>
      </c>
    </row>
    <row r="3697" spans="1:18" x14ac:dyDescent="0.25">
      <c r="A3697" t="s">
        <v>3960</v>
      </c>
      <c r="B3697" t="s">
        <v>55</v>
      </c>
      <c r="C3697" t="s">
        <v>3940</v>
      </c>
      <c r="D3697" t="s">
        <v>3941</v>
      </c>
      <c r="E3697" t="s">
        <v>78</v>
      </c>
      <c r="F3697" t="s">
        <v>252</v>
      </c>
      <c r="G3697">
        <v>6.7119</v>
      </c>
      <c r="H3697">
        <v>-75.908600000000007</v>
      </c>
      <c r="I3697" t="s">
        <v>3942</v>
      </c>
      <c r="J3697">
        <v>11</v>
      </c>
      <c r="M3697">
        <v>149</v>
      </c>
      <c r="N3697">
        <v>29</v>
      </c>
      <c r="O3697">
        <v>16</v>
      </c>
      <c r="P3697">
        <v>46</v>
      </c>
      <c r="Q3697">
        <v>22</v>
      </c>
      <c r="R3697">
        <v>45</v>
      </c>
    </row>
    <row r="3698" spans="1:18" x14ac:dyDescent="0.25">
      <c r="A3698" t="s">
        <v>3961</v>
      </c>
      <c r="B3698" t="s">
        <v>55</v>
      </c>
      <c r="C3698" t="s">
        <v>3940</v>
      </c>
      <c r="D3698" t="s">
        <v>3941</v>
      </c>
      <c r="E3698" t="s">
        <v>78</v>
      </c>
      <c r="F3698" t="s">
        <v>252</v>
      </c>
      <c r="G3698">
        <v>6.7119</v>
      </c>
      <c r="H3698">
        <v>-75.908600000000007</v>
      </c>
      <c r="I3698" t="s">
        <v>3942</v>
      </c>
      <c r="J3698">
        <v>11</v>
      </c>
      <c r="M3698">
        <v>144</v>
      </c>
      <c r="N3698">
        <v>39</v>
      </c>
      <c r="O3698">
        <v>28</v>
      </c>
      <c r="P3698">
        <v>28</v>
      </c>
      <c r="Q3698">
        <v>17</v>
      </c>
      <c r="R3698">
        <v>38</v>
      </c>
    </row>
    <row r="3699" spans="1:18" x14ac:dyDescent="0.25">
      <c r="A3699" t="s">
        <v>3962</v>
      </c>
      <c r="B3699" t="s">
        <v>55</v>
      </c>
      <c r="C3699" t="s">
        <v>3940</v>
      </c>
      <c r="D3699" t="s">
        <v>3941</v>
      </c>
      <c r="E3699" t="s">
        <v>78</v>
      </c>
      <c r="F3699" t="s">
        <v>252</v>
      </c>
      <c r="G3699">
        <v>6.7119</v>
      </c>
      <c r="H3699">
        <v>-75.908600000000007</v>
      </c>
      <c r="I3699" t="s">
        <v>3942</v>
      </c>
      <c r="J3699">
        <v>11</v>
      </c>
      <c r="M3699">
        <v>134</v>
      </c>
      <c r="N3699">
        <v>34</v>
      </c>
      <c r="O3699">
        <v>28</v>
      </c>
      <c r="P3699">
        <v>26</v>
      </c>
      <c r="Q3699">
        <v>16</v>
      </c>
      <c r="R3699">
        <v>38</v>
      </c>
    </row>
    <row r="3700" spans="1:18" x14ac:dyDescent="0.25">
      <c r="A3700" t="s">
        <v>3963</v>
      </c>
      <c r="B3700" t="s">
        <v>55</v>
      </c>
      <c r="C3700" t="s">
        <v>3964</v>
      </c>
      <c r="D3700" t="s">
        <v>3655</v>
      </c>
      <c r="E3700" t="s">
        <v>78</v>
      </c>
      <c r="F3700" t="s">
        <v>252</v>
      </c>
      <c r="G3700">
        <v>7.9869000000000003</v>
      </c>
      <c r="H3700">
        <v>-75.197199999999995</v>
      </c>
      <c r="I3700" t="s">
        <v>3965</v>
      </c>
      <c r="J3700">
        <v>11</v>
      </c>
      <c r="M3700">
        <v>250</v>
      </c>
      <c r="N3700">
        <v>56</v>
      </c>
      <c r="O3700">
        <v>40</v>
      </c>
      <c r="P3700">
        <v>64</v>
      </c>
      <c r="Q3700">
        <v>41</v>
      </c>
      <c r="R3700">
        <v>45</v>
      </c>
    </row>
    <row r="3701" spans="1:18" x14ac:dyDescent="0.25">
      <c r="A3701" t="s">
        <v>3966</v>
      </c>
      <c r="B3701" t="s">
        <v>55</v>
      </c>
      <c r="C3701" t="s">
        <v>3964</v>
      </c>
      <c r="D3701" t="s">
        <v>3655</v>
      </c>
      <c r="E3701" t="s">
        <v>78</v>
      </c>
      <c r="F3701" t="s">
        <v>252</v>
      </c>
      <c r="G3701">
        <v>7.9869000000000003</v>
      </c>
      <c r="H3701">
        <v>-75.197199999999995</v>
      </c>
      <c r="I3701" t="s">
        <v>3965</v>
      </c>
      <c r="J3701">
        <v>11</v>
      </c>
      <c r="M3701">
        <v>230</v>
      </c>
      <c r="N3701">
        <v>56</v>
      </c>
      <c r="O3701">
        <v>26</v>
      </c>
      <c r="P3701">
        <v>58</v>
      </c>
      <c r="Q3701">
        <v>48</v>
      </c>
      <c r="R3701">
        <v>33</v>
      </c>
    </row>
    <row r="3702" spans="1:18" x14ac:dyDescent="0.25">
      <c r="A3702" t="s">
        <v>3967</v>
      </c>
      <c r="B3702" t="s">
        <v>55</v>
      </c>
      <c r="C3702" t="s">
        <v>3964</v>
      </c>
      <c r="D3702" t="s">
        <v>3655</v>
      </c>
      <c r="E3702" t="s">
        <v>78</v>
      </c>
      <c r="F3702" t="s">
        <v>252</v>
      </c>
      <c r="G3702">
        <v>7.9869000000000003</v>
      </c>
      <c r="H3702">
        <v>-75.197199999999995</v>
      </c>
      <c r="I3702" t="s">
        <v>3965</v>
      </c>
      <c r="J3702">
        <v>11</v>
      </c>
      <c r="M3702">
        <v>201</v>
      </c>
      <c r="N3702">
        <v>54</v>
      </c>
      <c r="O3702">
        <v>36</v>
      </c>
      <c r="P3702">
        <v>52</v>
      </c>
      <c r="Q3702">
        <v>19</v>
      </c>
      <c r="R3702">
        <v>42</v>
      </c>
    </row>
    <row r="3703" spans="1:18" x14ac:dyDescent="0.25">
      <c r="A3703" t="s">
        <v>3968</v>
      </c>
      <c r="B3703" t="s">
        <v>55</v>
      </c>
      <c r="C3703" t="s">
        <v>3964</v>
      </c>
      <c r="D3703" t="s">
        <v>3655</v>
      </c>
      <c r="E3703" t="s">
        <v>78</v>
      </c>
      <c r="F3703" t="s">
        <v>252</v>
      </c>
      <c r="G3703">
        <v>7.9869000000000003</v>
      </c>
      <c r="H3703">
        <v>-75.197199999999995</v>
      </c>
      <c r="I3703" t="s">
        <v>3965</v>
      </c>
      <c r="J3703">
        <v>11</v>
      </c>
      <c r="M3703">
        <v>192</v>
      </c>
      <c r="N3703">
        <v>59</v>
      </c>
      <c r="O3703">
        <v>28</v>
      </c>
      <c r="P3703">
        <v>42</v>
      </c>
      <c r="Q3703">
        <v>26</v>
      </c>
      <c r="R3703">
        <v>36</v>
      </c>
    </row>
    <row r="3704" spans="1:18" x14ac:dyDescent="0.25">
      <c r="A3704" t="s">
        <v>3969</v>
      </c>
      <c r="B3704" t="s">
        <v>55</v>
      </c>
      <c r="C3704" t="s">
        <v>3964</v>
      </c>
      <c r="D3704" t="s">
        <v>3655</v>
      </c>
      <c r="E3704" t="s">
        <v>78</v>
      </c>
      <c r="F3704" t="s">
        <v>252</v>
      </c>
      <c r="G3704">
        <v>7.9869000000000003</v>
      </c>
      <c r="H3704">
        <v>-75.197199999999995</v>
      </c>
      <c r="I3704" t="s">
        <v>3965</v>
      </c>
      <c r="J3704">
        <v>11</v>
      </c>
      <c r="M3704">
        <v>190</v>
      </c>
      <c r="N3704">
        <v>49</v>
      </c>
      <c r="O3704">
        <v>32</v>
      </c>
      <c r="P3704">
        <v>44</v>
      </c>
      <c r="Q3704">
        <v>28</v>
      </c>
      <c r="R3704">
        <v>38</v>
      </c>
    </row>
    <row r="3705" spans="1:18" x14ac:dyDescent="0.25">
      <c r="A3705" t="s">
        <v>3970</v>
      </c>
      <c r="B3705" t="s">
        <v>55</v>
      </c>
      <c r="C3705" t="s">
        <v>3964</v>
      </c>
      <c r="D3705" t="s">
        <v>3655</v>
      </c>
      <c r="E3705" t="s">
        <v>78</v>
      </c>
      <c r="F3705" t="s">
        <v>252</v>
      </c>
      <c r="G3705">
        <v>7.9869000000000003</v>
      </c>
      <c r="H3705">
        <v>-75.197199999999995</v>
      </c>
      <c r="I3705" t="s">
        <v>3965</v>
      </c>
      <c r="J3705">
        <v>11</v>
      </c>
      <c r="M3705">
        <v>189</v>
      </c>
      <c r="N3705">
        <v>51</v>
      </c>
      <c r="O3705">
        <v>30</v>
      </c>
      <c r="P3705">
        <v>44</v>
      </c>
      <c r="Q3705">
        <v>29</v>
      </c>
      <c r="R3705">
        <v>29</v>
      </c>
    </row>
    <row r="3706" spans="1:18" x14ac:dyDescent="0.25">
      <c r="A3706" t="s">
        <v>3971</v>
      </c>
      <c r="B3706" t="s">
        <v>55</v>
      </c>
      <c r="C3706" t="s">
        <v>3964</v>
      </c>
      <c r="D3706" t="s">
        <v>3655</v>
      </c>
      <c r="E3706" t="s">
        <v>78</v>
      </c>
      <c r="F3706" t="s">
        <v>252</v>
      </c>
      <c r="G3706">
        <v>7.9869000000000003</v>
      </c>
      <c r="H3706">
        <v>-75.197199999999995</v>
      </c>
      <c r="I3706" t="s">
        <v>3965</v>
      </c>
      <c r="J3706">
        <v>11</v>
      </c>
      <c r="M3706">
        <v>189</v>
      </c>
      <c r="N3706">
        <v>54</v>
      </c>
      <c r="O3706">
        <v>24</v>
      </c>
      <c r="P3706">
        <v>40</v>
      </c>
      <c r="Q3706">
        <v>33</v>
      </c>
      <c r="R3706">
        <v>40</v>
      </c>
    </row>
    <row r="3707" spans="1:18" x14ac:dyDescent="0.25">
      <c r="A3707" t="s">
        <v>3972</v>
      </c>
      <c r="B3707" t="s">
        <v>55</v>
      </c>
      <c r="C3707" t="s">
        <v>3964</v>
      </c>
      <c r="D3707" t="s">
        <v>3655</v>
      </c>
      <c r="E3707" t="s">
        <v>78</v>
      </c>
      <c r="F3707" t="s">
        <v>252</v>
      </c>
      <c r="G3707">
        <v>7.9869000000000003</v>
      </c>
      <c r="H3707">
        <v>-75.197199999999995</v>
      </c>
      <c r="I3707" t="s">
        <v>3965</v>
      </c>
      <c r="J3707">
        <v>11</v>
      </c>
      <c r="M3707">
        <v>189</v>
      </c>
      <c r="N3707">
        <v>44</v>
      </c>
      <c r="O3707">
        <v>36</v>
      </c>
      <c r="P3707">
        <v>52</v>
      </c>
      <c r="Q3707">
        <v>21</v>
      </c>
      <c r="R3707">
        <v>33</v>
      </c>
    </row>
    <row r="3708" spans="1:18" x14ac:dyDescent="0.25">
      <c r="A3708" t="s">
        <v>3973</v>
      </c>
      <c r="B3708" t="s">
        <v>55</v>
      </c>
      <c r="C3708" t="s">
        <v>3964</v>
      </c>
      <c r="D3708" t="s">
        <v>3655</v>
      </c>
      <c r="E3708" t="s">
        <v>78</v>
      </c>
      <c r="F3708" t="s">
        <v>252</v>
      </c>
      <c r="G3708">
        <v>7.9869000000000003</v>
      </c>
      <c r="H3708">
        <v>-75.197199999999995</v>
      </c>
      <c r="I3708" t="s">
        <v>3965</v>
      </c>
      <c r="J3708">
        <v>11</v>
      </c>
      <c r="M3708">
        <v>184</v>
      </c>
      <c r="N3708">
        <v>41</v>
      </c>
      <c r="O3708">
        <v>22</v>
      </c>
      <c r="P3708">
        <v>46</v>
      </c>
      <c r="Q3708">
        <v>43</v>
      </c>
      <c r="R3708">
        <v>22</v>
      </c>
    </row>
    <row r="3709" spans="1:18" x14ac:dyDescent="0.25">
      <c r="A3709" t="s">
        <v>3974</v>
      </c>
      <c r="B3709" t="s">
        <v>55</v>
      </c>
      <c r="C3709" t="s">
        <v>3964</v>
      </c>
      <c r="D3709" t="s">
        <v>3655</v>
      </c>
      <c r="E3709" t="s">
        <v>78</v>
      </c>
      <c r="F3709" t="s">
        <v>252</v>
      </c>
      <c r="G3709">
        <v>7.9869000000000003</v>
      </c>
      <c r="H3709">
        <v>-75.197199999999995</v>
      </c>
      <c r="I3709" t="s">
        <v>3965</v>
      </c>
      <c r="J3709">
        <v>11</v>
      </c>
      <c r="M3709">
        <v>182</v>
      </c>
      <c r="N3709">
        <v>29</v>
      </c>
      <c r="O3709">
        <v>28</v>
      </c>
      <c r="P3709">
        <v>50</v>
      </c>
      <c r="Q3709">
        <v>36</v>
      </c>
      <c r="R3709">
        <v>42</v>
      </c>
    </row>
    <row r="3710" spans="1:18" x14ac:dyDescent="0.25">
      <c r="A3710" t="s">
        <v>3975</v>
      </c>
      <c r="B3710" t="s">
        <v>55</v>
      </c>
      <c r="C3710" t="s">
        <v>3964</v>
      </c>
      <c r="D3710" t="s">
        <v>3655</v>
      </c>
      <c r="E3710" t="s">
        <v>78</v>
      </c>
      <c r="F3710" t="s">
        <v>252</v>
      </c>
      <c r="G3710">
        <v>7.9869000000000003</v>
      </c>
      <c r="H3710">
        <v>-75.197199999999995</v>
      </c>
      <c r="I3710" t="s">
        <v>3965</v>
      </c>
      <c r="J3710">
        <v>11</v>
      </c>
      <c r="M3710">
        <v>180</v>
      </c>
      <c r="N3710">
        <v>41</v>
      </c>
      <c r="O3710">
        <v>38</v>
      </c>
      <c r="P3710">
        <v>38</v>
      </c>
      <c r="Q3710">
        <v>29</v>
      </c>
      <c r="R3710">
        <v>27</v>
      </c>
    </row>
    <row r="3711" spans="1:18" x14ac:dyDescent="0.25">
      <c r="A3711" t="s">
        <v>3976</v>
      </c>
      <c r="B3711" t="s">
        <v>55</v>
      </c>
      <c r="C3711" t="s">
        <v>3964</v>
      </c>
      <c r="D3711" t="s">
        <v>3655</v>
      </c>
      <c r="E3711" t="s">
        <v>78</v>
      </c>
      <c r="F3711" t="s">
        <v>252</v>
      </c>
      <c r="G3711">
        <v>7.9869000000000003</v>
      </c>
      <c r="H3711">
        <v>-75.197199999999995</v>
      </c>
      <c r="I3711" t="s">
        <v>3965</v>
      </c>
      <c r="J3711">
        <v>11</v>
      </c>
      <c r="M3711">
        <v>167</v>
      </c>
      <c r="N3711">
        <v>37</v>
      </c>
      <c r="O3711">
        <v>30</v>
      </c>
      <c r="P3711">
        <v>46</v>
      </c>
      <c r="Q3711">
        <v>26</v>
      </c>
      <c r="R3711">
        <v>20</v>
      </c>
    </row>
    <row r="3712" spans="1:18" x14ac:dyDescent="0.25">
      <c r="A3712" t="s">
        <v>3977</v>
      </c>
      <c r="B3712" t="s">
        <v>55</v>
      </c>
      <c r="C3712" t="s">
        <v>3964</v>
      </c>
      <c r="D3712" t="s">
        <v>3655</v>
      </c>
      <c r="E3712" t="s">
        <v>78</v>
      </c>
      <c r="F3712" t="s">
        <v>252</v>
      </c>
      <c r="G3712">
        <v>7.9869000000000003</v>
      </c>
      <c r="H3712">
        <v>-75.197199999999995</v>
      </c>
      <c r="I3712" t="s">
        <v>3965</v>
      </c>
      <c r="J3712">
        <v>11</v>
      </c>
      <c r="M3712">
        <v>166</v>
      </c>
      <c r="N3712">
        <v>32</v>
      </c>
      <c r="O3712">
        <v>26</v>
      </c>
      <c r="P3712">
        <v>44</v>
      </c>
      <c r="Q3712">
        <v>33</v>
      </c>
      <c r="R3712">
        <v>27</v>
      </c>
    </row>
    <row r="3713" spans="1:18" x14ac:dyDescent="0.25">
      <c r="A3713" t="s">
        <v>3978</v>
      </c>
      <c r="B3713" t="s">
        <v>55</v>
      </c>
      <c r="C3713" t="s">
        <v>3964</v>
      </c>
      <c r="D3713" t="s">
        <v>3655</v>
      </c>
      <c r="E3713" t="s">
        <v>78</v>
      </c>
      <c r="F3713" t="s">
        <v>252</v>
      </c>
      <c r="G3713">
        <v>7.9869000000000003</v>
      </c>
      <c r="H3713">
        <v>-75.197199999999995</v>
      </c>
      <c r="I3713" t="s">
        <v>3965</v>
      </c>
      <c r="J3713">
        <v>11</v>
      </c>
      <c r="M3713">
        <v>165</v>
      </c>
      <c r="N3713">
        <v>39</v>
      </c>
      <c r="O3713">
        <v>16</v>
      </c>
      <c r="P3713">
        <v>46</v>
      </c>
      <c r="Q3713">
        <v>34</v>
      </c>
      <c r="R3713">
        <v>24</v>
      </c>
    </row>
    <row r="3714" spans="1:18" x14ac:dyDescent="0.25">
      <c r="A3714" t="s">
        <v>3979</v>
      </c>
      <c r="B3714" t="s">
        <v>55</v>
      </c>
      <c r="C3714" t="s">
        <v>3964</v>
      </c>
      <c r="D3714" t="s">
        <v>3655</v>
      </c>
      <c r="E3714" t="s">
        <v>78</v>
      </c>
      <c r="F3714" t="s">
        <v>252</v>
      </c>
      <c r="G3714">
        <v>7.9869000000000003</v>
      </c>
      <c r="H3714">
        <v>-75.197199999999995</v>
      </c>
      <c r="I3714" t="s">
        <v>3965</v>
      </c>
      <c r="J3714">
        <v>11</v>
      </c>
      <c r="M3714">
        <v>165</v>
      </c>
      <c r="N3714">
        <v>32</v>
      </c>
      <c r="O3714">
        <v>34</v>
      </c>
      <c r="P3714">
        <v>38</v>
      </c>
      <c r="Q3714">
        <v>31</v>
      </c>
      <c r="R3714">
        <v>25</v>
      </c>
    </row>
    <row r="3715" spans="1:18" x14ac:dyDescent="0.25">
      <c r="A3715" t="s">
        <v>3980</v>
      </c>
      <c r="B3715" t="s">
        <v>55</v>
      </c>
      <c r="C3715" t="s">
        <v>3964</v>
      </c>
      <c r="D3715" t="s">
        <v>3655</v>
      </c>
      <c r="E3715" t="s">
        <v>78</v>
      </c>
      <c r="F3715" t="s">
        <v>252</v>
      </c>
      <c r="G3715">
        <v>7.9869000000000003</v>
      </c>
      <c r="H3715">
        <v>-75.197199999999995</v>
      </c>
      <c r="I3715" t="s">
        <v>3965</v>
      </c>
      <c r="J3715">
        <v>11</v>
      </c>
      <c r="M3715">
        <v>163</v>
      </c>
      <c r="N3715">
        <v>37</v>
      </c>
      <c r="O3715">
        <v>28</v>
      </c>
      <c r="P3715">
        <v>36</v>
      </c>
      <c r="Q3715">
        <v>29</v>
      </c>
      <c r="R3715">
        <v>35</v>
      </c>
    </row>
    <row r="3716" spans="1:18" x14ac:dyDescent="0.25">
      <c r="A3716" t="s">
        <v>3981</v>
      </c>
      <c r="B3716" t="s">
        <v>55</v>
      </c>
      <c r="C3716" t="s">
        <v>3964</v>
      </c>
      <c r="D3716" t="s">
        <v>3655</v>
      </c>
      <c r="E3716" t="s">
        <v>78</v>
      </c>
      <c r="F3716" t="s">
        <v>252</v>
      </c>
      <c r="G3716">
        <v>7.9869000000000003</v>
      </c>
      <c r="H3716">
        <v>-75.197199999999995</v>
      </c>
      <c r="I3716" t="s">
        <v>3965</v>
      </c>
      <c r="J3716">
        <v>11</v>
      </c>
      <c r="M3716">
        <v>158</v>
      </c>
      <c r="N3716">
        <v>39</v>
      </c>
      <c r="O3716">
        <v>34</v>
      </c>
      <c r="P3716">
        <v>30</v>
      </c>
      <c r="Q3716">
        <v>28</v>
      </c>
      <c r="R3716">
        <v>20</v>
      </c>
    </row>
    <row r="3717" spans="1:18" x14ac:dyDescent="0.25">
      <c r="A3717" t="s">
        <v>3982</v>
      </c>
      <c r="B3717" t="s">
        <v>55</v>
      </c>
      <c r="C3717" t="s">
        <v>3964</v>
      </c>
      <c r="D3717" t="s">
        <v>3655</v>
      </c>
      <c r="E3717" t="s">
        <v>78</v>
      </c>
      <c r="F3717" t="s">
        <v>252</v>
      </c>
      <c r="G3717">
        <v>7.9869000000000003</v>
      </c>
      <c r="H3717">
        <v>-75.197199999999995</v>
      </c>
      <c r="I3717" t="s">
        <v>3965</v>
      </c>
      <c r="J3717">
        <v>11</v>
      </c>
      <c r="M3717">
        <v>157</v>
      </c>
      <c r="N3717">
        <v>29</v>
      </c>
      <c r="O3717">
        <v>24</v>
      </c>
      <c r="P3717">
        <v>36</v>
      </c>
      <c r="Q3717">
        <v>40</v>
      </c>
      <c r="R3717">
        <v>22</v>
      </c>
    </row>
    <row r="3718" spans="1:18" x14ac:dyDescent="0.25">
      <c r="A3718" t="s">
        <v>3983</v>
      </c>
      <c r="B3718" t="s">
        <v>55</v>
      </c>
      <c r="C3718" t="s">
        <v>3964</v>
      </c>
      <c r="D3718" t="s">
        <v>3655</v>
      </c>
      <c r="E3718" t="s">
        <v>78</v>
      </c>
      <c r="F3718" t="s">
        <v>252</v>
      </c>
      <c r="G3718">
        <v>7.9869000000000003</v>
      </c>
      <c r="H3718">
        <v>-75.197199999999995</v>
      </c>
      <c r="I3718" t="s">
        <v>3965</v>
      </c>
      <c r="J3718">
        <v>11</v>
      </c>
      <c r="M3718">
        <v>152</v>
      </c>
      <c r="N3718">
        <v>34</v>
      </c>
      <c r="O3718">
        <v>26</v>
      </c>
      <c r="P3718">
        <v>34</v>
      </c>
      <c r="Q3718">
        <v>28</v>
      </c>
      <c r="R3718">
        <v>31</v>
      </c>
    </row>
    <row r="3719" spans="1:18" x14ac:dyDescent="0.25">
      <c r="A3719" t="s">
        <v>3984</v>
      </c>
      <c r="B3719" t="s">
        <v>55</v>
      </c>
      <c r="C3719" t="s">
        <v>3964</v>
      </c>
      <c r="D3719" t="s">
        <v>3655</v>
      </c>
      <c r="E3719" t="s">
        <v>78</v>
      </c>
      <c r="F3719" t="s">
        <v>252</v>
      </c>
      <c r="G3719">
        <v>7.9869000000000003</v>
      </c>
      <c r="H3719">
        <v>-75.197199999999995</v>
      </c>
      <c r="I3719" t="s">
        <v>3965</v>
      </c>
      <c r="J3719">
        <v>11</v>
      </c>
      <c r="M3719">
        <v>150</v>
      </c>
      <c r="N3719">
        <v>27</v>
      </c>
      <c r="O3719">
        <v>24</v>
      </c>
      <c r="P3719">
        <v>36</v>
      </c>
      <c r="Q3719">
        <v>29</v>
      </c>
      <c r="R3719">
        <v>42</v>
      </c>
    </row>
    <row r="3720" spans="1:18" x14ac:dyDescent="0.25">
      <c r="A3720" t="s">
        <v>3985</v>
      </c>
      <c r="B3720" t="s">
        <v>55</v>
      </c>
      <c r="C3720" t="s">
        <v>3964</v>
      </c>
      <c r="D3720" t="s">
        <v>3655</v>
      </c>
      <c r="E3720" t="s">
        <v>78</v>
      </c>
      <c r="F3720" t="s">
        <v>252</v>
      </c>
      <c r="G3720">
        <v>7.9869000000000003</v>
      </c>
      <c r="H3720">
        <v>-75.197199999999995</v>
      </c>
      <c r="I3720" t="s">
        <v>3965</v>
      </c>
      <c r="J3720">
        <v>11</v>
      </c>
      <c r="M3720">
        <v>146</v>
      </c>
      <c r="N3720">
        <v>37</v>
      </c>
      <c r="O3720">
        <v>28</v>
      </c>
      <c r="P3720">
        <v>26</v>
      </c>
      <c r="Q3720">
        <v>26</v>
      </c>
      <c r="R3720">
        <v>31</v>
      </c>
    </row>
    <row r="3721" spans="1:18" x14ac:dyDescent="0.25">
      <c r="A3721" t="s">
        <v>3986</v>
      </c>
      <c r="B3721" t="s">
        <v>55</v>
      </c>
      <c r="C3721" t="s">
        <v>3964</v>
      </c>
      <c r="D3721" t="s">
        <v>3655</v>
      </c>
      <c r="E3721" t="s">
        <v>78</v>
      </c>
      <c r="F3721" t="s">
        <v>252</v>
      </c>
      <c r="G3721">
        <v>7.9869000000000003</v>
      </c>
      <c r="H3721">
        <v>-75.197199999999995</v>
      </c>
      <c r="I3721" t="s">
        <v>3965</v>
      </c>
      <c r="J3721">
        <v>11</v>
      </c>
      <c r="M3721">
        <v>146</v>
      </c>
      <c r="N3721">
        <v>27</v>
      </c>
      <c r="O3721">
        <v>30</v>
      </c>
      <c r="P3721">
        <v>34</v>
      </c>
      <c r="Q3721">
        <v>24</v>
      </c>
      <c r="R3721">
        <v>35</v>
      </c>
    </row>
    <row r="3722" spans="1:18" x14ac:dyDescent="0.25">
      <c r="A3722" t="s">
        <v>3987</v>
      </c>
      <c r="B3722" t="s">
        <v>55</v>
      </c>
      <c r="C3722" t="s">
        <v>3964</v>
      </c>
      <c r="D3722" t="s">
        <v>3655</v>
      </c>
      <c r="E3722" t="s">
        <v>78</v>
      </c>
      <c r="F3722" t="s">
        <v>252</v>
      </c>
      <c r="G3722">
        <v>7.9869000000000003</v>
      </c>
      <c r="H3722">
        <v>-75.197199999999995</v>
      </c>
      <c r="I3722" t="s">
        <v>3965</v>
      </c>
      <c r="J3722">
        <v>11</v>
      </c>
      <c r="M3722">
        <v>144</v>
      </c>
      <c r="N3722">
        <v>34</v>
      </c>
      <c r="O3722">
        <v>26</v>
      </c>
      <c r="P3722">
        <v>30</v>
      </c>
      <c r="Q3722">
        <v>22</v>
      </c>
      <c r="R3722">
        <v>36</v>
      </c>
    </row>
    <row r="3723" spans="1:18" x14ac:dyDescent="0.25">
      <c r="A3723" t="s">
        <v>3988</v>
      </c>
      <c r="B3723" t="s">
        <v>55</v>
      </c>
      <c r="C3723" t="s">
        <v>3964</v>
      </c>
      <c r="D3723" t="s">
        <v>3655</v>
      </c>
      <c r="E3723" t="s">
        <v>78</v>
      </c>
      <c r="F3723" t="s">
        <v>252</v>
      </c>
      <c r="G3723">
        <v>7.9869000000000003</v>
      </c>
      <c r="H3723">
        <v>-75.197199999999995</v>
      </c>
      <c r="I3723" t="s">
        <v>3965</v>
      </c>
      <c r="J3723">
        <v>11</v>
      </c>
      <c r="M3723">
        <v>144</v>
      </c>
      <c r="N3723">
        <v>46</v>
      </c>
      <c r="O3723">
        <v>22</v>
      </c>
      <c r="P3723">
        <v>24</v>
      </c>
      <c r="Q3723">
        <v>22</v>
      </c>
      <c r="R3723">
        <v>29</v>
      </c>
    </row>
    <row r="3724" spans="1:18" x14ac:dyDescent="0.25">
      <c r="A3724" t="s">
        <v>3989</v>
      </c>
      <c r="B3724" t="s">
        <v>55</v>
      </c>
      <c r="C3724" t="s">
        <v>3964</v>
      </c>
      <c r="D3724" t="s">
        <v>3655</v>
      </c>
      <c r="E3724" t="s">
        <v>78</v>
      </c>
      <c r="F3724" t="s">
        <v>252</v>
      </c>
      <c r="G3724">
        <v>7.9869000000000003</v>
      </c>
      <c r="H3724">
        <v>-75.197199999999995</v>
      </c>
      <c r="I3724" t="s">
        <v>3965</v>
      </c>
      <c r="J3724">
        <v>11</v>
      </c>
      <c r="M3724">
        <v>143</v>
      </c>
      <c r="N3724">
        <v>24</v>
      </c>
      <c r="O3724">
        <v>28</v>
      </c>
      <c r="P3724">
        <v>32</v>
      </c>
      <c r="Q3724">
        <v>31</v>
      </c>
      <c r="R3724">
        <v>25</v>
      </c>
    </row>
    <row r="3725" spans="1:18" x14ac:dyDescent="0.25">
      <c r="A3725" t="s">
        <v>3990</v>
      </c>
      <c r="B3725" t="s">
        <v>55</v>
      </c>
      <c r="C3725" t="s">
        <v>3964</v>
      </c>
      <c r="D3725" t="s">
        <v>3655</v>
      </c>
      <c r="E3725" t="s">
        <v>78</v>
      </c>
      <c r="F3725" t="s">
        <v>252</v>
      </c>
      <c r="G3725">
        <v>7.9869000000000003</v>
      </c>
      <c r="H3725">
        <v>-75.197199999999995</v>
      </c>
      <c r="I3725" t="s">
        <v>3965</v>
      </c>
      <c r="J3725">
        <v>11</v>
      </c>
      <c r="M3725">
        <v>139</v>
      </c>
      <c r="N3725">
        <v>32</v>
      </c>
      <c r="O3725">
        <v>24</v>
      </c>
      <c r="P3725">
        <v>30</v>
      </c>
      <c r="Q3725">
        <v>24</v>
      </c>
      <c r="R3725">
        <v>31</v>
      </c>
    </row>
    <row r="3726" spans="1:18" x14ac:dyDescent="0.25">
      <c r="A3726" t="s">
        <v>3991</v>
      </c>
      <c r="B3726" t="s">
        <v>55</v>
      </c>
      <c r="C3726" t="s">
        <v>3964</v>
      </c>
      <c r="D3726" t="s">
        <v>3655</v>
      </c>
      <c r="E3726" t="s">
        <v>78</v>
      </c>
      <c r="F3726" t="s">
        <v>252</v>
      </c>
      <c r="G3726">
        <v>7.9869000000000003</v>
      </c>
      <c r="H3726">
        <v>-75.197199999999995</v>
      </c>
      <c r="I3726" t="s">
        <v>3965</v>
      </c>
      <c r="J3726">
        <v>11</v>
      </c>
      <c r="M3726">
        <v>138</v>
      </c>
      <c r="N3726">
        <v>41</v>
      </c>
      <c r="O3726">
        <v>28</v>
      </c>
      <c r="P3726">
        <v>28</v>
      </c>
      <c r="Q3726">
        <v>14</v>
      </c>
      <c r="R3726">
        <v>25</v>
      </c>
    </row>
    <row r="3727" spans="1:18" x14ac:dyDescent="0.25">
      <c r="A3727" t="s">
        <v>3992</v>
      </c>
      <c r="B3727" t="s">
        <v>55</v>
      </c>
      <c r="C3727" t="s">
        <v>3964</v>
      </c>
      <c r="D3727" t="s">
        <v>3655</v>
      </c>
      <c r="E3727" t="s">
        <v>78</v>
      </c>
      <c r="F3727" t="s">
        <v>252</v>
      </c>
      <c r="G3727">
        <v>7.9869000000000003</v>
      </c>
      <c r="H3727">
        <v>-75.197199999999995</v>
      </c>
      <c r="I3727" t="s">
        <v>3965</v>
      </c>
      <c r="J3727">
        <v>11</v>
      </c>
      <c r="M3727">
        <v>138</v>
      </c>
      <c r="N3727">
        <v>34</v>
      </c>
      <c r="O3727">
        <v>20</v>
      </c>
      <c r="P3727">
        <v>20</v>
      </c>
      <c r="Q3727">
        <v>34</v>
      </c>
      <c r="R3727">
        <v>33</v>
      </c>
    </row>
    <row r="3728" spans="1:18" x14ac:dyDescent="0.25">
      <c r="A3728" t="s">
        <v>3993</v>
      </c>
      <c r="B3728" t="s">
        <v>55</v>
      </c>
      <c r="C3728" t="s">
        <v>3964</v>
      </c>
      <c r="D3728" t="s">
        <v>3655</v>
      </c>
      <c r="E3728" t="s">
        <v>78</v>
      </c>
      <c r="F3728" t="s">
        <v>252</v>
      </c>
      <c r="G3728">
        <v>7.9869000000000003</v>
      </c>
      <c r="H3728">
        <v>-75.197199999999995</v>
      </c>
      <c r="I3728" t="s">
        <v>3965</v>
      </c>
      <c r="J3728">
        <v>11</v>
      </c>
      <c r="M3728">
        <v>136</v>
      </c>
      <c r="N3728">
        <v>41</v>
      </c>
      <c r="O3728">
        <v>14</v>
      </c>
      <c r="P3728">
        <v>30</v>
      </c>
      <c r="Q3728">
        <v>22</v>
      </c>
      <c r="R3728">
        <v>31</v>
      </c>
    </row>
    <row r="3729" spans="1:18" x14ac:dyDescent="0.25">
      <c r="A3729" t="s">
        <v>3994</v>
      </c>
      <c r="B3729" t="s">
        <v>55</v>
      </c>
      <c r="C3729" t="s">
        <v>3964</v>
      </c>
      <c r="D3729" t="s">
        <v>3655</v>
      </c>
      <c r="E3729" t="s">
        <v>78</v>
      </c>
      <c r="F3729" t="s">
        <v>252</v>
      </c>
      <c r="G3729">
        <v>7.9869000000000003</v>
      </c>
      <c r="H3729">
        <v>-75.197199999999995</v>
      </c>
      <c r="I3729" t="s">
        <v>3965</v>
      </c>
      <c r="J3729">
        <v>11</v>
      </c>
      <c r="M3729">
        <v>133</v>
      </c>
      <c r="N3729">
        <v>41</v>
      </c>
      <c r="O3729">
        <v>24</v>
      </c>
      <c r="P3729">
        <v>26</v>
      </c>
      <c r="Q3729">
        <v>16</v>
      </c>
      <c r="R3729">
        <v>24</v>
      </c>
    </row>
    <row r="3730" spans="1:18" x14ac:dyDescent="0.25">
      <c r="A3730" t="s">
        <v>3995</v>
      </c>
      <c r="B3730" t="s">
        <v>55</v>
      </c>
      <c r="C3730" t="s">
        <v>3964</v>
      </c>
      <c r="D3730" t="s">
        <v>3655</v>
      </c>
      <c r="E3730" t="s">
        <v>78</v>
      </c>
      <c r="F3730" t="s">
        <v>252</v>
      </c>
      <c r="G3730">
        <v>7.9869000000000003</v>
      </c>
      <c r="H3730">
        <v>-75.197199999999995</v>
      </c>
      <c r="I3730" t="s">
        <v>3965</v>
      </c>
      <c r="J3730">
        <v>11</v>
      </c>
      <c r="M3730">
        <v>129</v>
      </c>
      <c r="N3730">
        <v>29</v>
      </c>
      <c r="O3730">
        <v>30</v>
      </c>
      <c r="P3730">
        <v>22</v>
      </c>
      <c r="Q3730">
        <v>21</v>
      </c>
      <c r="R3730">
        <v>29</v>
      </c>
    </row>
    <row r="3731" spans="1:18" x14ac:dyDescent="0.25">
      <c r="A3731" t="s">
        <v>3996</v>
      </c>
      <c r="B3731" t="s">
        <v>55</v>
      </c>
      <c r="C3731" t="s">
        <v>3964</v>
      </c>
      <c r="D3731" t="s">
        <v>3655</v>
      </c>
      <c r="E3731" t="s">
        <v>78</v>
      </c>
      <c r="F3731" t="s">
        <v>252</v>
      </c>
      <c r="G3731">
        <v>7.9869000000000003</v>
      </c>
      <c r="H3731">
        <v>-75.197199999999995</v>
      </c>
      <c r="I3731" t="s">
        <v>3965</v>
      </c>
      <c r="J3731">
        <v>11</v>
      </c>
      <c r="M3731">
        <v>128</v>
      </c>
      <c r="N3731">
        <v>22</v>
      </c>
      <c r="O3731">
        <v>24</v>
      </c>
      <c r="P3731">
        <v>30</v>
      </c>
      <c r="Q3731">
        <v>22</v>
      </c>
      <c r="R3731">
        <v>38</v>
      </c>
    </row>
    <row r="3732" spans="1:18" x14ac:dyDescent="0.25">
      <c r="A3732" t="s">
        <v>3997</v>
      </c>
      <c r="B3732" t="s">
        <v>55</v>
      </c>
      <c r="C3732" t="s">
        <v>3964</v>
      </c>
      <c r="D3732" t="s">
        <v>3655</v>
      </c>
      <c r="E3732" t="s">
        <v>78</v>
      </c>
      <c r="F3732" t="s">
        <v>252</v>
      </c>
      <c r="G3732">
        <v>7.9869000000000003</v>
      </c>
      <c r="H3732">
        <v>-75.197199999999995</v>
      </c>
      <c r="I3732" t="s">
        <v>3965</v>
      </c>
      <c r="J3732">
        <v>11</v>
      </c>
      <c r="M3732">
        <v>128</v>
      </c>
      <c r="N3732">
        <v>29</v>
      </c>
      <c r="O3732">
        <v>22</v>
      </c>
      <c r="P3732">
        <v>24</v>
      </c>
      <c r="Q3732">
        <v>24</v>
      </c>
      <c r="R3732">
        <v>35</v>
      </c>
    </row>
    <row r="3733" spans="1:18" x14ac:dyDescent="0.25">
      <c r="A3733" t="s">
        <v>3998</v>
      </c>
      <c r="B3733" t="s">
        <v>55</v>
      </c>
      <c r="C3733" t="s">
        <v>3964</v>
      </c>
      <c r="D3733" t="s">
        <v>3655</v>
      </c>
      <c r="E3733" t="s">
        <v>78</v>
      </c>
      <c r="F3733" t="s">
        <v>252</v>
      </c>
      <c r="G3733">
        <v>7.9869000000000003</v>
      </c>
      <c r="H3733">
        <v>-75.197199999999995</v>
      </c>
      <c r="I3733" t="s">
        <v>3965</v>
      </c>
      <c r="J3733">
        <v>11</v>
      </c>
      <c r="M3733">
        <v>126</v>
      </c>
      <c r="N3733">
        <v>37</v>
      </c>
      <c r="O3733">
        <v>12</v>
      </c>
      <c r="P3733">
        <v>24</v>
      </c>
      <c r="Q3733">
        <v>29</v>
      </c>
      <c r="R3733">
        <v>22</v>
      </c>
    </row>
    <row r="3734" spans="1:18" x14ac:dyDescent="0.25">
      <c r="A3734" t="s">
        <v>3999</v>
      </c>
      <c r="B3734" t="s">
        <v>55</v>
      </c>
      <c r="C3734" t="s">
        <v>3964</v>
      </c>
      <c r="D3734" t="s">
        <v>3655</v>
      </c>
      <c r="E3734" t="s">
        <v>78</v>
      </c>
      <c r="F3734" t="s">
        <v>252</v>
      </c>
      <c r="G3734">
        <v>7.9869000000000003</v>
      </c>
      <c r="H3734">
        <v>-75.197199999999995</v>
      </c>
      <c r="I3734" t="s">
        <v>3965</v>
      </c>
      <c r="J3734">
        <v>11</v>
      </c>
      <c r="M3734">
        <v>123</v>
      </c>
      <c r="N3734">
        <v>29</v>
      </c>
      <c r="O3734">
        <v>22</v>
      </c>
      <c r="P3734">
        <v>26</v>
      </c>
      <c r="Q3734">
        <v>17</v>
      </c>
      <c r="R3734">
        <v>36</v>
      </c>
    </row>
    <row r="3735" spans="1:18" x14ac:dyDescent="0.25">
      <c r="A3735" t="s">
        <v>4000</v>
      </c>
      <c r="B3735" t="s">
        <v>55</v>
      </c>
      <c r="C3735" t="s">
        <v>3964</v>
      </c>
      <c r="D3735" t="s">
        <v>3655</v>
      </c>
      <c r="E3735" t="s">
        <v>78</v>
      </c>
      <c r="F3735" t="s">
        <v>252</v>
      </c>
      <c r="G3735">
        <v>7.9869000000000003</v>
      </c>
      <c r="H3735">
        <v>-75.197199999999995</v>
      </c>
      <c r="I3735" t="s">
        <v>3965</v>
      </c>
      <c r="J3735">
        <v>11</v>
      </c>
      <c r="M3735">
        <v>108</v>
      </c>
      <c r="N3735">
        <v>20</v>
      </c>
      <c r="O3735">
        <v>16</v>
      </c>
      <c r="P3735">
        <v>32</v>
      </c>
      <c r="Q3735">
        <v>14</v>
      </c>
      <c r="R3735">
        <v>36</v>
      </c>
    </row>
    <row r="3736" spans="1:18" x14ac:dyDescent="0.25">
      <c r="A3736" t="s">
        <v>4001</v>
      </c>
      <c r="B3736" t="s">
        <v>55</v>
      </c>
      <c r="C3736" t="s">
        <v>3964</v>
      </c>
      <c r="D3736" t="s">
        <v>3655</v>
      </c>
      <c r="E3736" t="s">
        <v>78</v>
      </c>
      <c r="F3736" t="s">
        <v>252</v>
      </c>
      <c r="G3736">
        <v>7.9869000000000003</v>
      </c>
      <c r="H3736">
        <v>-75.197199999999995</v>
      </c>
      <c r="I3736" t="s">
        <v>3965</v>
      </c>
      <c r="J3736">
        <v>11</v>
      </c>
      <c r="M3736">
        <v>106</v>
      </c>
      <c r="N3736">
        <v>22</v>
      </c>
      <c r="O3736">
        <v>28</v>
      </c>
      <c r="P3736">
        <v>24</v>
      </c>
      <c r="Q3736">
        <v>12</v>
      </c>
      <c r="R3736">
        <v>16</v>
      </c>
    </row>
    <row r="3737" spans="1:18" x14ac:dyDescent="0.25">
      <c r="A3737" t="s">
        <v>4002</v>
      </c>
      <c r="B3737" t="s">
        <v>55</v>
      </c>
      <c r="C3737" t="s">
        <v>3964</v>
      </c>
      <c r="D3737" t="s">
        <v>3655</v>
      </c>
      <c r="E3737" t="s">
        <v>78</v>
      </c>
      <c r="F3737" t="s">
        <v>252</v>
      </c>
      <c r="G3737">
        <v>7.9869000000000003</v>
      </c>
      <c r="H3737">
        <v>-75.197199999999995</v>
      </c>
      <c r="I3737" t="s">
        <v>3965</v>
      </c>
      <c r="J3737">
        <v>11</v>
      </c>
      <c r="M3737">
        <v>99</v>
      </c>
      <c r="N3737">
        <v>27</v>
      </c>
      <c r="O3737">
        <v>6</v>
      </c>
      <c r="P3737">
        <v>22</v>
      </c>
      <c r="Q3737">
        <v>17</v>
      </c>
      <c r="R3737">
        <v>42</v>
      </c>
    </row>
    <row r="3738" spans="1:18" x14ac:dyDescent="0.25">
      <c r="A3738" t="s">
        <v>4003</v>
      </c>
      <c r="B3738" t="s">
        <v>55</v>
      </c>
      <c r="C3738" t="s">
        <v>3964</v>
      </c>
      <c r="D3738" t="s">
        <v>3655</v>
      </c>
      <c r="E3738" t="s">
        <v>78</v>
      </c>
      <c r="F3738" t="s">
        <v>252</v>
      </c>
      <c r="G3738">
        <v>7.9869000000000003</v>
      </c>
      <c r="H3738">
        <v>-75.197199999999995</v>
      </c>
      <c r="I3738" t="s">
        <v>3965</v>
      </c>
      <c r="J3738">
        <v>11</v>
      </c>
      <c r="M3738">
        <v>91</v>
      </c>
      <c r="N3738">
        <v>17</v>
      </c>
      <c r="O3738">
        <v>16</v>
      </c>
      <c r="P3738">
        <v>22</v>
      </c>
      <c r="Q3738">
        <v>14</v>
      </c>
      <c r="R3738">
        <v>31</v>
      </c>
    </row>
    <row r="3739" spans="1:18" x14ac:dyDescent="0.25">
      <c r="A3739" t="s">
        <v>4004</v>
      </c>
      <c r="B3739" t="s">
        <v>55</v>
      </c>
      <c r="C3739" t="s">
        <v>4005</v>
      </c>
      <c r="D3739" t="s">
        <v>1916</v>
      </c>
      <c r="E3739" t="s">
        <v>78</v>
      </c>
      <c r="F3739" t="s">
        <v>252</v>
      </c>
      <c r="G3739">
        <v>6.5986000000000002</v>
      </c>
      <c r="H3739">
        <v>-75.011899999999997</v>
      </c>
      <c r="I3739" t="s">
        <v>4006</v>
      </c>
      <c r="J3739">
        <v>11</v>
      </c>
      <c r="M3739">
        <v>231</v>
      </c>
      <c r="N3739">
        <v>61</v>
      </c>
      <c r="O3739">
        <v>28</v>
      </c>
      <c r="P3739">
        <v>58</v>
      </c>
      <c r="Q3739">
        <v>40</v>
      </c>
      <c r="R3739">
        <v>40</v>
      </c>
    </row>
    <row r="3740" spans="1:18" x14ac:dyDescent="0.25">
      <c r="A3740" t="s">
        <v>4007</v>
      </c>
      <c r="B3740" t="s">
        <v>55</v>
      </c>
      <c r="C3740" t="s">
        <v>4005</v>
      </c>
      <c r="D3740" t="s">
        <v>1916</v>
      </c>
      <c r="E3740" t="s">
        <v>78</v>
      </c>
      <c r="F3740" t="s">
        <v>252</v>
      </c>
      <c r="G3740">
        <v>6.5986000000000002</v>
      </c>
      <c r="H3740">
        <v>-75.011899999999997</v>
      </c>
      <c r="I3740" t="s">
        <v>4006</v>
      </c>
      <c r="J3740">
        <v>11</v>
      </c>
      <c r="M3740">
        <v>202</v>
      </c>
      <c r="N3740">
        <v>46</v>
      </c>
      <c r="O3740">
        <v>24</v>
      </c>
      <c r="P3740">
        <v>58</v>
      </c>
      <c r="Q3740">
        <v>36</v>
      </c>
      <c r="R3740">
        <v>31</v>
      </c>
    </row>
    <row r="3741" spans="1:18" x14ac:dyDescent="0.25">
      <c r="A3741" t="s">
        <v>4008</v>
      </c>
      <c r="B3741" t="s">
        <v>55</v>
      </c>
      <c r="C3741" t="s">
        <v>4005</v>
      </c>
      <c r="D3741" t="s">
        <v>1916</v>
      </c>
      <c r="E3741" t="s">
        <v>78</v>
      </c>
      <c r="F3741" t="s">
        <v>252</v>
      </c>
      <c r="G3741">
        <v>6.5986000000000002</v>
      </c>
      <c r="H3741">
        <v>-75.011899999999997</v>
      </c>
      <c r="I3741" t="s">
        <v>4006</v>
      </c>
      <c r="J3741">
        <v>11</v>
      </c>
      <c r="M3741">
        <v>192</v>
      </c>
      <c r="N3741">
        <v>41</v>
      </c>
      <c r="O3741">
        <v>34</v>
      </c>
      <c r="P3741">
        <v>50</v>
      </c>
      <c r="Q3741">
        <v>34</v>
      </c>
      <c r="R3741">
        <v>20</v>
      </c>
    </row>
    <row r="3742" spans="1:18" x14ac:dyDescent="0.25">
      <c r="A3742" t="s">
        <v>4009</v>
      </c>
      <c r="B3742" t="s">
        <v>55</v>
      </c>
      <c r="C3742" t="s">
        <v>4005</v>
      </c>
      <c r="D3742" t="s">
        <v>1916</v>
      </c>
      <c r="E3742" t="s">
        <v>78</v>
      </c>
      <c r="F3742" t="s">
        <v>252</v>
      </c>
      <c r="G3742">
        <v>6.5986000000000002</v>
      </c>
      <c r="H3742">
        <v>-75.011899999999997</v>
      </c>
      <c r="I3742" t="s">
        <v>4006</v>
      </c>
      <c r="J3742">
        <v>11</v>
      </c>
      <c r="M3742">
        <v>183</v>
      </c>
      <c r="N3742">
        <v>51</v>
      </c>
      <c r="O3742">
        <v>22</v>
      </c>
      <c r="P3742">
        <v>38</v>
      </c>
      <c r="Q3742">
        <v>31</v>
      </c>
      <c r="R3742">
        <v>49</v>
      </c>
    </row>
    <row r="3743" spans="1:18" x14ac:dyDescent="0.25">
      <c r="A3743" t="s">
        <v>4010</v>
      </c>
      <c r="B3743" t="s">
        <v>55</v>
      </c>
      <c r="C3743" t="s">
        <v>4005</v>
      </c>
      <c r="D3743" t="s">
        <v>1916</v>
      </c>
      <c r="E3743" t="s">
        <v>78</v>
      </c>
      <c r="F3743" t="s">
        <v>252</v>
      </c>
      <c r="G3743">
        <v>6.5986000000000002</v>
      </c>
      <c r="H3743">
        <v>-75.011899999999997</v>
      </c>
      <c r="I3743" t="s">
        <v>4006</v>
      </c>
      <c r="J3743">
        <v>11</v>
      </c>
      <c r="M3743">
        <v>182</v>
      </c>
      <c r="N3743">
        <v>49</v>
      </c>
      <c r="O3743">
        <v>30</v>
      </c>
      <c r="P3743">
        <v>30</v>
      </c>
      <c r="Q3743">
        <v>36</v>
      </c>
      <c r="R3743">
        <v>38</v>
      </c>
    </row>
    <row r="3744" spans="1:18" x14ac:dyDescent="0.25">
      <c r="A3744" t="s">
        <v>4011</v>
      </c>
      <c r="B3744" t="s">
        <v>55</v>
      </c>
      <c r="C3744" t="s">
        <v>4005</v>
      </c>
      <c r="D3744" t="s">
        <v>1916</v>
      </c>
      <c r="E3744" t="s">
        <v>78</v>
      </c>
      <c r="F3744" t="s">
        <v>252</v>
      </c>
      <c r="G3744">
        <v>6.5986000000000002</v>
      </c>
      <c r="H3744">
        <v>-75.011899999999997</v>
      </c>
      <c r="I3744" t="s">
        <v>4006</v>
      </c>
      <c r="J3744">
        <v>11</v>
      </c>
      <c r="M3744">
        <v>177</v>
      </c>
      <c r="N3744">
        <v>34</v>
      </c>
      <c r="O3744">
        <v>32</v>
      </c>
      <c r="P3744">
        <v>48</v>
      </c>
      <c r="Q3744">
        <v>22</v>
      </c>
      <c r="R3744">
        <v>51</v>
      </c>
    </row>
    <row r="3745" spans="1:18" x14ac:dyDescent="0.25">
      <c r="A3745" t="s">
        <v>4012</v>
      </c>
      <c r="B3745" t="s">
        <v>55</v>
      </c>
      <c r="C3745" t="s">
        <v>4005</v>
      </c>
      <c r="D3745" t="s">
        <v>1916</v>
      </c>
      <c r="E3745" t="s">
        <v>78</v>
      </c>
      <c r="F3745" t="s">
        <v>252</v>
      </c>
      <c r="G3745">
        <v>6.5986000000000002</v>
      </c>
      <c r="H3745">
        <v>-75.011899999999997</v>
      </c>
      <c r="I3745" t="s">
        <v>4006</v>
      </c>
      <c r="J3745">
        <v>11</v>
      </c>
      <c r="M3745">
        <v>170</v>
      </c>
      <c r="N3745">
        <v>44</v>
      </c>
      <c r="O3745">
        <v>18</v>
      </c>
      <c r="P3745">
        <v>50</v>
      </c>
      <c r="Q3745">
        <v>22</v>
      </c>
      <c r="R3745">
        <v>38</v>
      </c>
    </row>
    <row r="3746" spans="1:18" x14ac:dyDescent="0.25">
      <c r="A3746" t="s">
        <v>4013</v>
      </c>
      <c r="B3746" t="s">
        <v>55</v>
      </c>
      <c r="C3746" t="s">
        <v>4005</v>
      </c>
      <c r="D3746" t="s">
        <v>1916</v>
      </c>
      <c r="E3746" t="s">
        <v>78</v>
      </c>
      <c r="F3746" t="s">
        <v>252</v>
      </c>
      <c r="G3746">
        <v>6.5986000000000002</v>
      </c>
      <c r="H3746">
        <v>-75.011899999999997</v>
      </c>
      <c r="I3746" t="s">
        <v>4006</v>
      </c>
      <c r="J3746">
        <v>11</v>
      </c>
      <c r="M3746">
        <v>168</v>
      </c>
      <c r="N3746">
        <v>39</v>
      </c>
      <c r="O3746">
        <v>16</v>
      </c>
      <c r="P3746">
        <v>52</v>
      </c>
      <c r="Q3746">
        <v>28</v>
      </c>
      <c r="R3746">
        <v>33</v>
      </c>
    </row>
    <row r="3747" spans="1:18" x14ac:dyDescent="0.25">
      <c r="A3747" t="s">
        <v>4014</v>
      </c>
      <c r="B3747" t="s">
        <v>55</v>
      </c>
      <c r="C3747" t="s">
        <v>4005</v>
      </c>
      <c r="D3747" t="s">
        <v>1916</v>
      </c>
      <c r="E3747" t="s">
        <v>78</v>
      </c>
      <c r="F3747" t="s">
        <v>252</v>
      </c>
      <c r="G3747">
        <v>6.5986000000000002</v>
      </c>
      <c r="H3747">
        <v>-75.011899999999997</v>
      </c>
      <c r="I3747" t="s">
        <v>4006</v>
      </c>
      <c r="J3747">
        <v>11</v>
      </c>
      <c r="M3747">
        <v>167</v>
      </c>
      <c r="N3747">
        <v>44</v>
      </c>
      <c r="O3747">
        <v>16</v>
      </c>
      <c r="P3747">
        <v>54</v>
      </c>
      <c r="Q3747">
        <v>19</v>
      </c>
      <c r="R3747">
        <v>36</v>
      </c>
    </row>
    <row r="3748" spans="1:18" x14ac:dyDescent="0.25">
      <c r="A3748" t="s">
        <v>4015</v>
      </c>
      <c r="B3748" t="s">
        <v>55</v>
      </c>
      <c r="C3748" t="s">
        <v>4005</v>
      </c>
      <c r="D3748" t="s">
        <v>1916</v>
      </c>
      <c r="E3748" t="s">
        <v>78</v>
      </c>
      <c r="F3748" t="s">
        <v>252</v>
      </c>
      <c r="G3748">
        <v>6.5986000000000002</v>
      </c>
      <c r="H3748">
        <v>-75.011899999999997</v>
      </c>
      <c r="I3748" t="s">
        <v>4006</v>
      </c>
      <c r="J3748">
        <v>11</v>
      </c>
      <c r="M3748">
        <v>165</v>
      </c>
      <c r="N3748">
        <v>41</v>
      </c>
      <c r="O3748">
        <v>32</v>
      </c>
      <c r="P3748">
        <v>36</v>
      </c>
      <c r="Q3748">
        <v>22</v>
      </c>
      <c r="R3748">
        <v>33</v>
      </c>
    </row>
    <row r="3749" spans="1:18" x14ac:dyDescent="0.25">
      <c r="A3749" t="s">
        <v>4016</v>
      </c>
      <c r="B3749" t="s">
        <v>55</v>
      </c>
      <c r="C3749" t="s">
        <v>4005</v>
      </c>
      <c r="D3749" t="s">
        <v>1916</v>
      </c>
      <c r="E3749" t="s">
        <v>78</v>
      </c>
      <c r="F3749" t="s">
        <v>252</v>
      </c>
      <c r="G3749">
        <v>6.5986000000000002</v>
      </c>
      <c r="H3749">
        <v>-75.011899999999997</v>
      </c>
      <c r="I3749" t="s">
        <v>4006</v>
      </c>
      <c r="J3749">
        <v>11</v>
      </c>
      <c r="M3749">
        <v>163</v>
      </c>
      <c r="N3749">
        <v>37</v>
      </c>
      <c r="O3749">
        <v>28</v>
      </c>
      <c r="P3749">
        <v>32</v>
      </c>
      <c r="Q3749">
        <v>33</v>
      </c>
      <c r="R3749">
        <v>35</v>
      </c>
    </row>
    <row r="3750" spans="1:18" x14ac:dyDescent="0.25">
      <c r="A3750" t="s">
        <v>4017</v>
      </c>
      <c r="B3750" t="s">
        <v>55</v>
      </c>
      <c r="C3750" t="s">
        <v>4005</v>
      </c>
      <c r="D3750" t="s">
        <v>1916</v>
      </c>
      <c r="E3750" t="s">
        <v>78</v>
      </c>
      <c r="F3750" t="s">
        <v>252</v>
      </c>
      <c r="G3750">
        <v>6.5986000000000002</v>
      </c>
      <c r="H3750">
        <v>-75.011899999999997</v>
      </c>
      <c r="I3750" t="s">
        <v>4006</v>
      </c>
      <c r="J3750">
        <v>11</v>
      </c>
      <c r="M3750">
        <v>160</v>
      </c>
      <c r="N3750">
        <v>32</v>
      </c>
      <c r="O3750">
        <v>24</v>
      </c>
      <c r="P3750">
        <v>44</v>
      </c>
      <c r="Q3750">
        <v>31</v>
      </c>
      <c r="R3750">
        <v>24</v>
      </c>
    </row>
    <row r="3751" spans="1:18" x14ac:dyDescent="0.25">
      <c r="A3751" t="s">
        <v>4018</v>
      </c>
      <c r="B3751" t="s">
        <v>55</v>
      </c>
      <c r="C3751" t="s">
        <v>4005</v>
      </c>
      <c r="D3751" t="s">
        <v>1916</v>
      </c>
      <c r="E3751" t="s">
        <v>78</v>
      </c>
      <c r="F3751" t="s">
        <v>252</v>
      </c>
      <c r="G3751">
        <v>6.5986000000000002</v>
      </c>
      <c r="H3751">
        <v>-75.011899999999997</v>
      </c>
      <c r="I3751" t="s">
        <v>4006</v>
      </c>
      <c r="J3751">
        <v>11</v>
      </c>
      <c r="M3751">
        <v>153</v>
      </c>
      <c r="N3751">
        <v>39</v>
      </c>
      <c r="O3751">
        <v>28</v>
      </c>
      <c r="P3751">
        <v>24</v>
      </c>
      <c r="Q3751">
        <v>33</v>
      </c>
      <c r="R3751">
        <v>27</v>
      </c>
    </row>
    <row r="3752" spans="1:18" x14ac:dyDescent="0.25">
      <c r="A3752" t="s">
        <v>4019</v>
      </c>
      <c r="B3752" t="s">
        <v>55</v>
      </c>
      <c r="C3752" t="s">
        <v>4005</v>
      </c>
      <c r="D3752" t="s">
        <v>1916</v>
      </c>
      <c r="E3752" t="s">
        <v>78</v>
      </c>
      <c r="F3752" t="s">
        <v>252</v>
      </c>
      <c r="G3752">
        <v>6.5986000000000002</v>
      </c>
      <c r="H3752">
        <v>-75.011899999999997</v>
      </c>
      <c r="I3752" t="s">
        <v>4006</v>
      </c>
      <c r="J3752">
        <v>11</v>
      </c>
      <c r="M3752">
        <v>152</v>
      </c>
      <c r="N3752">
        <v>32</v>
      </c>
      <c r="O3752">
        <v>30</v>
      </c>
      <c r="P3752">
        <v>26</v>
      </c>
      <c r="Q3752">
        <v>34</v>
      </c>
      <c r="R3752">
        <v>29</v>
      </c>
    </row>
    <row r="3753" spans="1:18" x14ac:dyDescent="0.25">
      <c r="A3753" t="s">
        <v>4020</v>
      </c>
      <c r="B3753" t="s">
        <v>55</v>
      </c>
      <c r="C3753" t="s">
        <v>4005</v>
      </c>
      <c r="D3753" t="s">
        <v>1916</v>
      </c>
      <c r="E3753" t="s">
        <v>78</v>
      </c>
      <c r="F3753" t="s">
        <v>252</v>
      </c>
      <c r="G3753">
        <v>6.5986000000000002</v>
      </c>
      <c r="H3753">
        <v>-75.011899999999997</v>
      </c>
      <c r="I3753" t="s">
        <v>4006</v>
      </c>
      <c r="J3753">
        <v>11</v>
      </c>
      <c r="M3753">
        <v>148</v>
      </c>
      <c r="N3753">
        <v>37</v>
      </c>
      <c r="O3753">
        <v>24</v>
      </c>
      <c r="P3753">
        <v>36</v>
      </c>
      <c r="Q3753">
        <v>26</v>
      </c>
      <c r="R3753">
        <v>18</v>
      </c>
    </row>
    <row r="3754" spans="1:18" x14ac:dyDescent="0.25">
      <c r="A3754" t="s">
        <v>4021</v>
      </c>
      <c r="B3754" t="s">
        <v>55</v>
      </c>
      <c r="C3754" t="s">
        <v>4005</v>
      </c>
      <c r="D3754" t="s">
        <v>1916</v>
      </c>
      <c r="E3754" t="s">
        <v>78</v>
      </c>
      <c r="F3754" t="s">
        <v>252</v>
      </c>
      <c r="G3754">
        <v>6.5986000000000002</v>
      </c>
      <c r="H3754">
        <v>-75.011899999999997</v>
      </c>
      <c r="I3754" t="s">
        <v>4006</v>
      </c>
      <c r="J3754">
        <v>11</v>
      </c>
      <c r="M3754">
        <v>146</v>
      </c>
      <c r="N3754">
        <v>29</v>
      </c>
      <c r="O3754">
        <v>22</v>
      </c>
      <c r="P3754">
        <v>46</v>
      </c>
      <c r="Q3754">
        <v>21</v>
      </c>
      <c r="R3754">
        <v>25</v>
      </c>
    </row>
    <row r="3755" spans="1:18" x14ac:dyDescent="0.25">
      <c r="A3755" t="s">
        <v>4022</v>
      </c>
      <c r="B3755" t="s">
        <v>55</v>
      </c>
      <c r="C3755" t="s">
        <v>4005</v>
      </c>
      <c r="D3755" t="s">
        <v>1916</v>
      </c>
      <c r="E3755" t="s">
        <v>78</v>
      </c>
      <c r="F3755" t="s">
        <v>252</v>
      </c>
      <c r="G3755">
        <v>6.5986000000000002</v>
      </c>
      <c r="H3755">
        <v>-75.011899999999997</v>
      </c>
      <c r="I3755" t="s">
        <v>4006</v>
      </c>
      <c r="J3755">
        <v>11</v>
      </c>
      <c r="M3755">
        <v>139</v>
      </c>
      <c r="N3755">
        <v>49</v>
      </c>
      <c r="O3755">
        <v>18</v>
      </c>
      <c r="P3755">
        <v>18</v>
      </c>
      <c r="Q3755">
        <v>28</v>
      </c>
      <c r="R3755">
        <v>25</v>
      </c>
    </row>
    <row r="3756" spans="1:18" x14ac:dyDescent="0.25">
      <c r="A3756" t="s">
        <v>4023</v>
      </c>
      <c r="B3756" t="s">
        <v>55</v>
      </c>
      <c r="C3756" t="s">
        <v>4005</v>
      </c>
      <c r="D3756" t="s">
        <v>1916</v>
      </c>
      <c r="E3756" t="s">
        <v>78</v>
      </c>
      <c r="F3756" t="s">
        <v>252</v>
      </c>
      <c r="G3756">
        <v>6.5986000000000002</v>
      </c>
      <c r="H3756">
        <v>-75.011899999999997</v>
      </c>
      <c r="I3756" t="s">
        <v>4006</v>
      </c>
      <c r="J3756">
        <v>11</v>
      </c>
      <c r="M3756">
        <v>133</v>
      </c>
      <c r="N3756">
        <v>34</v>
      </c>
      <c r="O3756">
        <v>14</v>
      </c>
      <c r="P3756">
        <v>32</v>
      </c>
      <c r="Q3756">
        <v>26</v>
      </c>
      <c r="R3756">
        <v>27</v>
      </c>
    </row>
    <row r="3757" spans="1:18" x14ac:dyDescent="0.25">
      <c r="A3757" t="s">
        <v>4024</v>
      </c>
      <c r="B3757" t="s">
        <v>55</v>
      </c>
      <c r="C3757" t="s">
        <v>4005</v>
      </c>
      <c r="D3757" t="s">
        <v>1916</v>
      </c>
      <c r="E3757" t="s">
        <v>78</v>
      </c>
      <c r="F3757" t="s">
        <v>252</v>
      </c>
      <c r="G3757">
        <v>6.5986000000000002</v>
      </c>
      <c r="H3757">
        <v>-75.011899999999997</v>
      </c>
      <c r="I3757" t="s">
        <v>4006</v>
      </c>
      <c r="J3757">
        <v>11</v>
      </c>
      <c r="M3757">
        <v>128</v>
      </c>
      <c r="N3757">
        <v>27</v>
      </c>
      <c r="O3757">
        <v>20</v>
      </c>
      <c r="P3757">
        <v>30</v>
      </c>
      <c r="Q3757">
        <v>24</v>
      </c>
      <c r="R3757">
        <v>29</v>
      </c>
    </row>
    <row r="3758" spans="1:18" x14ac:dyDescent="0.25">
      <c r="A3758" t="s">
        <v>4025</v>
      </c>
      <c r="B3758" t="s">
        <v>55</v>
      </c>
      <c r="C3758" t="s">
        <v>4005</v>
      </c>
      <c r="D3758" t="s">
        <v>1916</v>
      </c>
      <c r="E3758" t="s">
        <v>78</v>
      </c>
      <c r="F3758" t="s">
        <v>252</v>
      </c>
      <c r="G3758">
        <v>6.5986000000000002</v>
      </c>
      <c r="H3758">
        <v>-75.011899999999997</v>
      </c>
      <c r="I3758" t="s">
        <v>4006</v>
      </c>
      <c r="J3758">
        <v>11</v>
      </c>
      <c r="M3758">
        <v>115</v>
      </c>
      <c r="N3758">
        <v>44</v>
      </c>
      <c r="O3758">
        <v>18</v>
      </c>
      <c r="P3758">
        <v>20</v>
      </c>
      <c r="Q3758">
        <v>7</v>
      </c>
      <c r="R3758">
        <v>33</v>
      </c>
    </row>
    <row r="3759" spans="1:18" x14ac:dyDescent="0.25">
      <c r="A3759" t="s">
        <v>4026</v>
      </c>
      <c r="B3759" t="s">
        <v>55</v>
      </c>
      <c r="C3759" t="s">
        <v>4027</v>
      </c>
      <c r="D3759" t="s">
        <v>4028</v>
      </c>
      <c r="E3759" t="s">
        <v>78</v>
      </c>
      <c r="F3759" t="s">
        <v>252</v>
      </c>
      <c r="G3759">
        <v>6.28</v>
      </c>
      <c r="H3759">
        <v>-75.442800000000005</v>
      </c>
      <c r="I3759" t="s">
        <v>4029</v>
      </c>
      <c r="J3759">
        <v>11</v>
      </c>
      <c r="M3759">
        <v>262</v>
      </c>
      <c r="N3759">
        <v>51</v>
      </c>
      <c r="O3759">
        <v>58</v>
      </c>
      <c r="P3759">
        <v>72</v>
      </c>
      <c r="Q3759">
        <v>33</v>
      </c>
      <c r="R3759">
        <v>38</v>
      </c>
    </row>
    <row r="3760" spans="1:18" x14ac:dyDescent="0.25">
      <c r="A3760" t="s">
        <v>4030</v>
      </c>
      <c r="B3760" t="s">
        <v>55</v>
      </c>
      <c r="C3760" t="s">
        <v>4027</v>
      </c>
      <c r="D3760" t="s">
        <v>4028</v>
      </c>
      <c r="E3760" t="s">
        <v>78</v>
      </c>
      <c r="F3760" t="s">
        <v>252</v>
      </c>
      <c r="G3760">
        <v>6.28</v>
      </c>
      <c r="H3760">
        <v>-75.442800000000005</v>
      </c>
      <c r="I3760" t="s">
        <v>4029</v>
      </c>
      <c r="J3760">
        <v>11</v>
      </c>
      <c r="M3760">
        <v>241</v>
      </c>
      <c r="N3760">
        <v>54</v>
      </c>
      <c r="O3760">
        <v>28</v>
      </c>
      <c r="P3760">
        <v>68</v>
      </c>
      <c r="Q3760">
        <v>41</v>
      </c>
      <c r="R3760">
        <v>53</v>
      </c>
    </row>
    <row r="3761" spans="1:18" x14ac:dyDescent="0.25">
      <c r="A3761" t="s">
        <v>4031</v>
      </c>
      <c r="B3761" t="s">
        <v>55</v>
      </c>
      <c r="C3761" t="s">
        <v>4027</v>
      </c>
      <c r="D3761" t="s">
        <v>4028</v>
      </c>
      <c r="E3761" t="s">
        <v>78</v>
      </c>
      <c r="F3761" t="s">
        <v>252</v>
      </c>
      <c r="G3761">
        <v>6.28</v>
      </c>
      <c r="H3761">
        <v>-75.442800000000005</v>
      </c>
      <c r="I3761" t="s">
        <v>4029</v>
      </c>
      <c r="J3761">
        <v>11</v>
      </c>
      <c r="M3761">
        <v>225</v>
      </c>
      <c r="N3761">
        <v>66</v>
      </c>
      <c r="O3761">
        <v>26</v>
      </c>
      <c r="P3761">
        <v>54</v>
      </c>
      <c r="Q3761">
        <v>24</v>
      </c>
      <c r="R3761">
        <v>75</v>
      </c>
    </row>
    <row r="3762" spans="1:18" x14ac:dyDescent="0.25">
      <c r="A3762" t="s">
        <v>4032</v>
      </c>
      <c r="B3762" t="s">
        <v>55</v>
      </c>
      <c r="C3762" t="s">
        <v>4027</v>
      </c>
      <c r="D3762" t="s">
        <v>4028</v>
      </c>
      <c r="E3762" t="s">
        <v>78</v>
      </c>
      <c r="F3762" t="s">
        <v>252</v>
      </c>
      <c r="G3762">
        <v>6.28</v>
      </c>
      <c r="H3762">
        <v>-75.442800000000005</v>
      </c>
      <c r="I3762" t="s">
        <v>4029</v>
      </c>
      <c r="J3762">
        <v>11</v>
      </c>
      <c r="M3762">
        <v>217</v>
      </c>
      <c r="N3762">
        <v>51</v>
      </c>
      <c r="O3762">
        <v>26</v>
      </c>
      <c r="P3762">
        <v>54</v>
      </c>
      <c r="Q3762">
        <v>33</v>
      </c>
      <c r="R3762">
        <v>73</v>
      </c>
    </row>
    <row r="3763" spans="1:18" x14ac:dyDescent="0.25">
      <c r="A3763" t="s">
        <v>4033</v>
      </c>
      <c r="B3763" t="s">
        <v>55</v>
      </c>
      <c r="C3763" t="s">
        <v>4027</v>
      </c>
      <c r="D3763" t="s">
        <v>4028</v>
      </c>
      <c r="E3763" t="s">
        <v>78</v>
      </c>
      <c r="F3763" t="s">
        <v>252</v>
      </c>
      <c r="G3763">
        <v>6.28</v>
      </c>
      <c r="H3763">
        <v>-75.442800000000005</v>
      </c>
      <c r="I3763" t="s">
        <v>4029</v>
      </c>
      <c r="J3763">
        <v>11</v>
      </c>
      <c r="M3763">
        <v>209</v>
      </c>
      <c r="N3763">
        <v>44</v>
      </c>
      <c r="O3763">
        <v>36</v>
      </c>
      <c r="P3763">
        <v>48</v>
      </c>
      <c r="Q3763">
        <v>40</v>
      </c>
      <c r="R3763">
        <v>42</v>
      </c>
    </row>
    <row r="3764" spans="1:18" x14ac:dyDescent="0.25">
      <c r="A3764" t="s">
        <v>4034</v>
      </c>
      <c r="B3764" t="s">
        <v>55</v>
      </c>
      <c r="C3764" t="s">
        <v>4027</v>
      </c>
      <c r="D3764" t="s">
        <v>4028</v>
      </c>
      <c r="E3764" t="s">
        <v>78</v>
      </c>
      <c r="F3764" t="s">
        <v>252</v>
      </c>
      <c r="G3764">
        <v>6.28</v>
      </c>
      <c r="H3764">
        <v>-75.442800000000005</v>
      </c>
      <c r="I3764" t="s">
        <v>4029</v>
      </c>
      <c r="J3764">
        <v>11</v>
      </c>
      <c r="M3764">
        <v>202</v>
      </c>
      <c r="N3764">
        <v>41</v>
      </c>
      <c r="O3764">
        <v>48</v>
      </c>
      <c r="P3764">
        <v>36</v>
      </c>
      <c r="Q3764">
        <v>31</v>
      </c>
      <c r="R3764">
        <v>55</v>
      </c>
    </row>
    <row r="3765" spans="1:18" x14ac:dyDescent="0.25">
      <c r="A3765" t="s">
        <v>4035</v>
      </c>
      <c r="B3765" t="s">
        <v>55</v>
      </c>
      <c r="C3765" t="s">
        <v>4027</v>
      </c>
      <c r="D3765" t="s">
        <v>4028</v>
      </c>
      <c r="E3765" t="s">
        <v>78</v>
      </c>
      <c r="F3765" t="s">
        <v>252</v>
      </c>
      <c r="G3765">
        <v>6.28</v>
      </c>
      <c r="H3765">
        <v>-75.442800000000005</v>
      </c>
      <c r="I3765" t="s">
        <v>4029</v>
      </c>
      <c r="J3765">
        <v>11</v>
      </c>
      <c r="M3765">
        <v>192</v>
      </c>
      <c r="N3765">
        <v>39</v>
      </c>
      <c r="O3765">
        <v>28</v>
      </c>
      <c r="P3765">
        <v>46</v>
      </c>
      <c r="Q3765">
        <v>36</v>
      </c>
      <c r="R3765">
        <v>53</v>
      </c>
    </row>
    <row r="3766" spans="1:18" x14ac:dyDescent="0.25">
      <c r="A3766" t="s">
        <v>4036</v>
      </c>
      <c r="B3766" t="s">
        <v>55</v>
      </c>
      <c r="C3766" t="s">
        <v>4027</v>
      </c>
      <c r="D3766" t="s">
        <v>4028</v>
      </c>
      <c r="E3766" t="s">
        <v>78</v>
      </c>
      <c r="F3766" t="s">
        <v>252</v>
      </c>
      <c r="G3766">
        <v>6.28</v>
      </c>
      <c r="H3766">
        <v>-75.442800000000005</v>
      </c>
      <c r="I3766" t="s">
        <v>4029</v>
      </c>
      <c r="J3766">
        <v>11</v>
      </c>
      <c r="M3766">
        <v>192</v>
      </c>
      <c r="N3766">
        <v>49</v>
      </c>
      <c r="O3766">
        <v>32</v>
      </c>
      <c r="P3766">
        <v>36</v>
      </c>
      <c r="Q3766">
        <v>40</v>
      </c>
      <c r="R3766">
        <v>31</v>
      </c>
    </row>
    <row r="3767" spans="1:18" x14ac:dyDescent="0.25">
      <c r="A3767" t="s">
        <v>4037</v>
      </c>
      <c r="B3767" t="s">
        <v>55</v>
      </c>
      <c r="C3767" t="s">
        <v>4027</v>
      </c>
      <c r="D3767" t="s">
        <v>4028</v>
      </c>
      <c r="E3767" t="s">
        <v>78</v>
      </c>
      <c r="F3767" t="s">
        <v>252</v>
      </c>
      <c r="G3767">
        <v>6.28</v>
      </c>
      <c r="H3767">
        <v>-75.442800000000005</v>
      </c>
      <c r="I3767" t="s">
        <v>4029</v>
      </c>
      <c r="J3767">
        <v>11</v>
      </c>
      <c r="M3767">
        <v>185</v>
      </c>
      <c r="N3767">
        <v>49</v>
      </c>
      <c r="O3767">
        <v>20</v>
      </c>
      <c r="P3767">
        <v>46</v>
      </c>
      <c r="Q3767">
        <v>24</v>
      </c>
      <c r="R3767">
        <v>65</v>
      </c>
    </row>
    <row r="3768" spans="1:18" x14ac:dyDescent="0.25">
      <c r="A3768" t="s">
        <v>4038</v>
      </c>
      <c r="B3768" t="s">
        <v>55</v>
      </c>
      <c r="C3768" t="s">
        <v>4027</v>
      </c>
      <c r="D3768" t="s">
        <v>4028</v>
      </c>
      <c r="E3768" t="s">
        <v>78</v>
      </c>
      <c r="F3768" t="s">
        <v>252</v>
      </c>
      <c r="G3768">
        <v>6.28</v>
      </c>
      <c r="H3768">
        <v>-75.442800000000005</v>
      </c>
      <c r="I3768" t="s">
        <v>4029</v>
      </c>
      <c r="J3768">
        <v>11</v>
      </c>
      <c r="M3768">
        <v>183</v>
      </c>
      <c r="N3768">
        <v>56</v>
      </c>
      <c r="O3768">
        <v>24</v>
      </c>
      <c r="P3768">
        <v>40</v>
      </c>
      <c r="Q3768">
        <v>26</v>
      </c>
      <c r="R3768">
        <v>38</v>
      </c>
    </row>
    <row r="3769" spans="1:18" x14ac:dyDescent="0.25">
      <c r="A3769" t="s">
        <v>4039</v>
      </c>
      <c r="B3769" t="s">
        <v>55</v>
      </c>
      <c r="C3769" t="s">
        <v>4027</v>
      </c>
      <c r="D3769" t="s">
        <v>4028</v>
      </c>
      <c r="E3769" t="s">
        <v>78</v>
      </c>
      <c r="F3769" t="s">
        <v>252</v>
      </c>
      <c r="G3769">
        <v>6.28</v>
      </c>
      <c r="H3769">
        <v>-75.442800000000005</v>
      </c>
      <c r="I3769" t="s">
        <v>4029</v>
      </c>
      <c r="J3769">
        <v>11</v>
      </c>
      <c r="M3769">
        <v>182</v>
      </c>
      <c r="N3769">
        <v>44</v>
      </c>
      <c r="O3769">
        <v>24</v>
      </c>
      <c r="P3769">
        <v>46</v>
      </c>
      <c r="Q3769">
        <v>28</v>
      </c>
      <c r="R3769">
        <v>49</v>
      </c>
    </row>
    <row r="3770" spans="1:18" x14ac:dyDescent="0.25">
      <c r="A3770" t="s">
        <v>4040</v>
      </c>
      <c r="B3770" t="s">
        <v>55</v>
      </c>
      <c r="C3770" t="s">
        <v>4027</v>
      </c>
      <c r="D3770" t="s">
        <v>4028</v>
      </c>
      <c r="E3770" t="s">
        <v>78</v>
      </c>
      <c r="F3770" t="s">
        <v>252</v>
      </c>
      <c r="G3770">
        <v>6.28</v>
      </c>
      <c r="H3770">
        <v>-75.442800000000005</v>
      </c>
      <c r="I3770" t="s">
        <v>4029</v>
      </c>
      <c r="J3770">
        <v>11</v>
      </c>
      <c r="M3770">
        <v>180</v>
      </c>
      <c r="N3770">
        <v>54</v>
      </c>
      <c r="O3770">
        <v>32</v>
      </c>
      <c r="P3770">
        <v>36</v>
      </c>
      <c r="Q3770">
        <v>24</v>
      </c>
      <c r="R3770">
        <v>31</v>
      </c>
    </row>
    <row r="3771" spans="1:18" x14ac:dyDescent="0.25">
      <c r="A3771" t="s">
        <v>4041</v>
      </c>
      <c r="B3771" t="s">
        <v>55</v>
      </c>
      <c r="C3771" t="s">
        <v>4027</v>
      </c>
      <c r="D3771" t="s">
        <v>4028</v>
      </c>
      <c r="E3771" t="s">
        <v>78</v>
      </c>
      <c r="F3771" t="s">
        <v>252</v>
      </c>
      <c r="G3771">
        <v>6.28</v>
      </c>
      <c r="H3771">
        <v>-75.442800000000005</v>
      </c>
      <c r="I3771" t="s">
        <v>4029</v>
      </c>
      <c r="J3771">
        <v>11</v>
      </c>
      <c r="M3771">
        <v>176</v>
      </c>
      <c r="N3771">
        <v>44</v>
      </c>
      <c r="O3771">
        <v>38</v>
      </c>
      <c r="P3771">
        <v>32</v>
      </c>
      <c r="Q3771">
        <v>22</v>
      </c>
      <c r="R3771">
        <v>49</v>
      </c>
    </row>
    <row r="3772" spans="1:18" x14ac:dyDescent="0.25">
      <c r="A3772" t="s">
        <v>4042</v>
      </c>
      <c r="B3772" t="s">
        <v>55</v>
      </c>
      <c r="C3772" t="s">
        <v>4027</v>
      </c>
      <c r="D3772" t="s">
        <v>4028</v>
      </c>
      <c r="E3772" t="s">
        <v>78</v>
      </c>
      <c r="F3772" t="s">
        <v>252</v>
      </c>
      <c r="G3772">
        <v>6.28</v>
      </c>
      <c r="H3772">
        <v>-75.442800000000005</v>
      </c>
      <c r="I3772" t="s">
        <v>4029</v>
      </c>
      <c r="J3772">
        <v>11</v>
      </c>
      <c r="M3772">
        <v>175</v>
      </c>
      <c r="N3772">
        <v>37</v>
      </c>
      <c r="O3772">
        <v>32</v>
      </c>
      <c r="P3772">
        <v>48</v>
      </c>
      <c r="Q3772">
        <v>22</v>
      </c>
      <c r="R3772">
        <v>38</v>
      </c>
    </row>
    <row r="3773" spans="1:18" x14ac:dyDescent="0.25">
      <c r="A3773" t="s">
        <v>4043</v>
      </c>
      <c r="B3773" t="s">
        <v>55</v>
      </c>
      <c r="C3773" t="s">
        <v>4027</v>
      </c>
      <c r="D3773" t="s">
        <v>4028</v>
      </c>
      <c r="E3773" t="s">
        <v>78</v>
      </c>
      <c r="F3773" t="s">
        <v>252</v>
      </c>
      <c r="G3773">
        <v>6.28</v>
      </c>
      <c r="H3773">
        <v>-75.442800000000005</v>
      </c>
      <c r="I3773" t="s">
        <v>4029</v>
      </c>
      <c r="J3773">
        <v>11</v>
      </c>
      <c r="M3773">
        <v>172</v>
      </c>
      <c r="N3773">
        <v>63</v>
      </c>
      <c r="O3773">
        <v>30</v>
      </c>
      <c r="P3773">
        <v>18</v>
      </c>
      <c r="Q3773">
        <v>29</v>
      </c>
      <c r="R3773">
        <v>25</v>
      </c>
    </row>
    <row r="3774" spans="1:18" x14ac:dyDescent="0.25">
      <c r="A3774" t="s">
        <v>4044</v>
      </c>
      <c r="B3774" t="s">
        <v>55</v>
      </c>
      <c r="C3774" t="s">
        <v>4027</v>
      </c>
      <c r="D3774" t="s">
        <v>4028</v>
      </c>
      <c r="E3774" t="s">
        <v>78</v>
      </c>
      <c r="F3774" t="s">
        <v>252</v>
      </c>
      <c r="G3774">
        <v>6.28</v>
      </c>
      <c r="H3774">
        <v>-75.442800000000005</v>
      </c>
      <c r="I3774" t="s">
        <v>4029</v>
      </c>
      <c r="J3774">
        <v>11</v>
      </c>
      <c r="M3774">
        <v>170</v>
      </c>
      <c r="N3774">
        <v>39</v>
      </c>
      <c r="O3774">
        <v>22</v>
      </c>
      <c r="P3774">
        <v>30</v>
      </c>
      <c r="Q3774">
        <v>36</v>
      </c>
      <c r="R3774">
        <v>60</v>
      </c>
    </row>
    <row r="3775" spans="1:18" x14ac:dyDescent="0.25">
      <c r="A3775" t="s">
        <v>4045</v>
      </c>
      <c r="B3775" t="s">
        <v>55</v>
      </c>
      <c r="C3775" t="s">
        <v>4027</v>
      </c>
      <c r="D3775" t="s">
        <v>4028</v>
      </c>
      <c r="E3775" t="s">
        <v>78</v>
      </c>
      <c r="F3775" t="s">
        <v>252</v>
      </c>
      <c r="G3775">
        <v>6.28</v>
      </c>
      <c r="H3775">
        <v>-75.442800000000005</v>
      </c>
      <c r="I3775" t="s">
        <v>4029</v>
      </c>
      <c r="J3775">
        <v>11</v>
      </c>
      <c r="M3775">
        <v>164</v>
      </c>
      <c r="N3775">
        <v>46</v>
      </c>
      <c r="O3775">
        <v>30</v>
      </c>
      <c r="P3775">
        <v>28</v>
      </c>
      <c r="Q3775">
        <v>24</v>
      </c>
      <c r="R3775">
        <v>42</v>
      </c>
    </row>
    <row r="3776" spans="1:18" x14ac:dyDescent="0.25">
      <c r="A3776" t="s">
        <v>4046</v>
      </c>
      <c r="B3776" t="s">
        <v>55</v>
      </c>
      <c r="C3776" t="s">
        <v>4027</v>
      </c>
      <c r="D3776" t="s">
        <v>4028</v>
      </c>
      <c r="E3776" t="s">
        <v>78</v>
      </c>
      <c r="F3776" t="s">
        <v>252</v>
      </c>
      <c r="G3776">
        <v>6.28</v>
      </c>
      <c r="H3776">
        <v>-75.442800000000005</v>
      </c>
      <c r="I3776" t="s">
        <v>4029</v>
      </c>
      <c r="J3776">
        <v>11</v>
      </c>
      <c r="M3776">
        <v>164</v>
      </c>
      <c r="N3776">
        <v>29</v>
      </c>
      <c r="O3776">
        <v>26</v>
      </c>
      <c r="P3776">
        <v>26</v>
      </c>
      <c r="Q3776">
        <v>36</v>
      </c>
      <c r="R3776">
        <v>73</v>
      </c>
    </row>
    <row r="3777" spans="1:18" x14ac:dyDescent="0.25">
      <c r="A3777" t="s">
        <v>4047</v>
      </c>
      <c r="B3777" t="s">
        <v>55</v>
      </c>
      <c r="C3777" t="s">
        <v>4027</v>
      </c>
      <c r="D3777" t="s">
        <v>4028</v>
      </c>
      <c r="E3777" t="s">
        <v>78</v>
      </c>
      <c r="F3777" t="s">
        <v>252</v>
      </c>
      <c r="G3777">
        <v>6.28</v>
      </c>
      <c r="H3777">
        <v>-75.442800000000005</v>
      </c>
      <c r="I3777" t="s">
        <v>4029</v>
      </c>
      <c r="J3777">
        <v>11</v>
      </c>
      <c r="M3777">
        <v>163</v>
      </c>
      <c r="N3777">
        <v>29</v>
      </c>
      <c r="O3777">
        <v>26</v>
      </c>
      <c r="P3777">
        <v>36</v>
      </c>
      <c r="Q3777">
        <v>34</v>
      </c>
      <c r="R3777">
        <v>47</v>
      </c>
    </row>
    <row r="3778" spans="1:18" x14ac:dyDescent="0.25">
      <c r="A3778" t="s">
        <v>4048</v>
      </c>
      <c r="B3778" t="s">
        <v>55</v>
      </c>
      <c r="C3778" t="s">
        <v>4027</v>
      </c>
      <c r="D3778" t="s">
        <v>4028</v>
      </c>
      <c r="E3778" t="s">
        <v>78</v>
      </c>
      <c r="F3778" t="s">
        <v>252</v>
      </c>
      <c r="G3778">
        <v>6.28</v>
      </c>
      <c r="H3778">
        <v>-75.442800000000005</v>
      </c>
      <c r="I3778" t="s">
        <v>4029</v>
      </c>
      <c r="J3778">
        <v>11</v>
      </c>
      <c r="M3778">
        <v>162</v>
      </c>
      <c r="N3778">
        <v>37</v>
      </c>
      <c r="O3778">
        <v>32</v>
      </c>
      <c r="P3778">
        <v>34</v>
      </c>
      <c r="Q3778">
        <v>26</v>
      </c>
      <c r="R3778">
        <v>36</v>
      </c>
    </row>
    <row r="3779" spans="1:18" x14ac:dyDescent="0.25">
      <c r="A3779" t="s">
        <v>4049</v>
      </c>
      <c r="B3779" t="s">
        <v>55</v>
      </c>
      <c r="C3779" t="s">
        <v>4027</v>
      </c>
      <c r="D3779" t="s">
        <v>4028</v>
      </c>
      <c r="E3779" t="s">
        <v>78</v>
      </c>
      <c r="F3779" t="s">
        <v>252</v>
      </c>
      <c r="G3779">
        <v>6.28</v>
      </c>
      <c r="H3779">
        <v>-75.442800000000005</v>
      </c>
      <c r="I3779" t="s">
        <v>4029</v>
      </c>
      <c r="J3779">
        <v>11</v>
      </c>
      <c r="M3779">
        <v>162</v>
      </c>
      <c r="N3779">
        <v>44</v>
      </c>
      <c r="O3779">
        <v>28</v>
      </c>
      <c r="P3779">
        <v>32</v>
      </c>
      <c r="Q3779">
        <v>22</v>
      </c>
      <c r="R3779">
        <v>42</v>
      </c>
    </row>
    <row r="3780" spans="1:18" x14ac:dyDescent="0.25">
      <c r="A3780" t="s">
        <v>4050</v>
      </c>
      <c r="B3780" t="s">
        <v>55</v>
      </c>
      <c r="C3780" t="s">
        <v>4027</v>
      </c>
      <c r="D3780" t="s">
        <v>4028</v>
      </c>
      <c r="E3780" t="s">
        <v>78</v>
      </c>
      <c r="F3780" t="s">
        <v>252</v>
      </c>
      <c r="G3780">
        <v>6.28</v>
      </c>
      <c r="H3780">
        <v>-75.442800000000005</v>
      </c>
      <c r="I3780" t="s">
        <v>4029</v>
      </c>
      <c r="J3780">
        <v>11</v>
      </c>
      <c r="M3780">
        <v>160</v>
      </c>
      <c r="N3780">
        <v>39</v>
      </c>
      <c r="O3780">
        <v>26</v>
      </c>
      <c r="P3780">
        <v>32</v>
      </c>
      <c r="Q3780">
        <v>33</v>
      </c>
      <c r="R3780">
        <v>25</v>
      </c>
    </row>
    <row r="3781" spans="1:18" x14ac:dyDescent="0.25">
      <c r="A3781" t="s">
        <v>4051</v>
      </c>
      <c r="B3781" t="s">
        <v>55</v>
      </c>
      <c r="C3781" t="s">
        <v>4027</v>
      </c>
      <c r="D3781" t="s">
        <v>4028</v>
      </c>
      <c r="E3781" t="s">
        <v>78</v>
      </c>
      <c r="F3781" t="s">
        <v>252</v>
      </c>
      <c r="G3781">
        <v>6.28</v>
      </c>
      <c r="H3781">
        <v>-75.442800000000005</v>
      </c>
      <c r="I3781" t="s">
        <v>4029</v>
      </c>
      <c r="J3781">
        <v>11</v>
      </c>
      <c r="M3781">
        <v>159</v>
      </c>
      <c r="N3781">
        <v>41</v>
      </c>
      <c r="O3781">
        <v>36</v>
      </c>
      <c r="P3781">
        <v>22</v>
      </c>
      <c r="Q3781">
        <v>31</v>
      </c>
      <c r="R3781">
        <v>22</v>
      </c>
    </row>
    <row r="3782" spans="1:18" x14ac:dyDescent="0.25">
      <c r="A3782" t="s">
        <v>4052</v>
      </c>
      <c r="B3782" t="s">
        <v>55</v>
      </c>
      <c r="C3782" t="s">
        <v>4027</v>
      </c>
      <c r="D3782" t="s">
        <v>4028</v>
      </c>
      <c r="E3782" t="s">
        <v>78</v>
      </c>
      <c r="F3782" t="s">
        <v>252</v>
      </c>
      <c r="G3782">
        <v>6.28</v>
      </c>
      <c r="H3782">
        <v>-75.442800000000005</v>
      </c>
      <c r="I3782" t="s">
        <v>4029</v>
      </c>
      <c r="J3782">
        <v>11</v>
      </c>
      <c r="M3782">
        <v>155</v>
      </c>
      <c r="N3782">
        <v>37</v>
      </c>
      <c r="O3782">
        <v>26</v>
      </c>
      <c r="P3782">
        <v>30</v>
      </c>
      <c r="Q3782">
        <v>28</v>
      </c>
      <c r="R3782">
        <v>44</v>
      </c>
    </row>
    <row r="3783" spans="1:18" x14ac:dyDescent="0.25">
      <c r="A3783" t="s">
        <v>4053</v>
      </c>
      <c r="B3783" t="s">
        <v>55</v>
      </c>
      <c r="C3783" t="s">
        <v>4027</v>
      </c>
      <c r="D3783" t="s">
        <v>4028</v>
      </c>
      <c r="E3783" t="s">
        <v>78</v>
      </c>
      <c r="F3783" t="s">
        <v>252</v>
      </c>
      <c r="G3783">
        <v>6.28</v>
      </c>
      <c r="H3783">
        <v>-75.442800000000005</v>
      </c>
      <c r="I3783" t="s">
        <v>4029</v>
      </c>
      <c r="J3783">
        <v>11</v>
      </c>
      <c r="M3783">
        <v>150</v>
      </c>
      <c r="N3783">
        <v>41</v>
      </c>
      <c r="O3783">
        <v>32</v>
      </c>
      <c r="P3783">
        <v>22</v>
      </c>
      <c r="Q3783">
        <v>28</v>
      </c>
      <c r="R3783">
        <v>22</v>
      </c>
    </row>
    <row r="3784" spans="1:18" x14ac:dyDescent="0.25">
      <c r="A3784" t="s">
        <v>4054</v>
      </c>
      <c r="B3784" t="s">
        <v>55</v>
      </c>
      <c r="C3784" t="s">
        <v>4027</v>
      </c>
      <c r="D3784" t="s">
        <v>4028</v>
      </c>
      <c r="E3784" t="s">
        <v>78</v>
      </c>
      <c r="F3784" t="s">
        <v>252</v>
      </c>
      <c r="G3784">
        <v>6.28</v>
      </c>
      <c r="H3784">
        <v>-75.442800000000005</v>
      </c>
      <c r="I3784" t="s">
        <v>4029</v>
      </c>
      <c r="J3784">
        <v>11</v>
      </c>
      <c r="M3784">
        <v>150</v>
      </c>
      <c r="N3784">
        <v>39</v>
      </c>
      <c r="O3784">
        <v>26</v>
      </c>
      <c r="P3784">
        <v>34</v>
      </c>
      <c r="Q3784">
        <v>22</v>
      </c>
      <c r="R3784">
        <v>25</v>
      </c>
    </row>
    <row r="3785" spans="1:18" x14ac:dyDescent="0.25">
      <c r="A3785" t="s">
        <v>4055</v>
      </c>
      <c r="B3785" t="s">
        <v>55</v>
      </c>
      <c r="C3785" t="s">
        <v>4027</v>
      </c>
      <c r="D3785" t="s">
        <v>4028</v>
      </c>
      <c r="E3785" t="s">
        <v>78</v>
      </c>
      <c r="F3785" t="s">
        <v>252</v>
      </c>
      <c r="G3785">
        <v>6.28</v>
      </c>
      <c r="H3785">
        <v>-75.442800000000005</v>
      </c>
      <c r="I3785" t="s">
        <v>4029</v>
      </c>
      <c r="J3785">
        <v>11</v>
      </c>
      <c r="M3785">
        <v>149</v>
      </c>
      <c r="N3785">
        <v>37</v>
      </c>
      <c r="O3785">
        <v>22</v>
      </c>
      <c r="P3785">
        <v>38</v>
      </c>
      <c r="Q3785">
        <v>21</v>
      </c>
      <c r="R3785">
        <v>35</v>
      </c>
    </row>
    <row r="3786" spans="1:18" x14ac:dyDescent="0.25">
      <c r="A3786" t="s">
        <v>4056</v>
      </c>
      <c r="B3786" t="s">
        <v>55</v>
      </c>
      <c r="C3786" t="s">
        <v>4027</v>
      </c>
      <c r="D3786" t="s">
        <v>4028</v>
      </c>
      <c r="E3786" t="s">
        <v>78</v>
      </c>
      <c r="F3786" t="s">
        <v>252</v>
      </c>
      <c r="G3786">
        <v>6.28</v>
      </c>
      <c r="H3786">
        <v>-75.442800000000005</v>
      </c>
      <c r="I3786" t="s">
        <v>4029</v>
      </c>
      <c r="J3786">
        <v>11</v>
      </c>
      <c r="M3786">
        <v>146</v>
      </c>
      <c r="N3786">
        <v>37</v>
      </c>
      <c r="O3786">
        <v>26</v>
      </c>
      <c r="P3786">
        <v>28</v>
      </c>
      <c r="Q3786">
        <v>26</v>
      </c>
      <c r="R3786">
        <v>31</v>
      </c>
    </row>
    <row r="3787" spans="1:18" x14ac:dyDescent="0.25">
      <c r="A3787" t="s">
        <v>4057</v>
      </c>
      <c r="B3787" t="s">
        <v>55</v>
      </c>
      <c r="C3787" t="s">
        <v>4027</v>
      </c>
      <c r="D3787" t="s">
        <v>4028</v>
      </c>
      <c r="E3787" t="s">
        <v>78</v>
      </c>
      <c r="F3787" t="s">
        <v>252</v>
      </c>
      <c r="G3787">
        <v>6.28</v>
      </c>
      <c r="H3787">
        <v>-75.442800000000005</v>
      </c>
      <c r="I3787" t="s">
        <v>4029</v>
      </c>
      <c r="J3787">
        <v>11</v>
      </c>
      <c r="M3787">
        <v>141</v>
      </c>
      <c r="N3787">
        <v>37</v>
      </c>
      <c r="O3787">
        <v>26</v>
      </c>
      <c r="P3787">
        <v>32</v>
      </c>
      <c r="Q3787">
        <v>16</v>
      </c>
      <c r="R3787">
        <v>36</v>
      </c>
    </row>
    <row r="3788" spans="1:18" x14ac:dyDescent="0.25">
      <c r="A3788" t="s">
        <v>4058</v>
      </c>
      <c r="B3788" t="s">
        <v>55</v>
      </c>
      <c r="C3788" t="s">
        <v>4027</v>
      </c>
      <c r="D3788" t="s">
        <v>4028</v>
      </c>
      <c r="E3788" t="s">
        <v>78</v>
      </c>
      <c r="F3788" t="s">
        <v>252</v>
      </c>
      <c r="G3788">
        <v>6.28</v>
      </c>
      <c r="H3788">
        <v>-75.442800000000005</v>
      </c>
      <c r="I3788" t="s">
        <v>4029</v>
      </c>
      <c r="J3788">
        <v>11</v>
      </c>
      <c r="M3788">
        <v>139</v>
      </c>
      <c r="N3788">
        <v>24</v>
      </c>
      <c r="O3788">
        <v>28</v>
      </c>
      <c r="P3788">
        <v>24</v>
      </c>
      <c r="Q3788">
        <v>29</v>
      </c>
      <c r="R3788">
        <v>44</v>
      </c>
    </row>
    <row r="3789" spans="1:18" x14ac:dyDescent="0.25">
      <c r="A3789" t="s">
        <v>4059</v>
      </c>
      <c r="B3789" t="s">
        <v>55</v>
      </c>
      <c r="C3789" t="s">
        <v>4027</v>
      </c>
      <c r="D3789" t="s">
        <v>4028</v>
      </c>
      <c r="E3789" t="s">
        <v>78</v>
      </c>
      <c r="F3789" t="s">
        <v>252</v>
      </c>
      <c r="G3789">
        <v>6.28</v>
      </c>
      <c r="H3789">
        <v>-75.442800000000005</v>
      </c>
      <c r="I3789" t="s">
        <v>4029</v>
      </c>
      <c r="J3789">
        <v>11</v>
      </c>
      <c r="M3789">
        <v>127</v>
      </c>
      <c r="N3789">
        <v>34</v>
      </c>
      <c r="O3789">
        <v>18</v>
      </c>
      <c r="P3789">
        <v>20</v>
      </c>
      <c r="Q3789">
        <v>31</v>
      </c>
      <c r="R3789">
        <v>22</v>
      </c>
    </row>
    <row r="3790" spans="1:18" x14ac:dyDescent="0.25">
      <c r="A3790" t="s">
        <v>4060</v>
      </c>
      <c r="B3790" t="s">
        <v>55</v>
      </c>
      <c r="C3790" t="s">
        <v>4027</v>
      </c>
      <c r="D3790" t="s">
        <v>4028</v>
      </c>
      <c r="E3790" t="s">
        <v>78</v>
      </c>
      <c r="F3790" t="s">
        <v>252</v>
      </c>
      <c r="G3790">
        <v>6.28</v>
      </c>
      <c r="H3790">
        <v>-75.442800000000005</v>
      </c>
      <c r="I3790" t="s">
        <v>4029</v>
      </c>
      <c r="J3790">
        <v>11</v>
      </c>
      <c r="M3790">
        <v>120</v>
      </c>
      <c r="N3790">
        <v>34</v>
      </c>
      <c r="O3790">
        <v>26</v>
      </c>
      <c r="P3790">
        <v>16</v>
      </c>
      <c r="Q3790">
        <v>19</v>
      </c>
      <c r="R3790">
        <v>27</v>
      </c>
    </row>
    <row r="3791" spans="1:18" x14ac:dyDescent="0.25">
      <c r="A3791" t="s">
        <v>4061</v>
      </c>
      <c r="B3791" t="s">
        <v>55</v>
      </c>
      <c r="C3791" t="s">
        <v>4027</v>
      </c>
      <c r="D3791" t="s">
        <v>4028</v>
      </c>
      <c r="E3791" t="s">
        <v>78</v>
      </c>
      <c r="F3791" t="s">
        <v>252</v>
      </c>
      <c r="G3791">
        <v>6.28</v>
      </c>
      <c r="H3791">
        <v>-75.442800000000005</v>
      </c>
      <c r="I3791" t="s">
        <v>4029</v>
      </c>
      <c r="J3791">
        <v>11</v>
      </c>
      <c r="M3791">
        <v>93</v>
      </c>
      <c r="N3791">
        <v>24</v>
      </c>
      <c r="O3791">
        <v>22</v>
      </c>
      <c r="P3791">
        <v>14</v>
      </c>
      <c r="Q3791">
        <v>10</v>
      </c>
      <c r="R3791">
        <v>29</v>
      </c>
    </row>
    <row r="3792" spans="1:18" x14ac:dyDescent="0.25">
      <c r="A3792" t="s">
        <v>4062</v>
      </c>
      <c r="B3792" t="s">
        <v>55</v>
      </c>
      <c r="C3792" t="s">
        <v>4063</v>
      </c>
      <c r="D3792" t="s">
        <v>4064</v>
      </c>
      <c r="E3792" t="s">
        <v>78</v>
      </c>
      <c r="F3792" t="s">
        <v>252</v>
      </c>
      <c r="G3792">
        <v>6.3150000000000004</v>
      </c>
      <c r="H3792">
        <v>-76.133600000000001</v>
      </c>
      <c r="I3792" t="s">
        <v>4065</v>
      </c>
      <c r="J3792">
        <v>11</v>
      </c>
      <c r="M3792">
        <v>278</v>
      </c>
      <c r="N3792">
        <v>76</v>
      </c>
      <c r="O3792">
        <v>42</v>
      </c>
      <c r="P3792">
        <v>52</v>
      </c>
      <c r="Q3792">
        <v>47</v>
      </c>
      <c r="R3792">
        <v>75</v>
      </c>
    </row>
    <row r="3793" spans="1:18" x14ac:dyDescent="0.25">
      <c r="A3793" t="s">
        <v>4066</v>
      </c>
      <c r="B3793" t="s">
        <v>55</v>
      </c>
      <c r="C3793" t="s">
        <v>4063</v>
      </c>
      <c r="D3793" t="s">
        <v>4064</v>
      </c>
      <c r="E3793" t="s">
        <v>78</v>
      </c>
      <c r="F3793" t="s">
        <v>252</v>
      </c>
      <c r="G3793">
        <v>6.3150000000000004</v>
      </c>
      <c r="H3793">
        <v>-76.133600000000001</v>
      </c>
      <c r="I3793" t="s">
        <v>4065</v>
      </c>
      <c r="J3793">
        <v>11</v>
      </c>
      <c r="M3793">
        <v>278</v>
      </c>
      <c r="N3793">
        <v>63</v>
      </c>
      <c r="O3793">
        <v>54</v>
      </c>
      <c r="P3793">
        <v>64</v>
      </c>
      <c r="Q3793">
        <v>33</v>
      </c>
      <c r="R3793">
        <v>80</v>
      </c>
    </row>
    <row r="3794" spans="1:18" x14ac:dyDescent="0.25">
      <c r="A3794" t="s">
        <v>4067</v>
      </c>
      <c r="B3794" t="s">
        <v>55</v>
      </c>
      <c r="C3794" t="s">
        <v>4063</v>
      </c>
      <c r="D3794" t="s">
        <v>4064</v>
      </c>
      <c r="E3794" t="s">
        <v>78</v>
      </c>
      <c r="F3794" t="s">
        <v>252</v>
      </c>
      <c r="G3794">
        <v>6.3150000000000004</v>
      </c>
      <c r="H3794">
        <v>-76.133600000000001</v>
      </c>
      <c r="I3794" t="s">
        <v>4065</v>
      </c>
      <c r="J3794">
        <v>11</v>
      </c>
      <c r="M3794">
        <v>271</v>
      </c>
      <c r="N3794">
        <v>76</v>
      </c>
      <c r="O3794">
        <v>28</v>
      </c>
      <c r="P3794">
        <v>62</v>
      </c>
      <c r="Q3794">
        <v>48</v>
      </c>
      <c r="R3794">
        <v>64</v>
      </c>
    </row>
    <row r="3795" spans="1:18" x14ac:dyDescent="0.25">
      <c r="A3795" t="s">
        <v>4068</v>
      </c>
      <c r="B3795" t="s">
        <v>55</v>
      </c>
      <c r="C3795" t="s">
        <v>4063</v>
      </c>
      <c r="D3795" t="s">
        <v>4064</v>
      </c>
      <c r="E3795" t="s">
        <v>78</v>
      </c>
      <c r="F3795" t="s">
        <v>252</v>
      </c>
      <c r="G3795">
        <v>6.3150000000000004</v>
      </c>
      <c r="H3795">
        <v>-76.133600000000001</v>
      </c>
      <c r="I3795" t="s">
        <v>4065</v>
      </c>
      <c r="J3795">
        <v>11</v>
      </c>
      <c r="M3795">
        <v>268</v>
      </c>
      <c r="N3795">
        <v>63</v>
      </c>
      <c r="O3795">
        <v>36</v>
      </c>
      <c r="P3795">
        <v>66</v>
      </c>
      <c r="Q3795">
        <v>34</v>
      </c>
      <c r="R3795">
        <v>96</v>
      </c>
    </row>
    <row r="3796" spans="1:18" x14ac:dyDescent="0.25">
      <c r="A3796" t="s">
        <v>4069</v>
      </c>
      <c r="B3796" t="s">
        <v>55</v>
      </c>
      <c r="C3796" t="s">
        <v>4063</v>
      </c>
      <c r="D3796" t="s">
        <v>4064</v>
      </c>
      <c r="E3796" t="s">
        <v>78</v>
      </c>
      <c r="F3796" t="s">
        <v>252</v>
      </c>
      <c r="G3796">
        <v>6.3150000000000004</v>
      </c>
      <c r="H3796">
        <v>-76.133600000000001</v>
      </c>
      <c r="I3796" t="s">
        <v>4065</v>
      </c>
      <c r="J3796">
        <v>11</v>
      </c>
      <c r="M3796">
        <v>232</v>
      </c>
      <c r="N3796">
        <v>49</v>
      </c>
      <c r="O3796">
        <v>50</v>
      </c>
      <c r="P3796">
        <v>42</v>
      </c>
      <c r="Q3796">
        <v>36</v>
      </c>
      <c r="R3796">
        <v>73</v>
      </c>
    </row>
    <row r="3797" spans="1:18" x14ac:dyDescent="0.25">
      <c r="A3797" t="s">
        <v>4070</v>
      </c>
      <c r="B3797" t="s">
        <v>55</v>
      </c>
      <c r="C3797" t="s">
        <v>4063</v>
      </c>
      <c r="D3797" t="s">
        <v>4064</v>
      </c>
      <c r="E3797" t="s">
        <v>78</v>
      </c>
      <c r="F3797" t="s">
        <v>252</v>
      </c>
      <c r="G3797">
        <v>6.3150000000000004</v>
      </c>
      <c r="H3797">
        <v>-76.133600000000001</v>
      </c>
      <c r="I3797" t="s">
        <v>4065</v>
      </c>
      <c r="J3797">
        <v>11</v>
      </c>
      <c r="M3797">
        <v>230</v>
      </c>
      <c r="N3797">
        <v>56</v>
      </c>
      <c r="O3797">
        <v>30</v>
      </c>
      <c r="P3797">
        <v>60</v>
      </c>
      <c r="Q3797">
        <v>31</v>
      </c>
      <c r="R3797">
        <v>65</v>
      </c>
    </row>
    <row r="3798" spans="1:18" x14ac:dyDescent="0.25">
      <c r="A3798" t="s">
        <v>4071</v>
      </c>
      <c r="B3798" t="s">
        <v>55</v>
      </c>
      <c r="C3798" t="s">
        <v>4063</v>
      </c>
      <c r="D3798" t="s">
        <v>4064</v>
      </c>
      <c r="E3798" t="s">
        <v>78</v>
      </c>
      <c r="F3798" t="s">
        <v>252</v>
      </c>
      <c r="G3798">
        <v>6.3150000000000004</v>
      </c>
      <c r="H3798">
        <v>-76.133600000000001</v>
      </c>
      <c r="I3798" t="s">
        <v>4065</v>
      </c>
      <c r="J3798">
        <v>11</v>
      </c>
      <c r="M3798">
        <v>220</v>
      </c>
      <c r="N3798">
        <v>61</v>
      </c>
      <c r="O3798">
        <v>34</v>
      </c>
      <c r="P3798">
        <v>48</v>
      </c>
      <c r="Q3798">
        <v>26</v>
      </c>
      <c r="R3798">
        <v>65</v>
      </c>
    </row>
    <row r="3799" spans="1:18" x14ac:dyDescent="0.25">
      <c r="A3799" t="s">
        <v>4072</v>
      </c>
      <c r="B3799" t="s">
        <v>55</v>
      </c>
      <c r="C3799" t="s">
        <v>4063</v>
      </c>
      <c r="D3799" t="s">
        <v>4064</v>
      </c>
      <c r="E3799" t="s">
        <v>78</v>
      </c>
      <c r="F3799" t="s">
        <v>252</v>
      </c>
      <c r="G3799">
        <v>6.3150000000000004</v>
      </c>
      <c r="H3799">
        <v>-76.133600000000001</v>
      </c>
      <c r="I3799" t="s">
        <v>4065</v>
      </c>
      <c r="J3799">
        <v>11</v>
      </c>
      <c r="M3799">
        <v>216</v>
      </c>
      <c r="N3799">
        <v>44</v>
      </c>
      <c r="O3799">
        <v>52</v>
      </c>
      <c r="P3799">
        <v>40</v>
      </c>
      <c r="Q3799">
        <v>26</v>
      </c>
      <c r="R3799">
        <v>76</v>
      </c>
    </row>
    <row r="3800" spans="1:18" x14ac:dyDescent="0.25">
      <c r="A3800" t="s">
        <v>4073</v>
      </c>
      <c r="B3800" t="s">
        <v>55</v>
      </c>
      <c r="C3800" t="s">
        <v>4063</v>
      </c>
      <c r="D3800" t="s">
        <v>4064</v>
      </c>
      <c r="E3800" t="s">
        <v>78</v>
      </c>
      <c r="F3800" t="s">
        <v>252</v>
      </c>
      <c r="G3800">
        <v>6.3150000000000004</v>
      </c>
      <c r="H3800">
        <v>-76.133600000000001</v>
      </c>
      <c r="I3800" t="s">
        <v>4065</v>
      </c>
      <c r="J3800">
        <v>11</v>
      </c>
      <c r="M3800">
        <v>214</v>
      </c>
      <c r="N3800">
        <v>54</v>
      </c>
      <c r="O3800">
        <v>36</v>
      </c>
      <c r="P3800">
        <v>48</v>
      </c>
      <c r="Q3800">
        <v>33</v>
      </c>
      <c r="R3800">
        <v>45</v>
      </c>
    </row>
    <row r="3801" spans="1:18" x14ac:dyDescent="0.25">
      <c r="A3801" t="s">
        <v>4074</v>
      </c>
      <c r="B3801" t="s">
        <v>55</v>
      </c>
      <c r="C3801" t="s">
        <v>4063</v>
      </c>
      <c r="D3801" t="s">
        <v>4064</v>
      </c>
      <c r="E3801" t="s">
        <v>78</v>
      </c>
      <c r="F3801" t="s">
        <v>252</v>
      </c>
      <c r="G3801">
        <v>6.3150000000000004</v>
      </c>
      <c r="H3801">
        <v>-76.133600000000001</v>
      </c>
      <c r="I3801" t="s">
        <v>4065</v>
      </c>
      <c r="J3801">
        <v>11</v>
      </c>
      <c r="M3801">
        <v>210</v>
      </c>
      <c r="N3801">
        <v>66</v>
      </c>
      <c r="O3801">
        <v>22</v>
      </c>
      <c r="P3801">
        <v>54</v>
      </c>
      <c r="Q3801">
        <v>26</v>
      </c>
      <c r="R3801">
        <v>44</v>
      </c>
    </row>
    <row r="3802" spans="1:18" x14ac:dyDescent="0.25">
      <c r="A3802" t="s">
        <v>4075</v>
      </c>
      <c r="B3802" t="s">
        <v>55</v>
      </c>
      <c r="C3802" t="s">
        <v>4063</v>
      </c>
      <c r="D3802" t="s">
        <v>4064</v>
      </c>
      <c r="E3802" t="s">
        <v>78</v>
      </c>
      <c r="F3802" t="s">
        <v>252</v>
      </c>
      <c r="G3802">
        <v>6.3150000000000004</v>
      </c>
      <c r="H3802">
        <v>-76.133600000000001</v>
      </c>
      <c r="I3802" t="s">
        <v>4065</v>
      </c>
      <c r="J3802">
        <v>11</v>
      </c>
      <c r="M3802">
        <v>209</v>
      </c>
      <c r="N3802">
        <v>44</v>
      </c>
      <c r="O3802">
        <v>34</v>
      </c>
      <c r="P3802">
        <v>54</v>
      </c>
      <c r="Q3802">
        <v>34</v>
      </c>
      <c r="R3802">
        <v>45</v>
      </c>
    </row>
    <row r="3803" spans="1:18" x14ac:dyDescent="0.25">
      <c r="A3803" t="s">
        <v>4076</v>
      </c>
      <c r="B3803" t="s">
        <v>55</v>
      </c>
      <c r="C3803" t="s">
        <v>4063</v>
      </c>
      <c r="D3803" t="s">
        <v>4064</v>
      </c>
      <c r="E3803" t="s">
        <v>78</v>
      </c>
      <c r="F3803" t="s">
        <v>252</v>
      </c>
      <c r="G3803">
        <v>6.3150000000000004</v>
      </c>
      <c r="H3803">
        <v>-76.133600000000001</v>
      </c>
      <c r="I3803" t="s">
        <v>4065</v>
      </c>
      <c r="J3803">
        <v>11</v>
      </c>
      <c r="M3803">
        <v>207</v>
      </c>
      <c r="N3803">
        <v>51</v>
      </c>
      <c r="O3803">
        <v>30</v>
      </c>
      <c r="P3803">
        <v>54</v>
      </c>
      <c r="Q3803">
        <v>29</v>
      </c>
      <c r="R3803">
        <v>44</v>
      </c>
    </row>
    <row r="3804" spans="1:18" x14ac:dyDescent="0.25">
      <c r="A3804" t="s">
        <v>4077</v>
      </c>
      <c r="B3804" t="s">
        <v>55</v>
      </c>
      <c r="C3804" t="s">
        <v>4063</v>
      </c>
      <c r="D3804" t="s">
        <v>4064</v>
      </c>
      <c r="E3804" t="s">
        <v>78</v>
      </c>
      <c r="F3804" t="s">
        <v>252</v>
      </c>
      <c r="G3804">
        <v>6.3150000000000004</v>
      </c>
      <c r="H3804">
        <v>-76.133600000000001</v>
      </c>
      <c r="I3804" t="s">
        <v>4065</v>
      </c>
      <c r="J3804">
        <v>11</v>
      </c>
      <c r="M3804">
        <v>206</v>
      </c>
      <c r="N3804">
        <v>56</v>
      </c>
      <c r="O3804">
        <v>18</v>
      </c>
      <c r="P3804">
        <v>54</v>
      </c>
      <c r="Q3804">
        <v>33</v>
      </c>
      <c r="R3804">
        <v>53</v>
      </c>
    </row>
    <row r="3805" spans="1:18" x14ac:dyDescent="0.25">
      <c r="A3805" t="s">
        <v>4078</v>
      </c>
      <c r="B3805" t="s">
        <v>55</v>
      </c>
      <c r="C3805" t="s">
        <v>4063</v>
      </c>
      <c r="D3805" t="s">
        <v>4064</v>
      </c>
      <c r="E3805" t="s">
        <v>78</v>
      </c>
      <c r="F3805" t="s">
        <v>252</v>
      </c>
      <c r="G3805">
        <v>6.3150000000000004</v>
      </c>
      <c r="H3805">
        <v>-76.133600000000001</v>
      </c>
      <c r="I3805" t="s">
        <v>4065</v>
      </c>
      <c r="J3805">
        <v>11</v>
      </c>
      <c r="M3805">
        <v>204</v>
      </c>
      <c r="N3805">
        <v>56</v>
      </c>
      <c r="O3805">
        <v>14</v>
      </c>
      <c r="P3805">
        <v>54</v>
      </c>
      <c r="Q3805">
        <v>33</v>
      </c>
      <c r="R3805">
        <v>60</v>
      </c>
    </row>
    <row r="3806" spans="1:18" x14ac:dyDescent="0.25">
      <c r="A3806" t="s">
        <v>4079</v>
      </c>
      <c r="B3806" t="s">
        <v>55</v>
      </c>
      <c r="C3806" t="s">
        <v>4063</v>
      </c>
      <c r="D3806" t="s">
        <v>4064</v>
      </c>
      <c r="E3806" t="s">
        <v>78</v>
      </c>
      <c r="F3806" t="s">
        <v>252</v>
      </c>
      <c r="G3806">
        <v>6.3150000000000004</v>
      </c>
      <c r="H3806">
        <v>-76.133600000000001</v>
      </c>
      <c r="I3806" t="s">
        <v>4065</v>
      </c>
      <c r="J3806">
        <v>11</v>
      </c>
      <c r="M3806">
        <v>202</v>
      </c>
      <c r="N3806">
        <v>49</v>
      </c>
      <c r="O3806">
        <v>30</v>
      </c>
      <c r="P3806">
        <v>50</v>
      </c>
      <c r="Q3806">
        <v>29</v>
      </c>
      <c r="R3806">
        <v>51</v>
      </c>
    </row>
    <row r="3807" spans="1:18" x14ac:dyDescent="0.25">
      <c r="A3807" t="s">
        <v>4080</v>
      </c>
      <c r="B3807" t="s">
        <v>55</v>
      </c>
      <c r="C3807" t="s">
        <v>4063</v>
      </c>
      <c r="D3807" t="s">
        <v>4064</v>
      </c>
      <c r="E3807" t="s">
        <v>78</v>
      </c>
      <c r="F3807" t="s">
        <v>252</v>
      </c>
      <c r="G3807">
        <v>6.3150000000000004</v>
      </c>
      <c r="H3807">
        <v>-76.133600000000001</v>
      </c>
      <c r="I3807" t="s">
        <v>4065</v>
      </c>
      <c r="J3807">
        <v>11</v>
      </c>
      <c r="M3807">
        <v>199</v>
      </c>
      <c r="N3807">
        <v>51</v>
      </c>
      <c r="O3807">
        <v>32</v>
      </c>
      <c r="P3807">
        <v>48</v>
      </c>
      <c r="Q3807">
        <v>26</v>
      </c>
      <c r="R3807">
        <v>45</v>
      </c>
    </row>
    <row r="3808" spans="1:18" x14ac:dyDescent="0.25">
      <c r="A3808" t="s">
        <v>4081</v>
      </c>
      <c r="B3808" t="s">
        <v>55</v>
      </c>
      <c r="C3808" t="s">
        <v>4063</v>
      </c>
      <c r="D3808" t="s">
        <v>4064</v>
      </c>
      <c r="E3808" t="s">
        <v>78</v>
      </c>
      <c r="F3808" t="s">
        <v>252</v>
      </c>
      <c r="G3808">
        <v>6.3150000000000004</v>
      </c>
      <c r="H3808">
        <v>-76.133600000000001</v>
      </c>
      <c r="I3808" t="s">
        <v>4065</v>
      </c>
      <c r="J3808">
        <v>11</v>
      </c>
      <c r="M3808">
        <v>197</v>
      </c>
      <c r="N3808">
        <v>44</v>
      </c>
      <c r="O3808">
        <v>36</v>
      </c>
      <c r="P3808">
        <v>48</v>
      </c>
      <c r="Q3808">
        <v>29</v>
      </c>
      <c r="R3808">
        <v>40</v>
      </c>
    </row>
    <row r="3809" spans="1:18" x14ac:dyDescent="0.25">
      <c r="A3809" t="s">
        <v>4082</v>
      </c>
      <c r="B3809" t="s">
        <v>55</v>
      </c>
      <c r="C3809" t="s">
        <v>4063</v>
      </c>
      <c r="D3809" t="s">
        <v>4064</v>
      </c>
      <c r="E3809" t="s">
        <v>78</v>
      </c>
      <c r="F3809" t="s">
        <v>252</v>
      </c>
      <c r="G3809">
        <v>6.3150000000000004</v>
      </c>
      <c r="H3809">
        <v>-76.133600000000001</v>
      </c>
      <c r="I3809" t="s">
        <v>4065</v>
      </c>
      <c r="J3809">
        <v>11</v>
      </c>
      <c r="M3809">
        <v>196</v>
      </c>
      <c r="N3809">
        <v>44</v>
      </c>
      <c r="O3809">
        <v>16</v>
      </c>
      <c r="P3809">
        <v>58</v>
      </c>
      <c r="Q3809">
        <v>36</v>
      </c>
      <c r="R3809">
        <v>47</v>
      </c>
    </row>
    <row r="3810" spans="1:18" x14ac:dyDescent="0.25">
      <c r="A3810" t="s">
        <v>4083</v>
      </c>
      <c r="B3810" t="s">
        <v>55</v>
      </c>
      <c r="C3810" t="s">
        <v>4063</v>
      </c>
      <c r="D3810" t="s">
        <v>4064</v>
      </c>
      <c r="E3810" t="s">
        <v>78</v>
      </c>
      <c r="F3810" t="s">
        <v>252</v>
      </c>
      <c r="G3810">
        <v>6.3150000000000004</v>
      </c>
      <c r="H3810">
        <v>-76.133600000000001</v>
      </c>
      <c r="I3810" t="s">
        <v>4065</v>
      </c>
      <c r="J3810">
        <v>11</v>
      </c>
      <c r="M3810">
        <v>195</v>
      </c>
      <c r="N3810">
        <v>54</v>
      </c>
      <c r="O3810">
        <v>24</v>
      </c>
      <c r="P3810">
        <v>48</v>
      </c>
      <c r="Q3810">
        <v>24</v>
      </c>
      <c r="R3810">
        <v>56</v>
      </c>
    </row>
    <row r="3811" spans="1:18" x14ac:dyDescent="0.25">
      <c r="A3811" t="s">
        <v>4084</v>
      </c>
      <c r="B3811" t="s">
        <v>55</v>
      </c>
      <c r="C3811" t="s">
        <v>4063</v>
      </c>
      <c r="D3811" t="s">
        <v>4064</v>
      </c>
      <c r="E3811" t="s">
        <v>78</v>
      </c>
      <c r="F3811" t="s">
        <v>252</v>
      </c>
      <c r="G3811">
        <v>6.3150000000000004</v>
      </c>
      <c r="H3811">
        <v>-76.133600000000001</v>
      </c>
      <c r="I3811" t="s">
        <v>4065</v>
      </c>
      <c r="J3811">
        <v>11</v>
      </c>
      <c r="M3811">
        <v>191</v>
      </c>
      <c r="N3811">
        <v>27</v>
      </c>
      <c r="O3811">
        <v>26</v>
      </c>
      <c r="P3811">
        <v>56</v>
      </c>
      <c r="Q3811">
        <v>34</v>
      </c>
      <c r="R3811">
        <v>67</v>
      </c>
    </row>
    <row r="3812" spans="1:18" x14ac:dyDescent="0.25">
      <c r="A3812" t="s">
        <v>4085</v>
      </c>
      <c r="B3812" t="s">
        <v>55</v>
      </c>
      <c r="C3812" t="s">
        <v>4063</v>
      </c>
      <c r="D3812" t="s">
        <v>4064</v>
      </c>
      <c r="E3812" t="s">
        <v>78</v>
      </c>
      <c r="F3812" t="s">
        <v>252</v>
      </c>
      <c r="G3812">
        <v>6.3150000000000004</v>
      </c>
      <c r="H3812">
        <v>-76.133600000000001</v>
      </c>
      <c r="I3812" t="s">
        <v>4065</v>
      </c>
      <c r="J3812">
        <v>11</v>
      </c>
      <c r="M3812">
        <v>190</v>
      </c>
      <c r="N3812">
        <v>34</v>
      </c>
      <c r="O3812">
        <v>30</v>
      </c>
      <c r="P3812">
        <v>46</v>
      </c>
      <c r="Q3812">
        <v>36</v>
      </c>
      <c r="R3812">
        <v>55</v>
      </c>
    </row>
    <row r="3813" spans="1:18" x14ac:dyDescent="0.25">
      <c r="A3813" t="s">
        <v>4086</v>
      </c>
      <c r="B3813" t="s">
        <v>55</v>
      </c>
      <c r="C3813" t="s">
        <v>4063</v>
      </c>
      <c r="D3813" t="s">
        <v>4064</v>
      </c>
      <c r="E3813" t="s">
        <v>78</v>
      </c>
      <c r="F3813" t="s">
        <v>252</v>
      </c>
      <c r="G3813">
        <v>6.3150000000000004</v>
      </c>
      <c r="H3813">
        <v>-76.133600000000001</v>
      </c>
      <c r="I3813" t="s">
        <v>4065</v>
      </c>
      <c r="J3813">
        <v>11</v>
      </c>
      <c r="M3813">
        <v>184</v>
      </c>
      <c r="N3813">
        <v>32</v>
      </c>
      <c r="O3813">
        <v>42</v>
      </c>
      <c r="P3813">
        <v>46</v>
      </c>
      <c r="Q3813">
        <v>26</v>
      </c>
      <c r="R3813">
        <v>42</v>
      </c>
    </row>
    <row r="3814" spans="1:18" x14ac:dyDescent="0.25">
      <c r="A3814" t="s">
        <v>4087</v>
      </c>
      <c r="B3814" t="s">
        <v>55</v>
      </c>
      <c r="C3814" t="s">
        <v>4063</v>
      </c>
      <c r="D3814" t="s">
        <v>4064</v>
      </c>
      <c r="E3814" t="s">
        <v>78</v>
      </c>
      <c r="F3814" t="s">
        <v>252</v>
      </c>
      <c r="G3814">
        <v>6.3150000000000004</v>
      </c>
      <c r="H3814">
        <v>-76.133600000000001</v>
      </c>
      <c r="I3814" t="s">
        <v>4065</v>
      </c>
      <c r="J3814">
        <v>11</v>
      </c>
      <c r="M3814">
        <v>184</v>
      </c>
      <c r="N3814">
        <v>49</v>
      </c>
      <c r="O3814">
        <v>20</v>
      </c>
      <c r="P3814">
        <v>50</v>
      </c>
      <c r="Q3814">
        <v>22</v>
      </c>
      <c r="R3814">
        <v>55</v>
      </c>
    </row>
    <row r="3815" spans="1:18" x14ac:dyDescent="0.25">
      <c r="A3815" t="s">
        <v>4088</v>
      </c>
      <c r="B3815" t="s">
        <v>55</v>
      </c>
      <c r="C3815" t="s">
        <v>4063</v>
      </c>
      <c r="D3815" t="s">
        <v>4064</v>
      </c>
      <c r="E3815" t="s">
        <v>78</v>
      </c>
      <c r="F3815" t="s">
        <v>252</v>
      </c>
      <c r="G3815">
        <v>6.3150000000000004</v>
      </c>
      <c r="H3815">
        <v>-76.133600000000001</v>
      </c>
      <c r="I3815" t="s">
        <v>4065</v>
      </c>
      <c r="J3815">
        <v>11</v>
      </c>
      <c r="M3815">
        <v>181</v>
      </c>
      <c r="N3815">
        <v>34</v>
      </c>
      <c r="O3815">
        <v>26</v>
      </c>
      <c r="P3815">
        <v>56</v>
      </c>
      <c r="Q3815">
        <v>29</v>
      </c>
      <c r="R3815">
        <v>35</v>
      </c>
    </row>
    <row r="3816" spans="1:18" x14ac:dyDescent="0.25">
      <c r="A3816" t="s">
        <v>4089</v>
      </c>
      <c r="B3816" t="s">
        <v>55</v>
      </c>
      <c r="C3816" t="s">
        <v>4063</v>
      </c>
      <c r="D3816" t="s">
        <v>4064</v>
      </c>
      <c r="E3816" t="s">
        <v>78</v>
      </c>
      <c r="F3816" t="s">
        <v>252</v>
      </c>
      <c r="G3816">
        <v>6.3150000000000004</v>
      </c>
      <c r="H3816">
        <v>-76.133600000000001</v>
      </c>
      <c r="I3816" t="s">
        <v>4065</v>
      </c>
      <c r="J3816">
        <v>11</v>
      </c>
      <c r="M3816">
        <v>181</v>
      </c>
      <c r="N3816">
        <v>29</v>
      </c>
      <c r="O3816">
        <v>34</v>
      </c>
      <c r="P3816">
        <v>34</v>
      </c>
      <c r="Q3816">
        <v>43</v>
      </c>
      <c r="R3816">
        <v>49</v>
      </c>
    </row>
    <row r="3817" spans="1:18" x14ac:dyDescent="0.25">
      <c r="A3817" t="s">
        <v>4090</v>
      </c>
      <c r="B3817" t="s">
        <v>55</v>
      </c>
      <c r="C3817" t="s">
        <v>4063</v>
      </c>
      <c r="D3817" t="s">
        <v>4064</v>
      </c>
      <c r="E3817" t="s">
        <v>78</v>
      </c>
      <c r="F3817" t="s">
        <v>252</v>
      </c>
      <c r="G3817">
        <v>6.3150000000000004</v>
      </c>
      <c r="H3817">
        <v>-76.133600000000001</v>
      </c>
      <c r="I3817" t="s">
        <v>4065</v>
      </c>
      <c r="J3817">
        <v>11</v>
      </c>
      <c r="M3817">
        <v>179</v>
      </c>
      <c r="N3817">
        <v>39</v>
      </c>
      <c r="O3817">
        <v>36</v>
      </c>
      <c r="P3817">
        <v>38</v>
      </c>
      <c r="Q3817">
        <v>26</v>
      </c>
      <c r="R3817">
        <v>49</v>
      </c>
    </row>
    <row r="3818" spans="1:18" x14ac:dyDescent="0.25">
      <c r="A3818" t="s">
        <v>4091</v>
      </c>
      <c r="B3818" t="s">
        <v>55</v>
      </c>
      <c r="C3818" t="s">
        <v>4063</v>
      </c>
      <c r="D3818" t="s">
        <v>4064</v>
      </c>
      <c r="E3818" t="s">
        <v>78</v>
      </c>
      <c r="F3818" t="s">
        <v>252</v>
      </c>
      <c r="G3818">
        <v>6.3150000000000004</v>
      </c>
      <c r="H3818">
        <v>-76.133600000000001</v>
      </c>
      <c r="I3818" t="s">
        <v>4065</v>
      </c>
      <c r="J3818">
        <v>11</v>
      </c>
      <c r="M3818">
        <v>174</v>
      </c>
      <c r="N3818">
        <v>29</v>
      </c>
      <c r="O3818">
        <v>24</v>
      </c>
      <c r="P3818">
        <v>44</v>
      </c>
      <c r="Q3818">
        <v>38</v>
      </c>
      <c r="R3818">
        <v>47</v>
      </c>
    </row>
    <row r="3819" spans="1:18" x14ac:dyDescent="0.25">
      <c r="A3819" t="s">
        <v>4092</v>
      </c>
      <c r="B3819" t="s">
        <v>55</v>
      </c>
      <c r="C3819" t="s">
        <v>4063</v>
      </c>
      <c r="D3819" t="s">
        <v>4064</v>
      </c>
      <c r="E3819" t="s">
        <v>78</v>
      </c>
      <c r="F3819" t="s">
        <v>252</v>
      </c>
      <c r="G3819">
        <v>6.3150000000000004</v>
      </c>
      <c r="H3819">
        <v>-76.133600000000001</v>
      </c>
      <c r="I3819" t="s">
        <v>4065</v>
      </c>
      <c r="J3819">
        <v>11</v>
      </c>
      <c r="M3819">
        <v>164</v>
      </c>
      <c r="N3819">
        <v>46</v>
      </c>
      <c r="O3819">
        <v>20</v>
      </c>
      <c r="P3819">
        <v>36</v>
      </c>
      <c r="Q3819">
        <v>28</v>
      </c>
      <c r="R3819">
        <v>36</v>
      </c>
    </row>
    <row r="3820" spans="1:18" x14ac:dyDescent="0.25">
      <c r="A3820" t="s">
        <v>4093</v>
      </c>
      <c r="B3820" t="s">
        <v>55</v>
      </c>
      <c r="C3820" t="s">
        <v>4063</v>
      </c>
      <c r="D3820" t="s">
        <v>4064</v>
      </c>
      <c r="E3820" t="s">
        <v>78</v>
      </c>
      <c r="F3820" t="s">
        <v>252</v>
      </c>
      <c r="G3820">
        <v>6.3150000000000004</v>
      </c>
      <c r="H3820">
        <v>-76.133600000000001</v>
      </c>
      <c r="I3820" t="s">
        <v>4065</v>
      </c>
      <c r="J3820">
        <v>11</v>
      </c>
      <c r="M3820">
        <v>164</v>
      </c>
      <c r="N3820">
        <v>56</v>
      </c>
      <c r="O3820">
        <v>24</v>
      </c>
      <c r="P3820">
        <v>36</v>
      </c>
      <c r="Q3820">
        <v>14</v>
      </c>
      <c r="R3820">
        <v>36</v>
      </c>
    </row>
    <row r="3821" spans="1:18" x14ac:dyDescent="0.25">
      <c r="A3821" t="s">
        <v>4094</v>
      </c>
      <c r="B3821" t="s">
        <v>55</v>
      </c>
      <c r="C3821" t="s">
        <v>4063</v>
      </c>
      <c r="D3821" t="s">
        <v>4064</v>
      </c>
      <c r="E3821" t="s">
        <v>78</v>
      </c>
      <c r="F3821" t="s">
        <v>252</v>
      </c>
      <c r="G3821">
        <v>6.3150000000000004</v>
      </c>
      <c r="H3821">
        <v>-76.133600000000001</v>
      </c>
      <c r="I3821" t="s">
        <v>4065</v>
      </c>
      <c r="J3821">
        <v>11</v>
      </c>
      <c r="M3821">
        <v>163</v>
      </c>
      <c r="N3821">
        <v>44</v>
      </c>
      <c r="O3821">
        <v>24</v>
      </c>
      <c r="P3821">
        <v>36</v>
      </c>
      <c r="Q3821">
        <v>24</v>
      </c>
      <c r="R3821">
        <v>40</v>
      </c>
    </row>
    <row r="3822" spans="1:18" x14ac:dyDescent="0.25">
      <c r="A3822" t="s">
        <v>4095</v>
      </c>
      <c r="B3822" t="s">
        <v>55</v>
      </c>
      <c r="C3822" t="s">
        <v>4063</v>
      </c>
      <c r="D3822" t="s">
        <v>4064</v>
      </c>
      <c r="E3822" t="s">
        <v>78</v>
      </c>
      <c r="F3822" t="s">
        <v>252</v>
      </c>
      <c r="G3822">
        <v>6.3150000000000004</v>
      </c>
      <c r="H3822">
        <v>-76.133600000000001</v>
      </c>
      <c r="I3822" t="s">
        <v>4065</v>
      </c>
      <c r="J3822">
        <v>11</v>
      </c>
      <c r="M3822">
        <v>157</v>
      </c>
      <c r="N3822">
        <v>44</v>
      </c>
      <c r="O3822">
        <v>30</v>
      </c>
      <c r="P3822">
        <v>26</v>
      </c>
      <c r="Q3822">
        <v>29</v>
      </c>
      <c r="R3822">
        <v>22</v>
      </c>
    </row>
    <row r="3823" spans="1:18" x14ac:dyDescent="0.25">
      <c r="A3823" t="s">
        <v>4096</v>
      </c>
      <c r="B3823" t="s">
        <v>55</v>
      </c>
      <c r="C3823" t="s">
        <v>4063</v>
      </c>
      <c r="D3823" t="s">
        <v>4064</v>
      </c>
      <c r="E3823" t="s">
        <v>78</v>
      </c>
      <c r="F3823" t="s">
        <v>252</v>
      </c>
      <c r="G3823">
        <v>6.3150000000000004</v>
      </c>
      <c r="H3823">
        <v>-76.133600000000001</v>
      </c>
      <c r="I3823" t="s">
        <v>4065</v>
      </c>
      <c r="J3823">
        <v>11</v>
      </c>
      <c r="M3823">
        <v>156</v>
      </c>
      <c r="N3823">
        <v>27</v>
      </c>
      <c r="O3823">
        <v>32</v>
      </c>
      <c r="P3823">
        <v>34</v>
      </c>
      <c r="Q3823">
        <v>26</v>
      </c>
      <c r="R3823">
        <v>49</v>
      </c>
    </row>
    <row r="3824" spans="1:18" x14ac:dyDescent="0.25">
      <c r="A3824" t="s">
        <v>4097</v>
      </c>
      <c r="B3824" t="s">
        <v>55</v>
      </c>
      <c r="C3824" t="s">
        <v>4063</v>
      </c>
      <c r="D3824" t="s">
        <v>4064</v>
      </c>
      <c r="E3824" t="s">
        <v>78</v>
      </c>
      <c r="F3824" t="s">
        <v>252</v>
      </c>
      <c r="G3824">
        <v>6.3150000000000004</v>
      </c>
      <c r="H3824">
        <v>-76.133600000000001</v>
      </c>
      <c r="I3824" t="s">
        <v>4065</v>
      </c>
      <c r="J3824">
        <v>11</v>
      </c>
      <c r="M3824">
        <v>154</v>
      </c>
      <c r="N3824">
        <v>37</v>
      </c>
      <c r="O3824">
        <v>20</v>
      </c>
      <c r="P3824">
        <v>36</v>
      </c>
      <c r="Q3824">
        <v>26</v>
      </c>
      <c r="R3824">
        <v>45</v>
      </c>
    </row>
    <row r="3825" spans="1:18" x14ac:dyDescent="0.25">
      <c r="A3825" t="s">
        <v>4098</v>
      </c>
      <c r="B3825" t="s">
        <v>55</v>
      </c>
      <c r="C3825" t="s">
        <v>4063</v>
      </c>
      <c r="D3825" t="s">
        <v>4064</v>
      </c>
      <c r="E3825" t="s">
        <v>78</v>
      </c>
      <c r="F3825" t="s">
        <v>252</v>
      </c>
      <c r="G3825">
        <v>6.3150000000000004</v>
      </c>
      <c r="H3825">
        <v>-76.133600000000001</v>
      </c>
      <c r="I3825" t="s">
        <v>4065</v>
      </c>
      <c r="J3825">
        <v>11</v>
      </c>
      <c r="M3825">
        <v>154</v>
      </c>
      <c r="N3825">
        <v>39</v>
      </c>
      <c r="O3825">
        <v>26</v>
      </c>
      <c r="P3825">
        <v>24</v>
      </c>
      <c r="Q3825">
        <v>31</v>
      </c>
      <c r="R3825">
        <v>40</v>
      </c>
    </row>
    <row r="3826" spans="1:18" x14ac:dyDescent="0.25">
      <c r="A3826" t="s">
        <v>4099</v>
      </c>
      <c r="B3826" t="s">
        <v>55</v>
      </c>
      <c r="C3826" t="s">
        <v>4063</v>
      </c>
      <c r="D3826" t="s">
        <v>4064</v>
      </c>
      <c r="E3826" t="s">
        <v>78</v>
      </c>
      <c r="F3826" t="s">
        <v>252</v>
      </c>
      <c r="G3826">
        <v>6.3150000000000004</v>
      </c>
      <c r="H3826">
        <v>-76.133600000000001</v>
      </c>
      <c r="I3826" t="s">
        <v>4065</v>
      </c>
      <c r="J3826">
        <v>11</v>
      </c>
      <c r="M3826">
        <v>147</v>
      </c>
      <c r="N3826">
        <v>41</v>
      </c>
      <c r="O3826">
        <v>20</v>
      </c>
      <c r="P3826">
        <v>34</v>
      </c>
      <c r="Q3826">
        <v>19</v>
      </c>
      <c r="R3826">
        <v>38</v>
      </c>
    </row>
    <row r="3827" spans="1:18" x14ac:dyDescent="0.25">
      <c r="A3827" t="s">
        <v>4100</v>
      </c>
      <c r="B3827" t="s">
        <v>55</v>
      </c>
      <c r="C3827" t="s">
        <v>4063</v>
      </c>
      <c r="D3827" t="s">
        <v>4064</v>
      </c>
      <c r="E3827" t="s">
        <v>78</v>
      </c>
      <c r="F3827" t="s">
        <v>252</v>
      </c>
      <c r="G3827">
        <v>6.3150000000000004</v>
      </c>
      <c r="H3827">
        <v>-76.133600000000001</v>
      </c>
      <c r="I3827" t="s">
        <v>4065</v>
      </c>
      <c r="J3827">
        <v>11</v>
      </c>
      <c r="M3827">
        <v>146</v>
      </c>
      <c r="N3827">
        <v>37</v>
      </c>
      <c r="O3827">
        <v>24</v>
      </c>
      <c r="P3827">
        <v>28</v>
      </c>
      <c r="Q3827">
        <v>28</v>
      </c>
      <c r="R3827">
        <v>31</v>
      </c>
    </row>
    <row r="3828" spans="1:18" x14ac:dyDescent="0.25">
      <c r="A3828" t="s">
        <v>4101</v>
      </c>
      <c r="B3828" t="s">
        <v>55</v>
      </c>
      <c r="C3828" t="s">
        <v>4063</v>
      </c>
      <c r="D3828" t="s">
        <v>4064</v>
      </c>
      <c r="E3828" t="s">
        <v>78</v>
      </c>
      <c r="F3828" t="s">
        <v>252</v>
      </c>
      <c r="G3828">
        <v>6.3150000000000004</v>
      </c>
      <c r="H3828">
        <v>-76.133600000000001</v>
      </c>
      <c r="I3828" t="s">
        <v>4065</v>
      </c>
      <c r="J3828">
        <v>11</v>
      </c>
      <c r="M3828">
        <v>146</v>
      </c>
      <c r="N3828">
        <v>32</v>
      </c>
      <c r="O3828">
        <v>14</v>
      </c>
      <c r="P3828">
        <v>38</v>
      </c>
      <c r="Q3828">
        <v>29</v>
      </c>
      <c r="R3828">
        <v>40</v>
      </c>
    </row>
    <row r="3829" spans="1:18" x14ac:dyDescent="0.25">
      <c r="A3829" t="s">
        <v>4102</v>
      </c>
      <c r="B3829" t="s">
        <v>55</v>
      </c>
      <c r="C3829" t="s">
        <v>4063</v>
      </c>
      <c r="D3829" t="s">
        <v>4064</v>
      </c>
      <c r="E3829" t="s">
        <v>78</v>
      </c>
      <c r="F3829" t="s">
        <v>252</v>
      </c>
      <c r="G3829">
        <v>6.3150000000000004</v>
      </c>
      <c r="H3829">
        <v>-76.133600000000001</v>
      </c>
      <c r="I3829" t="s">
        <v>4065</v>
      </c>
      <c r="J3829">
        <v>11</v>
      </c>
      <c r="M3829">
        <v>145</v>
      </c>
      <c r="N3829">
        <v>24</v>
      </c>
      <c r="O3829">
        <v>26</v>
      </c>
      <c r="P3829">
        <v>30</v>
      </c>
      <c r="Q3829">
        <v>29</v>
      </c>
      <c r="R3829">
        <v>47</v>
      </c>
    </row>
    <row r="3830" spans="1:18" x14ac:dyDescent="0.25">
      <c r="A3830" t="s">
        <v>4103</v>
      </c>
      <c r="B3830" t="s">
        <v>55</v>
      </c>
      <c r="C3830" t="s">
        <v>4063</v>
      </c>
      <c r="D3830" t="s">
        <v>4064</v>
      </c>
      <c r="E3830" t="s">
        <v>78</v>
      </c>
      <c r="F3830" t="s">
        <v>252</v>
      </c>
      <c r="G3830">
        <v>6.3150000000000004</v>
      </c>
      <c r="H3830">
        <v>-76.133600000000001</v>
      </c>
      <c r="I3830" t="s">
        <v>4065</v>
      </c>
      <c r="J3830">
        <v>11</v>
      </c>
      <c r="M3830">
        <v>144</v>
      </c>
      <c r="N3830">
        <v>41</v>
      </c>
      <c r="O3830">
        <v>14</v>
      </c>
      <c r="P3830">
        <v>26</v>
      </c>
      <c r="Q3830">
        <v>31</v>
      </c>
      <c r="R3830">
        <v>36</v>
      </c>
    </row>
    <row r="3831" spans="1:18" x14ac:dyDescent="0.25">
      <c r="A3831" t="s">
        <v>4104</v>
      </c>
      <c r="B3831" t="s">
        <v>55</v>
      </c>
      <c r="C3831" t="s">
        <v>4063</v>
      </c>
      <c r="D3831" t="s">
        <v>4064</v>
      </c>
      <c r="E3831" t="s">
        <v>78</v>
      </c>
      <c r="F3831" t="s">
        <v>252</v>
      </c>
      <c r="G3831">
        <v>6.3150000000000004</v>
      </c>
      <c r="H3831">
        <v>-76.133600000000001</v>
      </c>
      <c r="I3831" t="s">
        <v>4065</v>
      </c>
      <c r="J3831">
        <v>11</v>
      </c>
      <c r="M3831">
        <v>143</v>
      </c>
      <c r="N3831">
        <v>32</v>
      </c>
      <c r="O3831">
        <v>20</v>
      </c>
      <c r="P3831">
        <v>38</v>
      </c>
      <c r="Q3831">
        <v>24</v>
      </c>
      <c r="R3831">
        <v>31</v>
      </c>
    </row>
    <row r="3832" spans="1:18" x14ac:dyDescent="0.25">
      <c r="A3832" t="s">
        <v>4105</v>
      </c>
      <c r="B3832" t="s">
        <v>55</v>
      </c>
      <c r="C3832" t="s">
        <v>4063</v>
      </c>
      <c r="D3832" t="s">
        <v>4064</v>
      </c>
      <c r="E3832" t="s">
        <v>78</v>
      </c>
      <c r="F3832" t="s">
        <v>252</v>
      </c>
      <c r="G3832">
        <v>6.3150000000000004</v>
      </c>
      <c r="H3832">
        <v>-76.133600000000001</v>
      </c>
      <c r="I3832" t="s">
        <v>4065</v>
      </c>
      <c r="J3832">
        <v>11</v>
      </c>
      <c r="M3832">
        <v>143</v>
      </c>
      <c r="N3832">
        <v>37</v>
      </c>
      <c r="O3832">
        <v>14</v>
      </c>
      <c r="P3832">
        <v>36</v>
      </c>
      <c r="Q3832">
        <v>24</v>
      </c>
      <c r="R3832">
        <v>40</v>
      </c>
    </row>
    <row r="3833" spans="1:18" x14ac:dyDescent="0.25">
      <c r="A3833" t="s">
        <v>4106</v>
      </c>
      <c r="B3833" t="s">
        <v>55</v>
      </c>
      <c r="C3833" t="s">
        <v>4063</v>
      </c>
      <c r="D3833" t="s">
        <v>4064</v>
      </c>
      <c r="E3833" t="s">
        <v>78</v>
      </c>
      <c r="F3833" t="s">
        <v>252</v>
      </c>
      <c r="G3833">
        <v>6.3150000000000004</v>
      </c>
      <c r="H3833">
        <v>-76.133600000000001</v>
      </c>
      <c r="I3833" t="s">
        <v>4065</v>
      </c>
      <c r="J3833">
        <v>11</v>
      </c>
      <c r="M3833">
        <v>132</v>
      </c>
      <c r="N3833">
        <v>27</v>
      </c>
      <c r="O3833">
        <v>22</v>
      </c>
      <c r="P3833">
        <v>22</v>
      </c>
      <c r="Q3833">
        <v>33</v>
      </c>
      <c r="R3833">
        <v>33</v>
      </c>
    </row>
    <row r="3834" spans="1:18" x14ac:dyDescent="0.25">
      <c r="A3834" t="s">
        <v>4107</v>
      </c>
      <c r="B3834" t="s">
        <v>55</v>
      </c>
      <c r="C3834" t="s">
        <v>4063</v>
      </c>
      <c r="D3834" t="s">
        <v>4064</v>
      </c>
      <c r="E3834" t="s">
        <v>78</v>
      </c>
      <c r="F3834" t="s">
        <v>252</v>
      </c>
      <c r="G3834">
        <v>6.3150000000000004</v>
      </c>
      <c r="H3834">
        <v>-76.133600000000001</v>
      </c>
      <c r="I3834" t="s">
        <v>4065</v>
      </c>
      <c r="J3834">
        <v>11</v>
      </c>
      <c r="M3834">
        <v>129</v>
      </c>
      <c r="N3834">
        <v>22</v>
      </c>
      <c r="O3834">
        <v>24</v>
      </c>
      <c r="P3834">
        <v>30</v>
      </c>
      <c r="Q3834">
        <v>26</v>
      </c>
      <c r="R3834">
        <v>29</v>
      </c>
    </row>
    <row r="3835" spans="1:18" x14ac:dyDescent="0.25">
      <c r="A3835" t="s">
        <v>4108</v>
      </c>
      <c r="B3835" t="s">
        <v>55</v>
      </c>
      <c r="C3835" t="s">
        <v>4063</v>
      </c>
      <c r="D3835" t="s">
        <v>4064</v>
      </c>
      <c r="E3835" t="s">
        <v>78</v>
      </c>
      <c r="F3835" t="s">
        <v>252</v>
      </c>
      <c r="G3835">
        <v>6.3150000000000004</v>
      </c>
      <c r="H3835">
        <v>-76.133600000000001</v>
      </c>
      <c r="I3835" t="s">
        <v>4065</v>
      </c>
      <c r="J3835">
        <v>11</v>
      </c>
      <c r="M3835">
        <v>128</v>
      </c>
      <c r="N3835">
        <v>37</v>
      </c>
      <c r="O3835">
        <v>26</v>
      </c>
      <c r="P3835">
        <v>20</v>
      </c>
      <c r="Q3835">
        <v>19</v>
      </c>
      <c r="R3835">
        <v>29</v>
      </c>
    </row>
    <row r="3836" spans="1:18" x14ac:dyDescent="0.25">
      <c r="A3836" t="s">
        <v>4109</v>
      </c>
      <c r="B3836" t="s">
        <v>55</v>
      </c>
      <c r="C3836" t="s">
        <v>4063</v>
      </c>
      <c r="D3836" t="s">
        <v>4064</v>
      </c>
      <c r="E3836" t="s">
        <v>78</v>
      </c>
      <c r="F3836" t="s">
        <v>252</v>
      </c>
      <c r="G3836">
        <v>6.3150000000000004</v>
      </c>
      <c r="H3836">
        <v>-76.133600000000001</v>
      </c>
      <c r="I3836" t="s">
        <v>4065</v>
      </c>
      <c r="J3836">
        <v>11</v>
      </c>
      <c r="M3836">
        <v>128</v>
      </c>
      <c r="N3836">
        <v>24</v>
      </c>
      <c r="O3836">
        <v>26</v>
      </c>
      <c r="P3836">
        <v>24</v>
      </c>
      <c r="Q3836">
        <v>26</v>
      </c>
      <c r="R3836">
        <v>33</v>
      </c>
    </row>
    <row r="3837" spans="1:18" x14ac:dyDescent="0.25">
      <c r="A3837" t="s">
        <v>4110</v>
      </c>
      <c r="B3837" t="s">
        <v>55</v>
      </c>
      <c r="C3837" t="s">
        <v>4063</v>
      </c>
      <c r="D3837" t="s">
        <v>4064</v>
      </c>
      <c r="E3837" t="s">
        <v>78</v>
      </c>
      <c r="F3837" t="s">
        <v>252</v>
      </c>
      <c r="G3837">
        <v>6.3150000000000004</v>
      </c>
      <c r="H3837">
        <v>-76.133600000000001</v>
      </c>
      <c r="I3837" t="s">
        <v>4065</v>
      </c>
      <c r="J3837">
        <v>11</v>
      </c>
      <c r="M3837">
        <v>127</v>
      </c>
      <c r="N3837">
        <v>29</v>
      </c>
      <c r="O3837">
        <v>30</v>
      </c>
      <c r="P3837">
        <v>16</v>
      </c>
      <c r="Q3837">
        <v>22</v>
      </c>
      <c r="R3837">
        <v>36</v>
      </c>
    </row>
    <row r="3838" spans="1:18" x14ac:dyDescent="0.25">
      <c r="A3838" t="s">
        <v>4111</v>
      </c>
      <c r="B3838" t="s">
        <v>55</v>
      </c>
      <c r="C3838" t="s">
        <v>4063</v>
      </c>
      <c r="D3838" t="s">
        <v>4064</v>
      </c>
      <c r="E3838" t="s">
        <v>78</v>
      </c>
      <c r="F3838" t="s">
        <v>252</v>
      </c>
      <c r="G3838">
        <v>6.3150000000000004</v>
      </c>
      <c r="H3838">
        <v>-76.133600000000001</v>
      </c>
      <c r="I3838" t="s">
        <v>4065</v>
      </c>
      <c r="J3838">
        <v>11</v>
      </c>
      <c r="M3838">
        <v>120</v>
      </c>
      <c r="N3838">
        <v>39</v>
      </c>
      <c r="O3838">
        <v>24</v>
      </c>
      <c r="P3838">
        <v>22</v>
      </c>
      <c r="Q3838">
        <v>19</v>
      </c>
      <c r="R3838">
        <v>0</v>
      </c>
    </row>
    <row r="3839" spans="1:18" x14ac:dyDescent="0.25">
      <c r="A3839" t="s">
        <v>4112</v>
      </c>
      <c r="B3839" t="s">
        <v>55</v>
      </c>
      <c r="C3839" t="s">
        <v>4113</v>
      </c>
      <c r="D3839" t="s">
        <v>4114</v>
      </c>
      <c r="E3839" t="s">
        <v>78</v>
      </c>
      <c r="F3839" t="s">
        <v>252</v>
      </c>
      <c r="G3839">
        <v>7.1810999999999998</v>
      </c>
      <c r="H3839">
        <v>-75.441900000000004</v>
      </c>
      <c r="I3839" t="s">
        <v>4115</v>
      </c>
      <c r="J3839">
        <v>11</v>
      </c>
      <c r="M3839">
        <v>248</v>
      </c>
      <c r="N3839">
        <v>39</v>
      </c>
      <c r="O3839">
        <v>54</v>
      </c>
      <c r="P3839">
        <v>58</v>
      </c>
      <c r="Q3839">
        <v>47</v>
      </c>
      <c r="R3839">
        <v>53</v>
      </c>
    </row>
    <row r="3840" spans="1:18" x14ac:dyDescent="0.25">
      <c r="A3840" t="s">
        <v>4116</v>
      </c>
      <c r="B3840" t="s">
        <v>55</v>
      </c>
      <c r="C3840" t="s">
        <v>4113</v>
      </c>
      <c r="D3840" t="s">
        <v>4114</v>
      </c>
      <c r="E3840" t="s">
        <v>78</v>
      </c>
      <c r="F3840" t="s">
        <v>252</v>
      </c>
      <c r="G3840">
        <v>7.1810999999999998</v>
      </c>
      <c r="H3840">
        <v>-75.441900000000004</v>
      </c>
      <c r="I3840" t="s">
        <v>4115</v>
      </c>
      <c r="J3840">
        <v>11</v>
      </c>
      <c r="M3840">
        <v>225</v>
      </c>
      <c r="N3840">
        <v>61</v>
      </c>
      <c r="O3840">
        <v>36</v>
      </c>
      <c r="P3840">
        <v>48</v>
      </c>
      <c r="Q3840">
        <v>33</v>
      </c>
      <c r="R3840">
        <v>53</v>
      </c>
    </row>
    <row r="3841" spans="1:18" x14ac:dyDescent="0.25">
      <c r="A3841" t="s">
        <v>4117</v>
      </c>
      <c r="B3841" t="s">
        <v>55</v>
      </c>
      <c r="C3841" t="s">
        <v>4113</v>
      </c>
      <c r="D3841" t="s">
        <v>4114</v>
      </c>
      <c r="E3841" t="s">
        <v>78</v>
      </c>
      <c r="F3841" t="s">
        <v>252</v>
      </c>
      <c r="G3841">
        <v>7.1810999999999998</v>
      </c>
      <c r="H3841">
        <v>-75.441900000000004</v>
      </c>
      <c r="I3841" t="s">
        <v>4115</v>
      </c>
      <c r="J3841">
        <v>11</v>
      </c>
      <c r="M3841">
        <v>225</v>
      </c>
      <c r="N3841">
        <v>59</v>
      </c>
      <c r="O3841">
        <v>30</v>
      </c>
      <c r="P3841">
        <v>54</v>
      </c>
      <c r="Q3841">
        <v>31</v>
      </c>
      <c r="R3841">
        <v>64</v>
      </c>
    </row>
    <row r="3842" spans="1:18" x14ac:dyDescent="0.25">
      <c r="A3842" t="s">
        <v>4118</v>
      </c>
      <c r="B3842" t="s">
        <v>55</v>
      </c>
      <c r="C3842" t="s">
        <v>4113</v>
      </c>
      <c r="D3842" t="s">
        <v>4114</v>
      </c>
      <c r="E3842" t="s">
        <v>78</v>
      </c>
      <c r="F3842" t="s">
        <v>252</v>
      </c>
      <c r="G3842">
        <v>7.1810999999999998</v>
      </c>
      <c r="H3842">
        <v>-75.441900000000004</v>
      </c>
      <c r="I3842" t="s">
        <v>4115</v>
      </c>
      <c r="J3842">
        <v>11</v>
      </c>
      <c r="M3842">
        <v>215</v>
      </c>
      <c r="N3842">
        <v>54</v>
      </c>
      <c r="O3842">
        <v>30</v>
      </c>
      <c r="P3842">
        <v>50</v>
      </c>
      <c r="Q3842">
        <v>40</v>
      </c>
      <c r="R3842">
        <v>40</v>
      </c>
    </row>
    <row r="3843" spans="1:18" x14ac:dyDescent="0.25">
      <c r="A3843" t="s">
        <v>4119</v>
      </c>
      <c r="B3843" t="s">
        <v>55</v>
      </c>
      <c r="C3843" t="s">
        <v>4113</v>
      </c>
      <c r="D3843" t="s">
        <v>4114</v>
      </c>
      <c r="E3843" t="s">
        <v>78</v>
      </c>
      <c r="F3843" t="s">
        <v>252</v>
      </c>
      <c r="G3843">
        <v>7.1810999999999998</v>
      </c>
      <c r="H3843">
        <v>-75.441900000000004</v>
      </c>
      <c r="I3843" t="s">
        <v>4115</v>
      </c>
      <c r="J3843">
        <v>11</v>
      </c>
      <c r="M3843">
        <v>211</v>
      </c>
      <c r="N3843">
        <v>56</v>
      </c>
      <c r="O3843">
        <v>32</v>
      </c>
      <c r="P3843">
        <v>42</v>
      </c>
      <c r="Q3843">
        <v>40</v>
      </c>
      <c r="R3843">
        <v>40</v>
      </c>
    </row>
    <row r="3844" spans="1:18" x14ac:dyDescent="0.25">
      <c r="A3844" t="s">
        <v>4120</v>
      </c>
      <c r="B3844" t="s">
        <v>55</v>
      </c>
      <c r="C3844" t="s">
        <v>4113</v>
      </c>
      <c r="D3844" t="s">
        <v>4114</v>
      </c>
      <c r="E3844" t="s">
        <v>78</v>
      </c>
      <c r="F3844" t="s">
        <v>252</v>
      </c>
      <c r="G3844">
        <v>7.1810999999999998</v>
      </c>
      <c r="H3844">
        <v>-75.441900000000004</v>
      </c>
      <c r="I3844" t="s">
        <v>4115</v>
      </c>
      <c r="J3844">
        <v>11</v>
      </c>
      <c r="M3844">
        <v>210</v>
      </c>
      <c r="N3844">
        <v>51</v>
      </c>
      <c r="O3844">
        <v>36</v>
      </c>
      <c r="P3844">
        <v>56</v>
      </c>
      <c r="Q3844">
        <v>26</v>
      </c>
      <c r="R3844">
        <v>38</v>
      </c>
    </row>
    <row r="3845" spans="1:18" x14ac:dyDescent="0.25">
      <c r="A3845" t="s">
        <v>4121</v>
      </c>
      <c r="B3845" t="s">
        <v>55</v>
      </c>
      <c r="C3845" t="s">
        <v>4113</v>
      </c>
      <c r="D3845" t="s">
        <v>4114</v>
      </c>
      <c r="E3845" t="s">
        <v>78</v>
      </c>
      <c r="F3845" t="s">
        <v>252</v>
      </c>
      <c r="G3845">
        <v>7.1810999999999998</v>
      </c>
      <c r="H3845">
        <v>-75.441900000000004</v>
      </c>
      <c r="I3845" t="s">
        <v>4115</v>
      </c>
      <c r="J3845">
        <v>11</v>
      </c>
      <c r="M3845">
        <v>206</v>
      </c>
      <c r="N3845">
        <v>46</v>
      </c>
      <c r="O3845">
        <v>30</v>
      </c>
      <c r="P3845">
        <v>50</v>
      </c>
      <c r="Q3845">
        <v>38</v>
      </c>
      <c r="R3845">
        <v>42</v>
      </c>
    </row>
    <row r="3846" spans="1:18" x14ac:dyDescent="0.25">
      <c r="A3846" t="s">
        <v>4122</v>
      </c>
      <c r="B3846" t="s">
        <v>55</v>
      </c>
      <c r="C3846" t="s">
        <v>4113</v>
      </c>
      <c r="D3846" t="s">
        <v>4114</v>
      </c>
      <c r="E3846" t="s">
        <v>78</v>
      </c>
      <c r="F3846" t="s">
        <v>252</v>
      </c>
      <c r="G3846">
        <v>7.1810999999999998</v>
      </c>
      <c r="H3846">
        <v>-75.441900000000004</v>
      </c>
      <c r="I3846" t="s">
        <v>4115</v>
      </c>
      <c r="J3846">
        <v>11</v>
      </c>
      <c r="M3846">
        <v>197</v>
      </c>
      <c r="N3846">
        <v>51</v>
      </c>
      <c r="O3846">
        <v>26</v>
      </c>
      <c r="P3846">
        <v>46</v>
      </c>
      <c r="Q3846">
        <v>34</v>
      </c>
      <c r="R3846">
        <v>38</v>
      </c>
    </row>
    <row r="3847" spans="1:18" x14ac:dyDescent="0.25">
      <c r="A3847" t="s">
        <v>4123</v>
      </c>
      <c r="B3847" t="s">
        <v>55</v>
      </c>
      <c r="C3847" t="s">
        <v>4113</v>
      </c>
      <c r="D3847" t="s">
        <v>4114</v>
      </c>
      <c r="E3847" t="s">
        <v>78</v>
      </c>
      <c r="F3847" t="s">
        <v>252</v>
      </c>
      <c r="G3847">
        <v>7.1810999999999998</v>
      </c>
      <c r="H3847">
        <v>-75.441900000000004</v>
      </c>
      <c r="I3847" t="s">
        <v>4115</v>
      </c>
      <c r="J3847">
        <v>11</v>
      </c>
      <c r="M3847">
        <v>188</v>
      </c>
      <c r="N3847">
        <v>44</v>
      </c>
      <c r="O3847">
        <v>26</v>
      </c>
      <c r="P3847">
        <v>54</v>
      </c>
      <c r="Q3847">
        <v>34</v>
      </c>
      <c r="R3847">
        <v>15</v>
      </c>
    </row>
    <row r="3848" spans="1:18" x14ac:dyDescent="0.25">
      <c r="A3848" t="s">
        <v>4124</v>
      </c>
      <c r="B3848" t="s">
        <v>55</v>
      </c>
      <c r="C3848" t="s">
        <v>4113</v>
      </c>
      <c r="D3848" t="s">
        <v>4114</v>
      </c>
      <c r="E3848" t="s">
        <v>78</v>
      </c>
      <c r="F3848" t="s">
        <v>252</v>
      </c>
      <c r="G3848">
        <v>7.1810999999999998</v>
      </c>
      <c r="H3848">
        <v>-75.441900000000004</v>
      </c>
      <c r="I3848" t="s">
        <v>4115</v>
      </c>
      <c r="J3848">
        <v>11</v>
      </c>
      <c r="M3848">
        <v>188</v>
      </c>
      <c r="N3848">
        <v>39</v>
      </c>
      <c r="O3848">
        <v>30</v>
      </c>
      <c r="P3848">
        <v>52</v>
      </c>
      <c r="Q3848">
        <v>26</v>
      </c>
      <c r="R3848">
        <v>47</v>
      </c>
    </row>
    <row r="3849" spans="1:18" x14ac:dyDescent="0.25">
      <c r="A3849" t="s">
        <v>4125</v>
      </c>
      <c r="B3849" t="s">
        <v>55</v>
      </c>
      <c r="C3849" t="s">
        <v>4113</v>
      </c>
      <c r="D3849" t="s">
        <v>4114</v>
      </c>
      <c r="E3849" t="s">
        <v>78</v>
      </c>
      <c r="F3849" t="s">
        <v>252</v>
      </c>
      <c r="G3849">
        <v>7.1810999999999998</v>
      </c>
      <c r="H3849">
        <v>-75.441900000000004</v>
      </c>
      <c r="I3849" t="s">
        <v>4115</v>
      </c>
      <c r="J3849">
        <v>11</v>
      </c>
      <c r="M3849">
        <v>175</v>
      </c>
      <c r="N3849">
        <v>34</v>
      </c>
      <c r="O3849">
        <v>20</v>
      </c>
      <c r="P3849">
        <v>36</v>
      </c>
      <c r="Q3849">
        <v>47</v>
      </c>
      <c r="R3849">
        <v>45</v>
      </c>
    </row>
    <row r="3850" spans="1:18" x14ac:dyDescent="0.25">
      <c r="A3850" t="s">
        <v>4126</v>
      </c>
      <c r="B3850" t="s">
        <v>55</v>
      </c>
      <c r="C3850" t="s">
        <v>4113</v>
      </c>
      <c r="D3850" t="s">
        <v>4114</v>
      </c>
      <c r="E3850" t="s">
        <v>78</v>
      </c>
      <c r="F3850" t="s">
        <v>252</v>
      </c>
      <c r="G3850">
        <v>7.1810999999999998</v>
      </c>
      <c r="H3850">
        <v>-75.441900000000004</v>
      </c>
      <c r="I3850" t="s">
        <v>4115</v>
      </c>
      <c r="J3850">
        <v>11</v>
      </c>
      <c r="M3850">
        <v>171</v>
      </c>
      <c r="N3850">
        <v>27</v>
      </c>
      <c r="O3850">
        <v>32</v>
      </c>
      <c r="P3850">
        <v>54</v>
      </c>
      <c r="Q3850">
        <v>26</v>
      </c>
      <c r="R3850">
        <v>27</v>
      </c>
    </row>
    <row r="3851" spans="1:18" x14ac:dyDescent="0.25">
      <c r="A3851" t="s">
        <v>4127</v>
      </c>
      <c r="B3851" t="s">
        <v>55</v>
      </c>
      <c r="C3851" t="s">
        <v>4113</v>
      </c>
      <c r="D3851" t="s">
        <v>4114</v>
      </c>
      <c r="E3851" t="s">
        <v>78</v>
      </c>
      <c r="F3851" t="s">
        <v>252</v>
      </c>
      <c r="G3851">
        <v>7.1810999999999998</v>
      </c>
      <c r="H3851">
        <v>-75.441900000000004</v>
      </c>
      <c r="I3851" t="s">
        <v>4115</v>
      </c>
      <c r="J3851">
        <v>11</v>
      </c>
      <c r="M3851">
        <v>168</v>
      </c>
      <c r="N3851">
        <v>39</v>
      </c>
      <c r="O3851">
        <v>22</v>
      </c>
      <c r="P3851">
        <v>36</v>
      </c>
      <c r="Q3851">
        <v>38</v>
      </c>
      <c r="R3851">
        <v>33</v>
      </c>
    </row>
    <row r="3852" spans="1:18" x14ac:dyDescent="0.25">
      <c r="A3852" t="s">
        <v>4128</v>
      </c>
      <c r="B3852" t="s">
        <v>55</v>
      </c>
      <c r="C3852" t="s">
        <v>4113</v>
      </c>
      <c r="D3852" t="s">
        <v>4114</v>
      </c>
      <c r="E3852" t="s">
        <v>78</v>
      </c>
      <c r="F3852" t="s">
        <v>252</v>
      </c>
      <c r="G3852">
        <v>7.1810999999999998</v>
      </c>
      <c r="H3852">
        <v>-75.441900000000004</v>
      </c>
      <c r="I3852" t="s">
        <v>4115</v>
      </c>
      <c r="J3852">
        <v>11</v>
      </c>
      <c r="M3852">
        <v>167</v>
      </c>
      <c r="N3852">
        <v>20</v>
      </c>
      <c r="O3852">
        <v>38</v>
      </c>
      <c r="P3852">
        <v>42</v>
      </c>
      <c r="Q3852">
        <v>31</v>
      </c>
      <c r="R3852">
        <v>44</v>
      </c>
    </row>
    <row r="3853" spans="1:18" x14ac:dyDescent="0.25">
      <c r="A3853" t="s">
        <v>4129</v>
      </c>
      <c r="B3853" t="s">
        <v>55</v>
      </c>
      <c r="C3853" t="s">
        <v>4113</v>
      </c>
      <c r="D3853" t="s">
        <v>4114</v>
      </c>
      <c r="E3853" t="s">
        <v>78</v>
      </c>
      <c r="F3853" t="s">
        <v>252</v>
      </c>
      <c r="G3853">
        <v>7.1810999999999998</v>
      </c>
      <c r="H3853">
        <v>-75.441900000000004</v>
      </c>
      <c r="I3853" t="s">
        <v>4115</v>
      </c>
      <c r="J3853">
        <v>11</v>
      </c>
      <c r="M3853">
        <v>167</v>
      </c>
      <c r="N3853">
        <v>32</v>
      </c>
      <c r="O3853">
        <v>24</v>
      </c>
      <c r="P3853">
        <v>50</v>
      </c>
      <c r="Q3853">
        <v>22</v>
      </c>
      <c r="R3853">
        <v>49</v>
      </c>
    </row>
    <row r="3854" spans="1:18" x14ac:dyDescent="0.25">
      <c r="A3854" t="s">
        <v>4130</v>
      </c>
      <c r="B3854" t="s">
        <v>55</v>
      </c>
      <c r="C3854" t="s">
        <v>4113</v>
      </c>
      <c r="D3854" t="s">
        <v>4114</v>
      </c>
      <c r="E3854" t="s">
        <v>78</v>
      </c>
      <c r="F3854" t="s">
        <v>252</v>
      </c>
      <c r="G3854">
        <v>7.1810999999999998</v>
      </c>
      <c r="H3854">
        <v>-75.441900000000004</v>
      </c>
      <c r="I3854" t="s">
        <v>4115</v>
      </c>
      <c r="J3854">
        <v>11</v>
      </c>
      <c r="M3854">
        <v>163</v>
      </c>
      <c r="N3854">
        <v>44</v>
      </c>
      <c r="O3854">
        <v>22</v>
      </c>
      <c r="P3854">
        <v>32</v>
      </c>
      <c r="Q3854">
        <v>31</v>
      </c>
      <c r="R3854">
        <v>38</v>
      </c>
    </row>
    <row r="3855" spans="1:18" x14ac:dyDescent="0.25">
      <c r="A3855" t="s">
        <v>4131</v>
      </c>
      <c r="B3855" t="s">
        <v>55</v>
      </c>
      <c r="C3855" t="s">
        <v>4113</v>
      </c>
      <c r="D3855" t="s">
        <v>4114</v>
      </c>
      <c r="E3855" t="s">
        <v>78</v>
      </c>
      <c r="F3855" t="s">
        <v>252</v>
      </c>
      <c r="G3855">
        <v>7.1810999999999998</v>
      </c>
      <c r="H3855">
        <v>-75.441900000000004</v>
      </c>
      <c r="I3855" t="s">
        <v>4115</v>
      </c>
      <c r="J3855">
        <v>11</v>
      </c>
      <c r="M3855">
        <v>158</v>
      </c>
      <c r="N3855">
        <v>29</v>
      </c>
      <c r="O3855">
        <v>26</v>
      </c>
      <c r="P3855">
        <v>44</v>
      </c>
      <c r="Q3855">
        <v>26</v>
      </c>
      <c r="R3855">
        <v>35</v>
      </c>
    </row>
    <row r="3856" spans="1:18" x14ac:dyDescent="0.25">
      <c r="A3856" t="s">
        <v>4132</v>
      </c>
      <c r="B3856" t="s">
        <v>55</v>
      </c>
      <c r="C3856" t="s">
        <v>4113</v>
      </c>
      <c r="D3856" t="s">
        <v>4114</v>
      </c>
      <c r="E3856" t="s">
        <v>78</v>
      </c>
      <c r="F3856" t="s">
        <v>252</v>
      </c>
      <c r="G3856">
        <v>7.1810999999999998</v>
      </c>
      <c r="H3856">
        <v>-75.441900000000004</v>
      </c>
      <c r="I3856" t="s">
        <v>4115</v>
      </c>
      <c r="J3856">
        <v>11</v>
      </c>
      <c r="M3856">
        <v>156</v>
      </c>
      <c r="N3856">
        <v>39</v>
      </c>
      <c r="O3856">
        <v>28</v>
      </c>
      <c r="P3856">
        <v>28</v>
      </c>
      <c r="Q3856">
        <v>24</v>
      </c>
      <c r="R3856">
        <v>47</v>
      </c>
    </row>
    <row r="3857" spans="1:18" x14ac:dyDescent="0.25">
      <c r="A3857" t="s">
        <v>4133</v>
      </c>
      <c r="B3857" t="s">
        <v>55</v>
      </c>
      <c r="C3857" t="s">
        <v>4113</v>
      </c>
      <c r="D3857" t="s">
        <v>4114</v>
      </c>
      <c r="E3857" t="s">
        <v>78</v>
      </c>
      <c r="F3857" t="s">
        <v>252</v>
      </c>
      <c r="G3857">
        <v>7.1810999999999998</v>
      </c>
      <c r="H3857">
        <v>-75.441900000000004</v>
      </c>
      <c r="I3857" t="s">
        <v>4115</v>
      </c>
      <c r="J3857">
        <v>11</v>
      </c>
      <c r="M3857">
        <v>155</v>
      </c>
      <c r="N3857">
        <v>37</v>
      </c>
      <c r="O3857">
        <v>32</v>
      </c>
      <c r="P3857">
        <v>30</v>
      </c>
      <c r="Q3857">
        <v>26</v>
      </c>
      <c r="R3857">
        <v>31</v>
      </c>
    </row>
    <row r="3858" spans="1:18" x14ac:dyDescent="0.25">
      <c r="A3858" t="s">
        <v>4134</v>
      </c>
      <c r="B3858" t="s">
        <v>55</v>
      </c>
      <c r="C3858" t="s">
        <v>4113</v>
      </c>
      <c r="D3858" t="s">
        <v>4114</v>
      </c>
      <c r="E3858" t="s">
        <v>78</v>
      </c>
      <c r="F3858" t="s">
        <v>252</v>
      </c>
      <c r="G3858">
        <v>7.1810999999999998</v>
      </c>
      <c r="H3858">
        <v>-75.441900000000004</v>
      </c>
      <c r="I3858" t="s">
        <v>4115</v>
      </c>
      <c r="J3858">
        <v>11</v>
      </c>
      <c r="M3858">
        <v>155</v>
      </c>
      <c r="N3858">
        <v>29</v>
      </c>
      <c r="O3858">
        <v>34</v>
      </c>
      <c r="P3858">
        <v>36</v>
      </c>
      <c r="Q3858">
        <v>28</v>
      </c>
      <c r="R3858">
        <v>24</v>
      </c>
    </row>
    <row r="3859" spans="1:18" x14ac:dyDescent="0.25">
      <c r="A3859" t="s">
        <v>4135</v>
      </c>
      <c r="B3859" t="s">
        <v>55</v>
      </c>
      <c r="C3859" t="s">
        <v>4113</v>
      </c>
      <c r="D3859" t="s">
        <v>4114</v>
      </c>
      <c r="E3859" t="s">
        <v>78</v>
      </c>
      <c r="F3859" t="s">
        <v>252</v>
      </c>
      <c r="G3859">
        <v>7.1810999999999998</v>
      </c>
      <c r="H3859">
        <v>-75.441900000000004</v>
      </c>
      <c r="I3859" t="s">
        <v>4115</v>
      </c>
      <c r="J3859">
        <v>11</v>
      </c>
      <c r="M3859">
        <v>155</v>
      </c>
      <c r="N3859">
        <v>37</v>
      </c>
      <c r="O3859">
        <v>24</v>
      </c>
      <c r="P3859">
        <v>36</v>
      </c>
      <c r="Q3859">
        <v>28</v>
      </c>
      <c r="R3859">
        <v>31</v>
      </c>
    </row>
    <row r="3860" spans="1:18" x14ac:dyDescent="0.25">
      <c r="A3860" t="s">
        <v>4136</v>
      </c>
      <c r="B3860" t="s">
        <v>55</v>
      </c>
      <c r="C3860" t="s">
        <v>4113</v>
      </c>
      <c r="D3860" t="s">
        <v>4114</v>
      </c>
      <c r="E3860" t="s">
        <v>78</v>
      </c>
      <c r="F3860" t="s">
        <v>252</v>
      </c>
      <c r="G3860">
        <v>7.1810999999999998</v>
      </c>
      <c r="H3860">
        <v>-75.441900000000004</v>
      </c>
      <c r="I3860" t="s">
        <v>4115</v>
      </c>
      <c r="J3860">
        <v>11</v>
      </c>
      <c r="M3860">
        <v>154</v>
      </c>
      <c r="N3860">
        <v>32</v>
      </c>
      <c r="O3860">
        <v>26</v>
      </c>
      <c r="P3860">
        <v>38</v>
      </c>
      <c r="Q3860">
        <v>22</v>
      </c>
      <c r="R3860">
        <v>45</v>
      </c>
    </row>
    <row r="3861" spans="1:18" x14ac:dyDescent="0.25">
      <c r="A3861" t="s">
        <v>4137</v>
      </c>
      <c r="B3861" t="s">
        <v>55</v>
      </c>
      <c r="C3861" t="s">
        <v>4113</v>
      </c>
      <c r="D3861" t="s">
        <v>4114</v>
      </c>
      <c r="E3861" t="s">
        <v>78</v>
      </c>
      <c r="F3861" t="s">
        <v>252</v>
      </c>
      <c r="G3861">
        <v>7.1810999999999998</v>
      </c>
      <c r="H3861">
        <v>-75.441900000000004</v>
      </c>
      <c r="I3861" t="s">
        <v>4115</v>
      </c>
      <c r="J3861">
        <v>11</v>
      </c>
      <c r="M3861">
        <v>153</v>
      </c>
      <c r="N3861">
        <v>34</v>
      </c>
      <c r="O3861">
        <v>24</v>
      </c>
      <c r="P3861">
        <v>36</v>
      </c>
      <c r="Q3861">
        <v>31</v>
      </c>
      <c r="R3861">
        <v>22</v>
      </c>
    </row>
    <row r="3862" spans="1:18" x14ac:dyDescent="0.25">
      <c r="A3862" t="s">
        <v>4138</v>
      </c>
      <c r="B3862" t="s">
        <v>55</v>
      </c>
      <c r="C3862" t="s">
        <v>4113</v>
      </c>
      <c r="D3862" t="s">
        <v>4114</v>
      </c>
      <c r="E3862" t="s">
        <v>78</v>
      </c>
      <c r="F3862" t="s">
        <v>252</v>
      </c>
      <c r="G3862">
        <v>7.1810999999999998</v>
      </c>
      <c r="H3862">
        <v>-75.441900000000004</v>
      </c>
      <c r="I3862" t="s">
        <v>4115</v>
      </c>
      <c r="J3862">
        <v>11</v>
      </c>
      <c r="M3862">
        <v>153</v>
      </c>
      <c r="N3862">
        <v>24</v>
      </c>
      <c r="O3862">
        <v>28</v>
      </c>
      <c r="P3862">
        <v>36</v>
      </c>
      <c r="Q3862">
        <v>26</v>
      </c>
      <c r="R3862">
        <v>55</v>
      </c>
    </row>
    <row r="3863" spans="1:18" x14ac:dyDescent="0.25">
      <c r="A3863" t="s">
        <v>4139</v>
      </c>
      <c r="B3863" t="s">
        <v>55</v>
      </c>
      <c r="C3863" t="s">
        <v>4113</v>
      </c>
      <c r="D3863" t="s">
        <v>4114</v>
      </c>
      <c r="E3863" t="s">
        <v>78</v>
      </c>
      <c r="F3863" t="s">
        <v>252</v>
      </c>
      <c r="G3863">
        <v>7.1810999999999998</v>
      </c>
      <c r="H3863">
        <v>-75.441900000000004</v>
      </c>
      <c r="I3863" t="s">
        <v>4115</v>
      </c>
      <c r="J3863">
        <v>11</v>
      </c>
      <c r="M3863">
        <v>150</v>
      </c>
      <c r="N3863">
        <v>46</v>
      </c>
      <c r="O3863">
        <v>22</v>
      </c>
      <c r="P3863">
        <v>42</v>
      </c>
      <c r="Q3863">
        <v>5</v>
      </c>
      <c r="R3863">
        <v>44</v>
      </c>
    </row>
    <row r="3864" spans="1:18" x14ac:dyDescent="0.25">
      <c r="A3864" t="s">
        <v>4140</v>
      </c>
      <c r="B3864" t="s">
        <v>55</v>
      </c>
      <c r="C3864" t="s">
        <v>4113</v>
      </c>
      <c r="D3864" t="s">
        <v>4114</v>
      </c>
      <c r="E3864" t="s">
        <v>78</v>
      </c>
      <c r="F3864" t="s">
        <v>252</v>
      </c>
      <c r="G3864">
        <v>7.1810999999999998</v>
      </c>
      <c r="H3864">
        <v>-75.441900000000004</v>
      </c>
      <c r="I3864" t="s">
        <v>4115</v>
      </c>
      <c r="J3864">
        <v>11</v>
      </c>
      <c r="M3864">
        <v>148</v>
      </c>
      <c r="N3864">
        <v>24</v>
      </c>
      <c r="O3864">
        <v>32</v>
      </c>
      <c r="P3864">
        <v>40</v>
      </c>
      <c r="Q3864">
        <v>19</v>
      </c>
      <c r="R3864">
        <v>38</v>
      </c>
    </row>
    <row r="3865" spans="1:18" x14ac:dyDescent="0.25">
      <c r="A3865" t="s">
        <v>4141</v>
      </c>
      <c r="B3865" t="s">
        <v>55</v>
      </c>
      <c r="C3865" t="s">
        <v>4113</v>
      </c>
      <c r="D3865" t="s">
        <v>4114</v>
      </c>
      <c r="E3865" t="s">
        <v>78</v>
      </c>
      <c r="F3865" t="s">
        <v>252</v>
      </c>
      <c r="G3865">
        <v>7.1810999999999998</v>
      </c>
      <c r="H3865">
        <v>-75.441900000000004</v>
      </c>
      <c r="I3865" t="s">
        <v>4115</v>
      </c>
      <c r="J3865">
        <v>11</v>
      </c>
      <c r="M3865">
        <v>145</v>
      </c>
      <c r="N3865">
        <v>32</v>
      </c>
      <c r="O3865">
        <v>20</v>
      </c>
      <c r="P3865">
        <v>40</v>
      </c>
      <c r="Q3865">
        <v>22</v>
      </c>
      <c r="R3865">
        <v>35</v>
      </c>
    </row>
    <row r="3866" spans="1:18" x14ac:dyDescent="0.25">
      <c r="A3866" t="s">
        <v>4142</v>
      </c>
      <c r="B3866" t="s">
        <v>55</v>
      </c>
      <c r="C3866" t="s">
        <v>4113</v>
      </c>
      <c r="D3866" t="s">
        <v>4114</v>
      </c>
      <c r="E3866" t="s">
        <v>78</v>
      </c>
      <c r="F3866" t="s">
        <v>252</v>
      </c>
      <c r="G3866">
        <v>7.1810999999999998</v>
      </c>
      <c r="H3866">
        <v>-75.441900000000004</v>
      </c>
      <c r="I3866" t="s">
        <v>4115</v>
      </c>
      <c r="J3866">
        <v>11</v>
      </c>
      <c r="M3866">
        <v>145</v>
      </c>
      <c r="N3866">
        <v>17</v>
      </c>
      <c r="O3866">
        <v>28</v>
      </c>
      <c r="P3866">
        <v>38</v>
      </c>
      <c r="Q3866">
        <v>31</v>
      </c>
      <c r="R3866">
        <v>35</v>
      </c>
    </row>
    <row r="3867" spans="1:18" x14ac:dyDescent="0.25">
      <c r="A3867" t="s">
        <v>4143</v>
      </c>
      <c r="B3867" t="s">
        <v>55</v>
      </c>
      <c r="C3867" t="s">
        <v>4113</v>
      </c>
      <c r="D3867" t="s">
        <v>4114</v>
      </c>
      <c r="E3867" t="s">
        <v>78</v>
      </c>
      <c r="F3867" t="s">
        <v>252</v>
      </c>
      <c r="G3867">
        <v>7.1810999999999998</v>
      </c>
      <c r="H3867">
        <v>-75.441900000000004</v>
      </c>
      <c r="I3867" t="s">
        <v>4115</v>
      </c>
      <c r="J3867">
        <v>11</v>
      </c>
      <c r="M3867">
        <v>145</v>
      </c>
      <c r="N3867">
        <v>24</v>
      </c>
      <c r="O3867">
        <v>30</v>
      </c>
      <c r="P3867">
        <v>30</v>
      </c>
      <c r="Q3867">
        <v>28</v>
      </c>
      <c r="R3867">
        <v>40</v>
      </c>
    </row>
    <row r="3868" spans="1:18" x14ac:dyDescent="0.25">
      <c r="A3868" t="s">
        <v>4144</v>
      </c>
      <c r="B3868" t="s">
        <v>55</v>
      </c>
      <c r="C3868" t="s">
        <v>4113</v>
      </c>
      <c r="D3868" t="s">
        <v>4114</v>
      </c>
      <c r="E3868" t="s">
        <v>78</v>
      </c>
      <c r="F3868" t="s">
        <v>252</v>
      </c>
      <c r="G3868">
        <v>7.1810999999999998</v>
      </c>
      <c r="H3868">
        <v>-75.441900000000004</v>
      </c>
      <c r="I3868" t="s">
        <v>4115</v>
      </c>
      <c r="J3868">
        <v>11</v>
      </c>
      <c r="M3868">
        <v>143</v>
      </c>
      <c r="N3868">
        <v>34</v>
      </c>
      <c r="O3868">
        <v>22</v>
      </c>
      <c r="P3868">
        <v>28</v>
      </c>
      <c r="Q3868">
        <v>19</v>
      </c>
      <c r="R3868">
        <v>64</v>
      </c>
    </row>
    <row r="3869" spans="1:18" x14ac:dyDescent="0.25">
      <c r="A3869" t="s">
        <v>4145</v>
      </c>
      <c r="B3869" t="s">
        <v>55</v>
      </c>
      <c r="C3869" t="s">
        <v>4113</v>
      </c>
      <c r="D3869" t="s">
        <v>4114</v>
      </c>
      <c r="E3869" t="s">
        <v>78</v>
      </c>
      <c r="F3869" t="s">
        <v>252</v>
      </c>
      <c r="G3869">
        <v>7.1810999999999998</v>
      </c>
      <c r="H3869">
        <v>-75.441900000000004</v>
      </c>
      <c r="I3869" t="s">
        <v>4115</v>
      </c>
      <c r="J3869">
        <v>11</v>
      </c>
      <c r="M3869">
        <v>143</v>
      </c>
      <c r="N3869">
        <v>37</v>
      </c>
      <c r="O3869">
        <v>12</v>
      </c>
      <c r="P3869">
        <v>36</v>
      </c>
      <c r="Q3869">
        <v>28</v>
      </c>
      <c r="R3869">
        <v>35</v>
      </c>
    </row>
    <row r="3870" spans="1:18" x14ac:dyDescent="0.25">
      <c r="A3870" t="s">
        <v>4146</v>
      </c>
      <c r="B3870" t="s">
        <v>55</v>
      </c>
      <c r="C3870" t="s">
        <v>4113</v>
      </c>
      <c r="D3870" t="s">
        <v>4114</v>
      </c>
      <c r="E3870" t="s">
        <v>78</v>
      </c>
      <c r="F3870" t="s">
        <v>252</v>
      </c>
      <c r="G3870">
        <v>7.1810999999999998</v>
      </c>
      <c r="H3870">
        <v>-75.441900000000004</v>
      </c>
      <c r="I3870" t="s">
        <v>4115</v>
      </c>
      <c r="J3870">
        <v>11</v>
      </c>
      <c r="M3870">
        <v>142</v>
      </c>
      <c r="N3870">
        <v>15</v>
      </c>
      <c r="O3870">
        <v>24</v>
      </c>
      <c r="P3870">
        <v>44</v>
      </c>
      <c r="Q3870">
        <v>19</v>
      </c>
      <c r="R3870">
        <v>64</v>
      </c>
    </row>
    <row r="3871" spans="1:18" x14ac:dyDescent="0.25">
      <c r="A3871" t="s">
        <v>4147</v>
      </c>
      <c r="B3871" t="s">
        <v>55</v>
      </c>
      <c r="C3871" t="s">
        <v>4113</v>
      </c>
      <c r="D3871" t="s">
        <v>4114</v>
      </c>
      <c r="E3871" t="s">
        <v>78</v>
      </c>
      <c r="F3871" t="s">
        <v>252</v>
      </c>
      <c r="G3871">
        <v>7.1810999999999998</v>
      </c>
      <c r="H3871">
        <v>-75.441900000000004</v>
      </c>
      <c r="I3871" t="s">
        <v>4115</v>
      </c>
      <c r="J3871">
        <v>11</v>
      </c>
      <c r="M3871">
        <v>139</v>
      </c>
      <c r="N3871">
        <v>32</v>
      </c>
      <c r="O3871">
        <v>14</v>
      </c>
      <c r="P3871">
        <v>42</v>
      </c>
      <c r="Q3871">
        <v>22</v>
      </c>
      <c r="R3871">
        <v>31</v>
      </c>
    </row>
    <row r="3872" spans="1:18" x14ac:dyDescent="0.25">
      <c r="A3872" t="s">
        <v>4148</v>
      </c>
      <c r="B3872" t="s">
        <v>55</v>
      </c>
      <c r="C3872" t="s">
        <v>4113</v>
      </c>
      <c r="D3872" t="s">
        <v>4114</v>
      </c>
      <c r="E3872" t="s">
        <v>78</v>
      </c>
      <c r="F3872" t="s">
        <v>252</v>
      </c>
      <c r="G3872">
        <v>7.1810999999999998</v>
      </c>
      <c r="H3872">
        <v>-75.441900000000004</v>
      </c>
      <c r="I3872" t="s">
        <v>4115</v>
      </c>
      <c r="J3872">
        <v>11</v>
      </c>
      <c r="M3872">
        <v>134</v>
      </c>
      <c r="N3872">
        <v>24</v>
      </c>
      <c r="O3872">
        <v>36</v>
      </c>
      <c r="P3872">
        <v>30</v>
      </c>
      <c r="Q3872">
        <v>17</v>
      </c>
      <c r="R3872">
        <v>25</v>
      </c>
    </row>
    <row r="3873" spans="1:18" x14ac:dyDescent="0.25">
      <c r="A3873" t="s">
        <v>4149</v>
      </c>
      <c r="B3873" t="s">
        <v>55</v>
      </c>
      <c r="C3873" t="s">
        <v>4113</v>
      </c>
      <c r="D3873" t="s">
        <v>4114</v>
      </c>
      <c r="E3873" t="s">
        <v>78</v>
      </c>
      <c r="F3873" t="s">
        <v>252</v>
      </c>
      <c r="G3873">
        <v>7.1810999999999998</v>
      </c>
      <c r="H3873">
        <v>-75.441900000000004</v>
      </c>
      <c r="I3873" t="s">
        <v>4115</v>
      </c>
      <c r="J3873">
        <v>11</v>
      </c>
      <c r="M3873">
        <v>132</v>
      </c>
      <c r="N3873">
        <v>32</v>
      </c>
      <c r="O3873">
        <v>12</v>
      </c>
      <c r="P3873">
        <v>36</v>
      </c>
      <c r="Q3873">
        <v>19</v>
      </c>
      <c r="R3873">
        <v>47</v>
      </c>
    </row>
    <row r="3874" spans="1:18" x14ac:dyDescent="0.25">
      <c r="A3874" t="s">
        <v>4150</v>
      </c>
      <c r="B3874" t="s">
        <v>55</v>
      </c>
      <c r="C3874" t="s">
        <v>4113</v>
      </c>
      <c r="D3874" t="s">
        <v>4114</v>
      </c>
      <c r="E3874" t="s">
        <v>78</v>
      </c>
      <c r="F3874" t="s">
        <v>252</v>
      </c>
      <c r="G3874">
        <v>7.1810999999999998</v>
      </c>
      <c r="H3874">
        <v>-75.441900000000004</v>
      </c>
      <c r="I3874" t="s">
        <v>4115</v>
      </c>
      <c r="J3874">
        <v>11</v>
      </c>
      <c r="M3874">
        <v>128</v>
      </c>
      <c r="N3874">
        <v>22</v>
      </c>
      <c r="O3874">
        <v>22</v>
      </c>
      <c r="P3874">
        <v>30</v>
      </c>
      <c r="Q3874">
        <v>28</v>
      </c>
      <c r="R3874">
        <v>29</v>
      </c>
    </row>
    <row r="3875" spans="1:18" x14ac:dyDescent="0.25">
      <c r="A3875" t="s">
        <v>4151</v>
      </c>
      <c r="B3875" t="s">
        <v>55</v>
      </c>
      <c r="C3875" t="s">
        <v>4113</v>
      </c>
      <c r="D3875" t="s">
        <v>4114</v>
      </c>
      <c r="E3875" t="s">
        <v>78</v>
      </c>
      <c r="F3875" t="s">
        <v>252</v>
      </c>
      <c r="G3875">
        <v>7.1810999999999998</v>
      </c>
      <c r="H3875">
        <v>-75.441900000000004</v>
      </c>
      <c r="I3875" t="s">
        <v>4115</v>
      </c>
      <c r="J3875">
        <v>11</v>
      </c>
      <c r="M3875">
        <v>128</v>
      </c>
      <c r="N3875">
        <v>24</v>
      </c>
      <c r="O3875">
        <v>10</v>
      </c>
      <c r="P3875">
        <v>44</v>
      </c>
      <c r="Q3875">
        <v>21</v>
      </c>
      <c r="R3875">
        <v>35</v>
      </c>
    </row>
    <row r="3876" spans="1:18" x14ac:dyDescent="0.25">
      <c r="A3876" t="s">
        <v>4152</v>
      </c>
      <c r="B3876" t="s">
        <v>55</v>
      </c>
      <c r="C3876" t="s">
        <v>4113</v>
      </c>
      <c r="D3876" t="s">
        <v>4114</v>
      </c>
      <c r="E3876" t="s">
        <v>78</v>
      </c>
      <c r="F3876" t="s">
        <v>252</v>
      </c>
      <c r="G3876">
        <v>7.1810999999999998</v>
      </c>
      <c r="H3876">
        <v>-75.441900000000004</v>
      </c>
      <c r="I3876" t="s">
        <v>4115</v>
      </c>
      <c r="J3876">
        <v>11</v>
      </c>
      <c r="M3876">
        <v>123</v>
      </c>
      <c r="N3876">
        <v>22</v>
      </c>
      <c r="O3876">
        <v>22</v>
      </c>
      <c r="P3876">
        <v>34</v>
      </c>
      <c r="Q3876">
        <v>17</v>
      </c>
      <c r="R3876">
        <v>35</v>
      </c>
    </row>
    <row r="3877" spans="1:18" x14ac:dyDescent="0.25">
      <c r="A3877" t="s">
        <v>4153</v>
      </c>
      <c r="B3877" t="s">
        <v>55</v>
      </c>
      <c r="C3877" t="s">
        <v>4113</v>
      </c>
      <c r="D3877" t="s">
        <v>4114</v>
      </c>
      <c r="E3877" t="s">
        <v>78</v>
      </c>
      <c r="F3877" t="s">
        <v>252</v>
      </c>
      <c r="G3877">
        <v>7.1810999999999998</v>
      </c>
      <c r="H3877">
        <v>-75.441900000000004</v>
      </c>
      <c r="I3877" t="s">
        <v>4115</v>
      </c>
      <c r="J3877">
        <v>11</v>
      </c>
      <c r="M3877">
        <v>117</v>
      </c>
      <c r="N3877">
        <v>37</v>
      </c>
      <c r="O3877">
        <v>18</v>
      </c>
      <c r="P3877">
        <v>28</v>
      </c>
      <c r="Q3877">
        <v>19</v>
      </c>
      <c r="R3877">
        <v>0</v>
      </c>
    </row>
    <row r="3878" spans="1:18" x14ac:dyDescent="0.25">
      <c r="A3878" t="s">
        <v>4154</v>
      </c>
      <c r="B3878" t="s">
        <v>55</v>
      </c>
      <c r="C3878" t="s">
        <v>4155</v>
      </c>
      <c r="D3878" t="s">
        <v>4156</v>
      </c>
      <c r="E3878" t="s">
        <v>78</v>
      </c>
      <c r="F3878" t="s">
        <v>252</v>
      </c>
      <c r="G3878">
        <v>8.4285999999999994</v>
      </c>
      <c r="H3878">
        <v>-76.786100000000005</v>
      </c>
      <c r="I3878" t="s">
        <v>4157</v>
      </c>
      <c r="J3878">
        <v>11</v>
      </c>
      <c r="M3878">
        <v>191</v>
      </c>
      <c r="N3878">
        <v>34</v>
      </c>
      <c r="O3878">
        <v>44</v>
      </c>
      <c r="P3878">
        <v>42</v>
      </c>
      <c r="Q3878">
        <v>29</v>
      </c>
      <c r="R3878">
        <v>49</v>
      </c>
    </row>
    <row r="3879" spans="1:18" x14ac:dyDescent="0.25">
      <c r="A3879" t="s">
        <v>4158</v>
      </c>
      <c r="B3879" t="s">
        <v>55</v>
      </c>
      <c r="C3879" t="s">
        <v>4155</v>
      </c>
      <c r="D3879" t="s">
        <v>4156</v>
      </c>
      <c r="E3879" t="s">
        <v>78</v>
      </c>
      <c r="F3879" t="s">
        <v>252</v>
      </c>
      <c r="G3879">
        <v>8.4285999999999994</v>
      </c>
      <c r="H3879">
        <v>-76.786100000000005</v>
      </c>
      <c r="I3879" t="s">
        <v>4157</v>
      </c>
      <c r="J3879">
        <v>11</v>
      </c>
      <c r="M3879">
        <v>191</v>
      </c>
      <c r="N3879">
        <v>39</v>
      </c>
      <c r="O3879">
        <v>34</v>
      </c>
      <c r="P3879">
        <v>46</v>
      </c>
      <c r="Q3879">
        <v>36</v>
      </c>
      <c r="R3879">
        <v>31</v>
      </c>
    </row>
    <row r="3880" spans="1:18" x14ac:dyDescent="0.25">
      <c r="A3880" t="s">
        <v>4159</v>
      </c>
      <c r="B3880" t="s">
        <v>55</v>
      </c>
      <c r="C3880" t="s">
        <v>4155</v>
      </c>
      <c r="D3880" t="s">
        <v>4156</v>
      </c>
      <c r="E3880" t="s">
        <v>78</v>
      </c>
      <c r="F3880" t="s">
        <v>252</v>
      </c>
      <c r="G3880">
        <v>8.4285999999999994</v>
      </c>
      <c r="H3880">
        <v>-76.786100000000005</v>
      </c>
      <c r="I3880" t="s">
        <v>4157</v>
      </c>
      <c r="J3880">
        <v>11</v>
      </c>
      <c r="M3880">
        <v>189</v>
      </c>
      <c r="N3880">
        <v>49</v>
      </c>
      <c r="O3880">
        <v>22</v>
      </c>
      <c r="P3880">
        <v>54</v>
      </c>
      <c r="Q3880">
        <v>24</v>
      </c>
      <c r="R3880">
        <v>44</v>
      </c>
    </row>
    <row r="3881" spans="1:18" x14ac:dyDescent="0.25">
      <c r="A3881" t="s">
        <v>4160</v>
      </c>
      <c r="B3881" t="s">
        <v>55</v>
      </c>
      <c r="C3881" t="s">
        <v>4155</v>
      </c>
      <c r="D3881" t="s">
        <v>4156</v>
      </c>
      <c r="E3881" t="s">
        <v>78</v>
      </c>
      <c r="F3881" t="s">
        <v>252</v>
      </c>
      <c r="G3881">
        <v>8.4285999999999994</v>
      </c>
      <c r="H3881">
        <v>-76.786100000000005</v>
      </c>
      <c r="I3881" t="s">
        <v>4157</v>
      </c>
      <c r="J3881">
        <v>11</v>
      </c>
      <c r="M3881">
        <v>182</v>
      </c>
      <c r="N3881">
        <v>41</v>
      </c>
      <c r="O3881">
        <v>26</v>
      </c>
      <c r="P3881">
        <v>42</v>
      </c>
      <c r="Q3881">
        <v>33</v>
      </c>
      <c r="R3881">
        <v>45</v>
      </c>
    </row>
    <row r="3882" spans="1:18" x14ac:dyDescent="0.25">
      <c r="A3882" t="s">
        <v>4161</v>
      </c>
      <c r="B3882" t="s">
        <v>55</v>
      </c>
      <c r="C3882" t="s">
        <v>4155</v>
      </c>
      <c r="D3882" t="s">
        <v>4156</v>
      </c>
      <c r="E3882" t="s">
        <v>78</v>
      </c>
      <c r="F3882" t="s">
        <v>252</v>
      </c>
      <c r="G3882">
        <v>8.4285999999999994</v>
      </c>
      <c r="H3882">
        <v>-76.786100000000005</v>
      </c>
      <c r="I3882" t="s">
        <v>4157</v>
      </c>
      <c r="J3882">
        <v>11</v>
      </c>
      <c r="M3882">
        <v>180</v>
      </c>
      <c r="N3882">
        <v>34</v>
      </c>
      <c r="O3882">
        <v>28</v>
      </c>
      <c r="P3882">
        <v>50</v>
      </c>
      <c r="Q3882">
        <v>31</v>
      </c>
      <c r="R3882">
        <v>38</v>
      </c>
    </row>
    <row r="3883" spans="1:18" x14ac:dyDescent="0.25">
      <c r="A3883" t="s">
        <v>4162</v>
      </c>
      <c r="B3883" t="s">
        <v>55</v>
      </c>
      <c r="C3883" t="s">
        <v>4155</v>
      </c>
      <c r="D3883" t="s">
        <v>4156</v>
      </c>
      <c r="E3883" t="s">
        <v>78</v>
      </c>
      <c r="F3883" t="s">
        <v>252</v>
      </c>
      <c r="G3883">
        <v>8.4285999999999994</v>
      </c>
      <c r="H3883">
        <v>-76.786100000000005</v>
      </c>
      <c r="I3883" t="s">
        <v>4157</v>
      </c>
      <c r="J3883">
        <v>11</v>
      </c>
      <c r="M3883">
        <v>179</v>
      </c>
      <c r="N3883">
        <v>39</v>
      </c>
      <c r="O3883">
        <v>16</v>
      </c>
      <c r="P3883">
        <v>52</v>
      </c>
      <c r="Q3883">
        <v>34</v>
      </c>
      <c r="R3883">
        <v>40</v>
      </c>
    </row>
    <row r="3884" spans="1:18" x14ac:dyDescent="0.25">
      <c r="A3884" t="s">
        <v>4163</v>
      </c>
      <c r="B3884" t="s">
        <v>55</v>
      </c>
      <c r="C3884" t="s">
        <v>4155</v>
      </c>
      <c r="D3884" t="s">
        <v>4156</v>
      </c>
      <c r="E3884" t="s">
        <v>78</v>
      </c>
      <c r="F3884" t="s">
        <v>252</v>
      </c>
      <c r="G3884">
        <v>8.4285999999999994</v>
      </c>
      <c r="H3884">
        <v>-76.786100000000005</v>
      </c>
      <c r="I3884" t="s">
        <v>4157</v>
      </c>
      <c r="J3884">
        <v>11</v>
      </c>
      <c r="M3884">
        <v>176</v>
      </c>
      <c r="N3884">
        <v>49</v>
      </c>
      <c r="O3884">
        <v>20</v>
      </c>
      <c r="P3884">
        <v>40</v>
      </c>
      <c r="Q3884">
        <v>31</v>
      </c>
      <c r="R3884">
        <v>38</v>
      </c>
    </row>
    <row r="3885" spans="1:18" x14ac:dyDescent="0.25">
      <c r="A3885" t="s">
        <v>4164</v>
      </c>
      <c r="B3885" t="s">
        <v>55</v>
      </c>
      <c r="C3885" t="s">
        <v>4155</v>
      </c>
      <c r="D3885" t="s">
        <v>4156</v>
      </c>
      <c r="E3885" t="s">
        <v>78</v>
      </c>
      <c r="F3885" t="s">
        <v>252</v>
      </c>
      <c r="G3885">
        <v>8.4285999999999994</v>
      </c>
      <c r="H3885">
        <v>-76.786100000000005</v>
      </c>
      <c r="I3885" t="s">
        <v>4157</v>
      </c>
      <c r="J3885">
        <v>11</v>
      </c>
      <c r="M3885">
        <v>172</v>
      </c>
      <c r="N3885">
        <v>32</v>
      </c>
      <c r="O3885">
        <v>26</v>
      </c>
      <c r="P3885">
        <v>44</v>
      </c>
      <c r="Q3885">
        <v>36</v>
      </c>
      <c r="R3885">
        <v>35</v>
      </c>
    </row>
    <row r="3886" spans="1:18" x14ac:dyDescent="0.25">
      <c r="A3886" t="s">
        <v>4165</v>
      </c>
      <c r="B3886" t="s">
        <v>55</v>
      </c>
      <c r="C3886" t="s">
        <v>4155</v>
      </c>
      <c r="D3886" t="s">
        <v>4156</v>
      </c>
      <c r="E3886" t="s">
        <v>78</v>
      </c>
      <c r="F3886" t="s">
        <v>252</v>
      </c>
      <c r="G3886">
        <v>8.4285999999999994</v>
      </c>
      <c r="H3886">
        <v>-76.786100000000005</v>
      </c>
      <c r="I3886" t="s">
        <v>4157</v>
      </c>
      <c r="J3886">
        <v>11</v>
      </c>
      <c r="M3886">
        <v>172</v>
      </c>
      <c r="N3886">
        <v>37</v>
      </c>
      <c r="O3886">
        <v>16</v>
      </c>
      <c r="P3886">
        <v>50</v>
      </c>
      <c r="Q3886">
        <v>36</v>
      </c>
      <c r="R3886">
        <v>31</v>
      </c>
    </row>
    <row r="3887" spans="1:18" x14ac:dyDescent="0.25">
      <c r="A3887" t="s">
        <v>4166</v>
      </c>
      <c r="B3887" t="s">
        <v>55</v>
      </c>
      <c r="C3887" t="s">
        <v>4155</v>
      </c>
      <c r="D3887" t="s">
        <v>4156</v>
      </c>
      <c r="E3887" t="s">
        <v>78</v>
      </c>
      <c r="F3887" t="s">
        <v>252</v>
      </c>
      <c r="G3887">
        <v>8.4285999999999994</v>
      </c>
      <c r="H3887">
        <v>-76.786100000000005</v>
      </c>
      <c r="I3887" t="s">
        <v>4157</v>
      </c>
      <c r="J3887">
        <v>11</v>
      </c>
      <c r="M3887">
        <v>167</v>
      </c>
      <c r="N3887">
        <v>34</v>
      </c>
      <c r="O3887">
        <v>18</v>
      </c>
      <c r="P3887">
        <v>48</v>
      </c>
      <c r="Q3887">
        <v>34</v>
      </c>
      <c r="R3887">
        <v>31</v>
      </c>
    </row>
    <row r="3888" spans="1:18" x14ac:dyDescent="0.25">
      <c r="A3888" t="s">
        <v>4167</v>
      </c>
      <c r="B3888" t="s">
        <v>55</v>
      </c>
      <c r="C3888" t="s">
        <v>4155</v>
      </c>
      <c r="D3888" t="s">
        <v>4156</v>
      </c>
      <c r="E3888" t="s">
        <v>78</v>
      </c>
      <c r="F3888" t="s">
        <v>252</v>
      </c>
      <c r="G3888">
        <v>8.4285999999999994</v>
      </c>
      <c r="H3888">
        <v>-76.786100000000005</v>
      </c>
      <c r="I3888" t="s">
        <v>4157</v>
      </c>
      <c r="J3888">
        <v>11</v>
      </c>
      <c r="M3888">
        <v>167</v>
      </c>
      <c r="N3888">
        <v>46</v>
      </c>
      <c r="O3888">
        <v>22</v>
      </c>
      <c r="P3888">
        <v>38</v>
      </c>
      <c r="Q3888">
        <v>28</v>
      </c>
      <c r="R3888">
        <v>33</v>
      </c>
    </row>
    <row r="3889" spans="1:18" x14ac:dyDescent="0.25">
      <c r="A3889" t="s">
        <v>4168</v>
      </c>
      <c r="B3889" t="s">
        <v>55</v>
      </c>
      <c r="C3889" t="s">
        <v>4155</v>
      </c>
      <c r="D3889" t="s">
        <v>4156</v>
      </c>
      <c r="E3889" t="s">
        <v>78</v>
      </c>
      <c r="F3889" t="s">
        <v>252</v>
      </c>
      <c r="G3889">
        <v>8.4285999999999994</v>
      </c>
      <c r="H3889">
        <v>-76.786100000000005</v>
      </c>
      <c r="I3889" t="s">
        <v>4157</v>
      </c>
      <c r="J3889">
        <v>11</v>
      </c>
      <c r="M3889">
        <v>163</v>
      </c>
      <c r="N3889">
        <v>29</v>
      </c>
      <c r="O3889">
        <v>32</v>
      </c>
      <c r="P3889">
        <v>42</v>
      </c>
      <c r="Q3889">
        <v>29</v>
      </c>
      <c r="R3889">
        <v>27</v>
      </c>
    </row>
    <row r="3890" spans="1:18" x14ac:dyDescent="0.25">
      <c r="A3890" t="s">
        <v>4169</v>
      </c>
      <c r="B3890" t="s">
        <v>55</v>
      </c>
      <c r="C3890" t="s">
        <v>4155</v>
      </c>
      <c r="D3890" t="s">
        <v>4156</v>
      </c>
      <c r="E3890" t="s">
        <v>78</v>
      </c>
      <c r="F3890" t="s">
        <v>252</v>
      </c>
      <c r="G3890">
        <v>8.4285999999999994</v>
      </c>
      <c r="H3890">
        <v>-76.786100000000005</v>
      </c>
      <c r="I3890" t="s">
        <v>4157</v>
      </c>
      <c r="J3890">
        <v>11</v>
      </c>
      <c r="M3890">
        <v>161</v>
      </c>
      <c r="N3890">
        <v>32</v>
      </c>
      <c r="O3890">
        <v>34</v>
      </c>
      <c r="P3890">
        <v>20</v>
      </c>
      <c r="Q3890">
        <v>38</v>
      </c>
      <c r="R3890">
        <v>47</v>
      </c>
    </row>
    <row r="3891" spans="1:18" x14ac:dyDescent="0.25">
      <c r="A3891" t="s">
        <v>4170</v>
      </c>
      <c r="B3891" t="s">
        <v>55</v>
      </c>
      <c r="C3891" t="s">
        <v>4155</v>
      </c>
      <c r="D3891" t="s">
        <v>4156</v>
      </c>
      <c r="E3891" t="s">
        <v>78</v>
      </c>
      <c r="F3891" t="s">
        <v>252</v>
      </c>
      <c r="G3891">
        <v>8.4285999999999994</v>
      </c>
      <c r="H3891">
        <v>-76.786100000000005</v>
      </c>
      <c r="I3891" t="s">
        <v>4157</v>
      </c>
      <c r="J3891">
        <v>11</v>
      </c>
      <c r="M3891">
        <v>160</v>
      </c>
      <c r="N3891">
        <v>27</v>
      </c>
      <c r="O3891">
        <v>20</v>
      </c>
      <c r="P3891">
        <v>46</v>
      </c>
      <c r="Q3891">
        <v>33</v>
      </c>
      <c r="R3891">
        <v>40</v>
      </c>
    </row>
    <row r="3892" spans="1:18" x14ac:dyDescent="0.25">
      <c r="A3892" t="s">
        <v>4171</v>
      </c>
      <c r="B3892" t="s">
        <v>55</v>
      </c>
      <c r="C3892" t="s">
        <v>4155</v>
      </c>
      <c r="D3892" t="s">
        <v>4156</v>
      </c>
      <c r="E3892" t="s">
        <v>78</v>
      </c>
      <c r="F3892" t="s">
        <v>252</v>
      </c>
      <c r="G3892">
        <v>8.4285999999999994</v>
      </c>
      <c r="H3892">
        <v>-76.786100000000005</v>
      </c>
      <c r="I3892" t="s">
        <v>4157</v>
      </c>
      <c r="J3892">
        <v>11</v>
      </c>
      <c r="M3892">
        <v>158</v>
      </c>
      <c r="N3892">
        <v>29</v>
      </c>
      <c r="O3892">
        <v>42</v>
      </c>
      <c r="P3892">
        <v>34</v>
      </c>
      <c r="Q3892">
        <v>24</v>
      </c>
      <c r="R3892">
        <v>24</v>
      </c>
    </row>
    <row r="3893" spans="1:18" x14ac:dyDescent="0.25">
      <c r="A3893" t="s">
        <v>4172</v>
      </c>
      <c r="B3893" t="s">
        <v>55</v>
      </c>
      <c r="C3893" t="s">
        <v>4155</v>
      </c>
      <c r="D3893" t="s">
        <v>4156</v>
      </c>
      <c r="E3893" t="s">
        <v>78</v>
      </c>
      <c r="F3893" t="s">
        <v>252</v>
      </c>
      <c r="G3893">
        <v>8.4285999999999994</v>
      </c>
      <c r="H3893">
        <v>-76.786100000000005</v>
      </c>
      <c r="I3893" t="s">
        <v>4157</v>
      </c>
      <c r="J3893">
        <v>11</v>
      </c>
      <c r="M3893">
        <v>158</v>
      </c>
      <c r="N3893">
        <v>41</v>
      </c>
      <c r="O3893">
        <v>22</v>
      </c>
      <c r="P3893">
        <v>34</v>
      </c>
      <c r="Q3893">
        <v>28</v>
      </c>
      <c r="R3893">
        <v>36</v>
      </c>
    </row>
    <row r="3894" spans="1:18" x14ac:dyDescent="0.25">
      <c r="A3894" t="s">
        <v>4173</v>
      </c>
      <c r="B3894" t="s">
        <v>55</v>
      </c>
      <c r="C3894" t="s">
        <v>4155</v>
      </c>
      <c r="D3894" t="s">
        <v>4156</v>
      </c>
      <c r="E3894" t="s">
        <v>78</v>
      </c>
      <c r="F3894" t="s">
        <v>252</v>
      </c>
      <c r="G3894">
        <v>8.4285999999999994</v>
      </c>
      <c r="H3894">
        <v>-76.786100000000005</v>
      </c>
      <c r="I3894" t="s">
        <v>4157</v>
      </c>
      <c r="J3894">
        <v>11</v>
      </c>
      <c r="M3894">
        <v>153</v>
      </c>
      <c r="N3894">
        <v>34</v>
      </c>
      <c r="O3894">
        <v>24</v>
      </c>
      <c r="P3894">
        <v>28</v>
      </c>
      <c r="Q3894">
        <v>38</v>
      </c>
      <c r="R3894">
        <v>25</v>
      </c>
    </row>
    <row r="3895" spans="1:18" x14ac:dyDescent="0.25">
      <c r="A3895" t="s">
        <v>4174</v>
      </c>
      <c r="B3895" t="s">
        <v>55</v>
      </c>
      <c r="C3895" t="s">
        <v>4155</v>
      </c>
      <c r="D3895" t="s">
        <v>4156</v>
      </c>
      <c r="E3895" t="s">
        <v>78</v>
      </c>
      <c r="F3895" t="s">
        <v>252</v>
      </c>
      <c r="G3895">
        <v>8.4285999999999994</v>
      </c>
      <c r="H3895">
        <v>-76.786100000000005</v>
      </c>
      <c r="I3895" t="s">
        <v>4157</v>
      </c>
      <c r="J3895">
        <v>11</v>
      </c>
      <c r="M3895">
        <v>150</v>
      </c>
      <c r="N3895">
        <v>32</v>
      </c>
      <c r="O3895">
        <v>24</v>
      </c>
      <c r="P3895">
        <v>30</v>
      </c>
      <c r="Q3895">
        <v>36</v>
      </c>
      <c r="R3895">
        <v>24</v>
      </c>
    </row>
    <row r="3896" spans="1:18" x14ac:dyDescent="0.25">
      <c r="A3896" t="s">
        <v>4175</v>
      </c>
      <c r="B3896" t="s">
        <v>55</v>
      </c>
      <c r="C3896" t="s">
        <v>4155</v>
      </c>
      <c r="D3896" t="s">
        <v>4156</v>
      </c>
      <c r="E3896" t="s">
        <v>78</v>
      </c>
      <c r="F3896" t="s">
        <v>252</v>
      </c>
      <c r="G3896">
        <v>8.4285999999999994</v>
      </c>
      <c r="H3896">
        <v>-76.786100000000005</v>
      </c>
      <c r="I3896" t="s">
        <v>4157</v>
      </c>
      <c r="J3896">
        <v>11</v>
      </c>
      <c r="M3896">
        <v>149</v>
      </c>
      <c r="N3896">
        <v>37</v>
      </c>
      <c r="O3896">
        <v>20</v>
      </c>
      <c r="P3896">
        <v>32</v>
      </c>
      <c r="Q3896">
        <v>29</v>
      </c>
      <c r="R3896">
        <v>35</v>
      </c>
    </row>
    <row r="3897" spans="1:18" x14ac:dyDescent="0.25">
      <c r="A3897" t="s">
        <v>4176</v>
      </c>
      <c r="B3897" t="s">
        <v>55</v>
      </c>
      <c r="C3897" t="s">
        <v>4155</v>
      </c>
      <c r="D3897" t="s">
        <v>4156</v>
      </c>
      <c r="E3897" t="s">
        <v>78</v>
      </c>
      <c r="F3897" t="s">
        <v>252</v>
      </c>
      <c r="G3897">
        <v>8.4285999999999994</v>
      </c>
      <c r="H3897">
        <v>-76.786100000000005</v>
      </c>
      <c r="I3897" t="s">
        <v>4157</v>
      </c>
      <c r="J3897">
        <v>11</v>
      </c>
      <c r="M3897">
        <v>149</v>
      </c>
      <c r="N3897">
        <v>29</v>
      </c>
      <c r="O3897">
        <v>38</v>
      </c>
      <c r="P3897">
        <v>28</v>
      </c>
      <c r="Q3897">
        <v>22</v>
      </c>
      <c r="R3897">
        <v>35</v>
      </c>
    </row>
    <row r="3898" spans="1:18" x14ac:dyDescent="0.25">
      <c r="A3898" t="s">
        <v>4177</v>
      </c>
      <c r="B3898" t="s">
        <v>55</v>
      </c>
      <c r="C3898" t="s">
        <v>4155</v>
      </c>
      <c r="D3898" t="s">
        <v>4156</v>
      </c>
      <c r="E3898" t="s">
        <v>78</v>
      </c>
      <c r="F3898" t="s">
        <v>252</v>
      </c>
      <c r="G3898">
        <v>8.4285999999999994</v>
      </c>
      <c r="H3898">
        <v>-76.786100000000005</v>
      </c>
      <c r="I3898" t="s">
        <v>4157</v>
      </c>
      <c r="J3898">
        <v>11</v>
      </c>
      <c r="M3898">
        <v>149</v>
      </c>
      <c r="N3898">
        <v>37</v>
      </c>
      <c r="O3898">
        <v>22</v>
      </c>
      <c r="P3898">
        <v>30</v>
      </c>
      <c r="Q3898">
        <v>26</v>
      </c>
      <c r="R3898">
        <v>44</v>
      </c>
    </row>
    <row r="3899" spans="1:18" x14ac:dyDescent="0.25">
      <c r="A3899" t="s">
        <v>4178</v>
      </c>
      <c r="B3899" t="s">
        <v>55</v>
      </c>
      <c r="C3899" t="s">
        <v>4155</v>
      </c>
      <c r="D3899" t="s">
        <v>4156</v>
      </c>
      <c r="E3899" t="s">
        <v>78</v>
      </c>
      <c r="F3899" t="s">
        <v>252</v>
      </c>
      <c r="G3899">
        <v>8.4285999999999994</v>
      </c>
      <c r="H3899">
        <v>-76.786100000000005</v>
      </c>
      <c r="I3899" t="s">
        <v>4157</v>
      </c>
      <c r="J3899">
        <v>11</v>
      </c>
      <c r="M3899">
        <v>147</v>
      </c>
      <c r="N3899">
        <v>34</v>
      </c>
      <c r="O3899">
        <v>24</v>
      </c>
      <c r="P3899">
        <v>30</v>
      </c>
      <c r="Q3899">
        <v>29</v>
      </c>
      <c r="R3899">
        <v>29</v>
      </c>
    </row>
    <row r="3900" spans="1:18" x14ac:dyDescent="0.25">
      <c r="A3900" t="s">
        <v>4179</v>
      </c>
      <c r="B3900" t="s">
        <v>55</v>
      </c>
      <c r="C3900" t="s">
        <v>4155</v>
      </c>
      <c r="D3900" t="s">
        <v>4156</v>
      </c>
      <c r="E3900" t="s">
        <v>78</v>
      </c>
      <c r="F3900" t="s">
        <v>252</v>
      </c>
      <c r="G3900">
        <v>8.4285999999999994</v>
      </c>
      <c r="H3900">
        <v>-76.786100000000005</v>
      </c>
      <c r="I3900" t="s">
        <v>4157</v>
      </c>
      <c r="J3900">
        <v>11</v>
      </c>
      <c r="M3900">
        <v>144</v>
      </c>
      <c r="N3900">
        <v>27</v>
      </c>
      <c r="O3900">
        <v>24</v>
      </c>
      <c r="P3900">
        <v>42</v>
      </c>
      <c r="Q3900">
        <v>21</v>
      </c>
      <c r="R3900">
        <v>33</v>
      </c>
    </row>
    <row r="3901" spans="1:18" x14ac:dyDescent="0.25">
      <c r="A3901" t="s">
        <v>4180</v>
      </c>
      <c r="B3901" t="s">
        <v>55</v>
      </c>
      <c r="C3901" t="s">
        <v>4155</v>
      </c>
      <c r="D3901" t="s">
        <v>4156</v>
      </c>
      <c r="E3901" t="s">
        <v>78</v>
      </c>
      <c r="F3901" t="s">
        <v>252</v>
      </c>
      <c r="G3901">
        <v>8.4285999999999994</v>
      </c>
      <c r="H3901">
        <v>-76.786100000000005</v>
      </c>
      <c r="I3901" t="s">
        <v>4157</v>
      </c>
      <c r="J3901">
        <v>11</v>
      </c>
      <c r="M3901">
        <v>140</v>
      </c>
      <c r="N3901">
        <v>32</v>
      </c>
      <c r="O3901">
        <v>34</v>
      </c>
      <c r="P3901">
        <v>28</v>
      </c>
      <c r="Q3901">
        <v>21</v>
      </c>
      <c r="R3901">
        <v>22</v>
      </c>
    </row>
    <row r="3902" spans="1:18" x14ac:dyDescent="0.25">
      <c r="A3902" t="s">
        <v>4181</v>
      </c>
      <c r="B3902" t="s">
        <v>55</v>
      </c>
      <c r="C3902" t="s">
        <v>4155</v>
      </c>
      <c r="D3902" t="s">
        <v>4156</v>
      </c>
      <c r="E3902" t="s">
        <v>78</v>
      </c>
      <c r="F3902" t="s">
        <v>252</v>
      </c>
      <c r="G3902">
        <v>8.4285999999999994</v>
      </c>
      <c r="H3902">
        <v>-76.786100000000005</v>
      </c>
      <c r="I3902" t="s">
        <v>4157</v>
      </c>
      <c r="J3902">
        <v>11</v>
      </c>
      <c r="M3902">
        <v>139</v>
      </c>
      <c r="N3902">
        <v>37</v>
      </c>
      <c r="O3902">
        <v>18</v>
      </c>
      <c r="P3902">
        <v>38</v>
      </c>
      <c r="Q3902">
        <v>16</v>
      </c>
      <c r="R3902">
        <v>38</v>
      </c>
    </row>
    <row r="3903" spans="1:18" x14ac:dyDescent="0.25">
      <c r="A3903" t="s">
        <v>4182</v>
      </c>
      <c r="B3903" t="s">
        <v>55</v>
      </c>
      <c r="C3903" t="s">
        <v>4155</v>
      </c>
      <c r="D3903" t="s">
        <v>4156</v>
      </c>
      <c r="E3903" t="s">
        <v>78</v>
      </c>
      <c r="F3903" t="s">
        <v>252</v>
      </c>
      <c r="G3903">
        <v>8.4285999999999994</v>
      </c>
      <c r="H3903">
        <v>-76.786100000000005</v>
      </c>
      <c r="I3903" t="s">
        <v>4157</v>
      </c>
      <c r="J3903">
        <v>11</v>
      </c>
      <c r="M3903">
        <v>137</v>
      </c>
      <c r="N3903">
        <v>32</v>
      </c>
      <c r="O3903">
        <v>24</v>
      </c>
      <c r="P3903">
        <v>30</v>
      </c>
      <c r="Q3903">
        <v>22</v>
      </c>
      <c r="R3903">
        <v>31</v>
      </c>
    </row>
    <row r="3904" spans="1:18" x14ac:dyDescent="0.25">
      <c r="A3904" t="s">
        <v>4183</v>
      </c>
      <c r="B3904" t="s">
        <v>55</v>
      </c>
      <c r="C3904" t="s">
        <v>4155</v>
      </c>
      <c r="D3904" t="s">
        <v>4156</v>
      </c>
      <c r="E3904" t="s">
        <v>78</v>
      </c>
      <c r="F3904" t="s">
        <v>252</v>
      </c>
      <c r="G3904">
        <v>8.4285999999999994</v>
      </c>
      <c r="H3904">
        <v>-76.786100000000005</v>
      </c>
      <c r="I3904" t="s">
        <v>4157</v>
      </c>
      <c r="J3904">
        <v>11</v>
      </c>
      <c r="M3904">
        <v>135</v>
      </c>
      <c r="N3904">
        <v>20</v>
      </c>
      <c r="O3904">
        <v>20</v>
      </c>
      <c r="P3904">
        <v>32</v>
      </c>
      <c r="Q3904">
        <v>28</v>
      </c>
      <c r="R3904">
        <v>55</v>
      </c>
    </row>
    <row r="3905" spans="1:18" x14ac:dyDescent="0.25">
      <c r="A3905" t="s">
        <v>4184</v>
      </c>
      <c r="B3905" t="s">
        <v>55</v>
      </c>
      <c r="C3905" t="s">
        <v>4155</v>
      </c>
      <c r="D3905" t="s">
        <v>4156</v>
      </c>
      <c r="E3905" t="s">
        <v>78</v>
      </c>
      <c r="F3905" t="s">
        <v>252</v>
      </c>
      <c r="G3905">
        <v>8.4285999999999994</v>
      </c>
      <c r="H3905">
        <v>-76.786100000000005</v>
      </c>
      <c r="I3905" t="s">
        <v>4157</v>
      </c>
      <c r="J3905">
        <v>11</v>
      </c>
      <c r="M3905">
        <v>134</v>
      </c>
      <c r="N3905">
        <v>41</v>
      </c>
      <c r="O3905">
        <v>18</v>
      </c>
      <c r="P3905">
        <v>32</v>
      </c>
      <c r="Q3905">
        <v>17</v>
      </c>
      <c r="R3905">
        <v>22</v>
      </c>
    </row>
    <row r="3906" spans="1:18" x14ac:dyDescent="0.25">
      <c r="A3906" t="s">
        <v>4185</v>
      </c>
      <c r="B3906" t="s">
        <v>55</v>
      </c>
      <c r="C3906" t="s">
        <v>4155</v>
      </c>
      <c r="D3906" t="s">
        <v>4156</v>
      </c>
      <c r="E3906" t="s">
        <v>78</v>
      </c>
      <c r="F3906" t="s">
        <v>252</v>
      </c>
      <c r="G3906">
        <v>8.4285999999999994</v>
      </c>
      <c r="H3906">
        <v>-76.786100000000005</v>
      </c>
      <c r="I3906" t="s">
        <v>4157</v>
      </c>
      <c r="J3906">
        <v>11</v>
      </c>
      <c r="M3906">
        <v>134</v>
      </c>
      <c r="N3906">
        <v>24</v>
      </c>
      <c r="O3906">
        <v>36</v>
      </c>
      <c r="P3906">
        <v>28</v>
      </c>
      <c r="Q3906">
        <v>17</v>
      </c>
      <c r="R3906">
        <v>31</v>
      </c>
    </row>
    <row r="3907" spans="1:18" x14ac:dyDescent="0.25">
      <c r="A3907" t="s">
        <v>4186</v>
      </c>
      <c r="B3907" t="s">
        <v>55</v>
      </c>
      <c r="C3907" t="s">
        <v>4155</v>
      </c>
      <c r="D3907" t="s">
        <v>4156</v>
      </c>
      <c r="E3907" t="s">
        <v>78</v>
      </c>
      <c r="F3907" t="s">
        <v>252</v>
      </c>
      <c r="G3907">
        <v>8.4285999999999994</v>
      </c>
      <c r="H3907">
        <v>-76.786100000000005</v>
      </c>
      <c r="I3907" t="s">
        <v>4157</v>
      </c>
      <c r="J3907">
        <v>11</v>
      </c>
      <c r="M3907">
        <v>133</v>
      </c>
      <c r="N3907">
        <v>22</v>
      </c>
      <c r="O3907">
        <v>24</v>
      </c>
      <c r="P3907">
        <v>32</v>
      </c>
      <c r="Q3907">
        <v>28</v>
      </c>
      <c r="R3907">
        <v>29</v>
      </c>
    </row>
    <row r="3908" spans="1:18" x14ac:dyDescent="0.25">
      <c r="A3908" t="s">
        <v>4187</v>
      </c>
      <c r="B3908" t="s">
        <v>55</v>
      </c>
      <c r="C3908" t="s">
        <v>4155</v>
      </c>
      <c r="D3908" t="s">
        <v>4156</v>
      </c>
      <c r="E3908" t="s">
        <v>78</v>
      </c>
      <c r="F3908" t="s">
        <v>252</v>
      </c>
      <c r="G3908">
        <v>8.4285999999999994</v>
      </c>
      <c r="H3908">
        <v>-76.786100000000005</v>
      </c>
      <c r="I3908" t="s">
        <v>4157</v>
      </c>
      <c r="J3908">
        <v>11</v>
      </c>
      <c r="M3908">
        <v>131</v>
      </c>
      <c r="N3908">
        <v>22</v>
      </c>
      <c r="O3908">
        <v>20</v>
      </c>
      <c r="P3908">
        <v>34</v>
      </c>
      <c r="Q3908">
        <v>28</v>
      </c>
      <c r="R3908">
        <v>31</v>
      </c>
    </row>
    <row r="3909" spans="1:18" x14ac:dyDescent="0.25">
      <c r="A3909" t="s">
        <v>4188</v>
      </c>
      <c r="B3909" t="s">
        <v>55</v>
      </c>
      <c r="C3909" t="s">
        <v>4155</v>
      </c>
      <c r="D3909" t="s">
        <v>4156</v>
      </c>
      <c r="E3909" t="s">
        <v>78</v>
      </c>
      <c r="F3909" t="s">
        <v>252</v>
      </c>
      <c r="G3909">
        <v>8.4285999999999994</v>
      </c>
      <c r="H3909">
        <v>-76.786100000000005</v>
      </c>
      <c r="I3909" t="s">
        <v>4157</v>
      </c>
      <c r="J3909">
        <v>11</v>
      </c>
      <c r="M3909">
        <v>130</v>
      </c>
      <c r="N3909">
        <v>17</v>
      </c>
      <c r="O3909">
        <v>36</v>
      </c>
      <c r="P3909">
        <v>32</v>
      </c>
      <c r="Q3909">
        <v>17</v>
      </c>
      <c r="R3909">
        <v>31</v>
      </c>
    </row>
    <row r="3910" spans="1:18" x14ac:dyDescent="0.25">
      <c r="A3910" t="s">
        <v>4189</v>
      </c>
      <c r="B3910" t="s">
        <v>55</v>
      </c>
      <c r="C3910" t="s">
        <v>4155</v>
      </c>
      <c r="D3910" t="s">
        <v>4156</v>
      </c>
      <c r="E3910" t="s">
        <v>78</v>
      </c>
      <c r="F3910" t="s">
        <v>252</v>
      </c>
      <c r="G3910">
        <v>8.4285999999999994</v>
      </c>
      <c r="H3910">
        <v>-76.786100000000005</v>
      </c>
      <c r="I3910" t="s">
        <v>4157</v>
      </c>
      <c r="J3910">
        <v>11</v>
      </c>
      <c r="M3910">
        <v>129</v>
      </c>
      <c r="N3910">
        <v>27</v>
      </c>
      <c r="O3910">
        <v>20</v>
      </c>
      <c r="P3910">
        <v>20</v>
      </c>
      <c r="Q3910">
        <v>36</v>
      </c>
      <c r="R3910">
        <v>27</v>
      </c>
    </row>
    <row r="3911" spans="1:18" x14ac:dyDescent="0.25">
      <c r="A3911" t="s">
        <v>4190</v>
      </c>
      <c r="B3911" t="s">
        <v>55</v>
      </c>
      <c r="C3911" t="s">
        <v>4155</v>
      </c>
      <c r="D3911" t="s">
        <v>4156</v>
      </c>
      <c r="E3911" t="s">
        <v>78</v>
      </c>
      <c r="F3911" t="s">
        <v>252</v>
      </c>
      <c r="G3911">
        <v>8.4285999999999994</v>
      </c>
      <c r="H3911">
        <v>-76.786100000000005</v>
      </c>
      <c r="I3911" t="s">
        <v>4157</v>
      </c>
      <c r="J3911">
        <v>11</v>
      </c>
      <c r="M3911">
        <v>121</v>
      </c>
      <c r="N3911">
        <v>32</v>
      </c>
      <c r="O3911">
        <v>30</v>
      </c>
      <c r="P3911">
        <v>22</v>
      </c>
      <c r="Q3911">
        <v>14</v>
      </c>
      <c r="R3911">
        <v>22</v>
      </c>
    </row>
    <row r="3912" spans="1:18" x14ac:dyDescent="0.25">
      <c r="A3912" t="s">
        <v>4191</v>
      </c>
      <c r="B3912" t="s">
        <v>55</v>
      </c>
      <c r="C3912" t="s">
        <v>4155</v>
      </c>
      <c r="D3912" t="s">
        <v>4156</v>
      </c>
      <c r="E3912" t="s">
        <v>78</v>
      </c>
      <c r="F3912" t="s">
        <v>252</v>
      </c>
      <c r="G3912">
        <v>8.4285999999999994</v>
      </c>
      <c r="H3912">
        <v>-76.786100000000005</v>
      </c>
      <c r="I3912" t="s">
        <v>4157</v>
      </c>
      <c r="J3912">
        <v>11</v>
      </c>
      <c r="M3912">
        <v>120</v>
      </c>
      <c r="N3912">
        <v>27</v>
      </c>
      <c r="O3912">
        <v>30</v>
      </c>
      <c r="P3912">
        <v>20</v>
      </c>
      <c r="Q3912">
        <v>19</v>
      </c>
      <c r="R3912">
        <v>25</v>
      </c>
    </row>
    <row r="3913" spans="1:18" x14ac:dyDescent="0.25">
      <c r="A3913" t="s">
        <v>4192</v>
      </c>
      <c r="B3913" t="s">
        <v>55</v>
      </c>
      <c r="C3913" t="s">
        <v>4155</v>
      </c>
      <c r="D3913" t="s">
        <v>4156</v>
      </c>
      <c r="E3913" t="s">
        <v>78</v>
      </c>
      <c r="F3913" t="s">
        <v>252</v>
      </c>
      <c r="G3913">
        <v>8.4285999999999994</v>
      </c>
      <c r="H3913">
        <v>-76.786100000000005</v>
      </c>
      <c r="I3913" t="s">
        <v>4157</v>
      </c>
      <c r="J3913">
        <v>11</v>
      </c>
      <c r="M3913">
        <v>118</v>
      </c>
      <c r="N3913">
        <v>17</v>
      </c>
      <c r="O3913">
        <v>18</v>
      </c>
      <c r="P3913">
        <v>28</v>
      </c>
      <c r="Q3913">
        <v>28</v>
      </c>
      <c r="R3913">
        <v>35</v>
      </c>
    </row>
    <row r="3914" spans="1:18" x14ac:dyDescent="0.25">
      <c r="A3914" t="s">
        <v>4193</v>
      </c>
      <c r="B3914" t="s">
        <v>55</v>
      </c>
      <c r="C3914" t="s">
        <v>4155</v>
      </c>
      <c r="D3914" t="s">
        <v>4156</v>
      </c>
      <c r="E3914" t="s">
        <v>78</v>
      </c>
      <c r="F3914" t="s">
        <v>252</v>
      </c>
      <c r="G3914">
        <v>8.4285999999999994</v>
      </c>
      <c r="H3914">
        <v>-76.786100000000005</v>
      </c>
      <c r="I3914" t="s">
        <v>4157</v>
      </c>
      <c r="J3914">
        <v>11</v>
      </c>
      <c r="M3914">
        <v>118</v>
      </c>
      <c r="N3914">
        <v>27</v>
      </c>
      <c r="O3914">
        <v>24</v>
      </c>
      <c r="P3914">
        <v>12</v>
      </c>
      <c r="Q3914">
        <v>26</v>
      </c>
      <c r="R3914">
        <v>40</v>
      </c>
    </row>
    <row r="3915" spans="1:18" x14ac:dyDescent="0.25">
      <c r="A3915" t="s">
        <v>4194</v>
      </c>
      <c r="B3915" t="s">
        <v>55</v>
      </c>
      <c r="C3915" t="s">
        <v>4155</v>
      </c>
      <c r="D3915" t="s">
        <v>4156</v>
      </c>
      <c r="E3915" t="s">
        <v>78</v>
      </c>
      <c r="F3915" t="s">
        <v>252</v>
      </c>
      <c r="G3915">
        <v>8.4285999999999994</v>
      </c>
      <c r="H3915">
        <v>-76.786100000000005</v>
      </c>
      <c r="I3915" t="s">
        <v>4157</v>
      </c>
      <c r="J3915">
        <v>11</v>
      </c>
      <c r="M3915">
        <v>115</v>
      </c>
      <c r="N3915">
        <v>32</v>
      </c>
      <c r="O3915">
        <v>14</v>
      </c>
      <c r="P3915">
        <v>24</v>
      </c>
      <c r="Q3915">
        <v>22</v>
      </c>
      <c r="R3915">
        <v>24</v>
      </c>
    </row>
    <row r="3916" spans="1:18" x14ac:dyDescent="0.25">
      <c r="A3916" t="s">
        <v>4195</v>
      </c>
      <c r="B3916" t="s">
        <v>55</v>
      </c>
      <c r="C3916" t="s">
        <v>4155</v>
      </c>
      <c r="D3916" t="s">
        <v>4156</v>
      </c>
      <c r="E3916" t="s">
        <v>78</v>
      </c>
      <c r="F3916" t="s">
        <v>252</v>
      </c>
      <c r="G3916">
        <v>8.4285999999999994</v>
      </c>
      <c r="H3916">
        <v>-76.786100000000005</v>
      </c>
      <c r="I3916" t="s">
        <v>4157</v>
      </c>
      <c r="J3916">
        <v>11</v>
      </c>
      <c r="M3916">
        <v>114</v>
      </c>
      <c r="N3916">
        <v>20</v>
      </c>
      <c r="O3916">
        <v>22</v>
      </c>
      <c r="P3916">
        <v>28</v>
      </c>
      <c r="Q3916">
        <v>17</v>
      </c>
      <c r="R3916">
        <v>36</v>
      </c>
    </row>
    <row r="3917" spans="1:18" x14ac:dyDescent="0.25">
      <c r="A3917" t="s">
        <v>4196</v>
      </c>
      <c r="B3917" t="s">
        <v>55</v>
      </c>
      <c r="C3917" t="s">
        <v>4155</v>
      </c>
      <c r="D3917" t="s">
        <v>4156</v>
      </c>
      <c r="E3917" t="s">
        <v>78</v>
      </c>
      <c r="F3917" t="s">
        <v>252</v>
      </c>
      <c r="G3917">
        <v>8.4285999999999994</v>
      </c>
      <c r="H3917">
        <v>-76.786100000000005</v>
      </c>
      <c r="I3917" t="s">
        <v>4157</v>
      </c>
      <c r="J3917">
        <v>11</v>
      </c>
      <c r="M3917">
        <v>114</v>
      </c>
      <c r="N3917">
        <v>27</v>
      </c>
      <c r="O3917">
        <v>28</v>
      </c>
      <c r="P3917">
        <v>28</v>
      </c>
      <c r="Q3917">
        <v>9</v>
      </c>
      <c r="R3917">
        <v>22</v>
      </c>
    </row>
    <row r="3918" spans="1:18" x14ac:dyDescent="0.25">
      <c r="A3918" t="s">
        <v>4197</v>
      </c>
      <c r="B3918" t="s">
        <v>55</v>
      </c>
      <c r="C3918" t="s">
        <v>4155</v>
      </c>
      <c r="D3918" t="s">
        <v>4156</v>
      </c>
      <c r="E3918" t="s">
        <v>78</v>
      </c>
      <c r="F3918" t="s">
        <v>252</v>
      </c>
      <c r="G3918">
        <v>8.4285999999999994</v>
      </c>
      <c r="H3918">
        <v>-76.786100000000005</v>
      </c>
      <c r="I3918" t="s">
        <v>4157</v>
      </c>
      <c r="J3918">
        <v>11</v>
      </c>
      <c r="M3918">
        <v>108</v>
      </c>
      <c r="N3918">
        <v>24</v>
      </c>
      <c r="O3918">
        <v>22</v>
      </c>
      <c r="P3918">
        <v>22</v>
      </c>
      <c r="Q3918">
        <v>12</v>
      </c>
      <c r="R3918">
        <v>38</v>
      </c>
    </row>
    <row r="3919" spans="1:18" x14ac:dyDescent="0.25">
      <c r="A3919" t="s">
        <v>4198</v>
      </c>
      <c r="B3919" t="s">
        <v>55</v>
      </c>
      <c r="C3919" t="s">
        <v>4155</v>
      </c>
      <c r="D3919" t="s">
        <v>4156</v>
      </c>
      <c r="E3919" t="s">
        <v>78</v>
      </c>
      <c r="F3919" t="s">
        <v>252</v>
      </c>
      <c r="G3919">
        <v>8.4285999999999994</v>
      </c>
      <c r="H3919">
        <v>-76.786100000000005</v>
      </c>
      <c r="I3919" t="s">
        <v>4157</v>
      </c>
      <c r="J3919">
        <v>11</v>
      </c>
      <c r="M3919">
        <v>89</v>
      </c>
      <c r="N3919">
        <v>37</v>
      </c>
      <c r="O3919">
        <v>10</v>
      </c>
      <c r="P3919">
        <v>24</v>
      </c>
      <c r="Q3919">
        <v>7</v>
      </c>
      <c r="R3919">
        <v>0</v>
      </c>
    </row>
    <row r="3920" spans="1:18" x14ac:dyDescent="0.25">
      <c r="A3920" t="s">
        <v>4199</v>
      </c>
      <c r="B3920" t="s">
        <v>55</v>
      </c>
      <c r="C3920" t="s">
        <v>4155</v>
      </c>
      <c r="D3920" t="s">
        <v>4156</v>
      </c>
      <c r="E3920" t="s">
        <v>78</v>
      </c>
      <c r="F3920" t="s">
        <v>252</v>
      </c>
      <c r="G3920">
        <v>8.4285999999999994</v>
      </c>
      <c r="H3920">
        <v>-76.786100000000005</v>
      </c>
      <c r="I3920" t="s">
        <v>4157</v>
      </c>
      <c r="J3920">
        <v>11</v>
      </c>
      <c r="M3920">
        <v>66</v>
      </c>
      <c r="N3920">
        <v>24</v>
      </c>
      <c r="O3920">
        <v>12</v>
      </c>
      <c r="P3920">
        <v>14</v>
      </c>
      <c r="Q3920">
        <v>7</v>
      </c>
      <c r="R3920">
        <v>0</v>
      </c>
    </row>
    <row r="3921" spans="1:18" x14ac:dyDescent="0.25">
      <c r="A3921" t="s">
        <v>4200</v>
      </c>
      <c r="B3921" t="s">
        <v>55</v>
      </c>
      <c r="C3921" t="s">
        <v>4201</v>
      </c>
      <c r="D3921" t="s">
        <v>4202</v>
      </c>
      <c r="E3921" t="s">
        <v>78</v>
      </c>
      <c r="F3921" t="s">
        <v>252</v>
      </c>
      <c r="G3921">
        <v>6.4718999999999998</v>
      </c>
      <c r="H3921">
        <v>-75.166899999999998</v>
      </c>
      <c r="I3921" t="s">
        <v>4203</v>
      </c>
      <c r="J3921">
        <v>11</v>
      </c>
      <c r="M3921">
        <v>262</v>
      </c>
      <c r="N3921">
        <v>61</v>
      </c>
      <c r="O3921">
        <v>34</v>
      </c>
      <c r="P3921">
        <v>74</v>
      </c>
      <c r="Q3921">
        <v>47</v>
      </c>
      <c r="R3921">
        <v>35</v>
      </c>
    </row>
    <row r="3922" spans="1:18" x14ac:dyDescent="0.25">
      <c r="A3922" t="s">
        <v>4204</v>
      </c>
      <c r="B3922" t="s">
        <v>55</v>
      </c>
      <c r="C3922" t="s">
        <v>4201</v>
      </c>
      <c r="D3922" t="s">
        <v>4202</v>
      </c>
      <c r="E3922" t="s">
        <v>78</v>
      </c>
      <c r="F3922" t="s">
        <v>252</v>
      </c>
      <c r="G3922">
        <v>6.4718999999999998</v>
      </c>
      <c r="H3922">
        <v>-75.166899999999998</v>
      </c>
      <c r="I3922" t="s">
        <v>4203</v>
      </c>
      <c r="J3922">
        <v>11</v>
      </c>
      <c r="M3922">
        <v>225</v>
      </c>
      <c r="N3922">
        <v>54</v>
      </c>
      <c r="O3922">
        <v>30</v>
      </c>
      <c r="P3922">
        <v>58</v>
      </c>
      <c r="Q3922">
        <v>40</v>
      </c>
      <c r="R3922">
        <v>42</v>
      </c>
    </row>
    <row r="3923" spans="1:18" x14ac:dyDescent="0.25">
      <c r="A3923" t="s">
        <v>4205</v>
      </c>
      <c r="B3923" t="s">
        <v>55</v>
      </c>
      <c r="C3923" t="s">
        <v>4201</v>
      </c>
      <c r="D3923" t="s">
        <v>4202</v>
      </c>
      <c r="E3923" t="s">
        <v>78</v>
      </c>
      <c r="F3923" t="s">
        <v>252</v>
      </c>
      <c r="G3923">
        <v>6.4718999999999998</v>
      </c>
      <c r="H3923">
        <v>-75.166899999999998</v>
      </c>
      <c r="I3923" t="s">
        <v>4203</v>
      </c>
      <c r="J3923">
        <v>11</v>
      </c>
      <c r="M3923">
        <v>218</v>
      </c>
      <c r="N3923">
        <v>56</v>
      </c>
      <c r="O3923">
        <v>40</v>
      </c>
      <c r="P3923">
        <v>46</v>
      </c>
      <c r="Q3923">
        <v>31</v>
      </c>
      <c r="R3923">
        <v>47</v>
      </c>
    </row>
    <row r="3924" spans="1:18" x14ac:dyDescent="0.25">
      <c r="A3924" t="s">
        <v>4206</v>
      </c>
      <c r="B3924" t="s">
        <v>55</v>
      </c>
      <c r="C3924" t="s">
        <v>4201</v>
      </c>
      <c r="D3924" t="s">
        <v>4202</v>
      </c>
      <c r="E3924" t="s">
        <v>78</v>
      </c>
      <c r="F3924" t="s">
        <v>252</v>
      </c>
      <c r="G3924">
        <v>6.4718999999999998</v>
      </c>
      <c r="H3924">
        <v>-75.166899999999998</v>
      </c>
      <c r="I3924" t="s">
        <v>4203</v>
      </c>
      <c r="J3924">
        <v>11</v>
      </c>
      <c r="M3924">
        <v>213</v>
      </c>
      <c r="N3924">
        <v>66</v>
      </c>
      <c r="O3924">
        <v>40</v>
      </c>
      <c r="P3924">
        <v>34</v>
      </c>
      <c r="Q3924">
        <v>31</v>
      </c>
      <c r="R3924">
        <v>42</v>
      </c>
    </row>
    <row r="3925" spans="1:18" x14ac:dyDescent="0.25">
      <c r="A3925" t="s">
        <v>4207</v>
      </c>
      <c r="B3925" t="s">
        <v>55</v>
      </c>
      <c r="C3925" t="s">
        <v>4201</v>
      </c>
      <c r="D3925" t="s">
        <v>4202</v>
      </c>
      <c r="E3925" t="s">
        <v>78</v>
      </c>
      <c r="F3925" t="s">
        <v>252</v>
      </c>
      <c r="G3925">
        <v>6.4718999999999998</v>
      </c>
      <c r="H3925">
        <v>-75.166899999999998</v>
      </c>
      <c r="I3925" t="s">
        <v>4203</v>
      </c>
      <c r="J3925">
        <v>11</v>
      </c>
      <c r="M3925">
        <v>210</v>
      </c>
      <c r="N3925">
        <v>54</v>
      </c>
      <c r="O3925">
        <v>28</v>
      </c>
      <c r="P3925">
        <v>50</v>
      </c>
      <c r="Q3925">
        <v>33</v>
      </c>
      <c r="R3925">
        <v>53</v>
      </c>
    </row>
    <row r="3926" spans="1:18" x14ac:dyDescent="0.25">
      <c r="A3926" t="s">
        <v>4208</v>
      </c>
      <c r="B3926" t="s">
        <v>55</v>
      </c>
      <c r="C3926" t="s">
        <v>4201</v>
      </c>
      <c r="D3926" t="s">
        <v>4202</v>
      </c>
      <c r="E3926" t="s">
        <v>78</v>
      </c>
      <c r="F3926" t="s">
        <v>252</v>
      </c>
      <c r="G3926">
        <v>6.4718999999999998</v>
      </c>
      <c r="H3926">
        <v>-75.166899999999998</v>
      </c>
      <c r="I3926" t="s">
        <v>4203</v>
      </c>
      <c r="J3926">
        <v>11</v>
      </c>
      <c r="M3926">
        <v>192</v>
      </c>
      <c r="N3926">
        <v>44</v>
      </c>
      <c r="O3926">
        <v>34</v>
      </c>
      <c r="P3926">
        <v>50</v>
      </c>
      <c r="Q3926">
        <v>24</v>
      </c>
      <c r="R3926">
        <v>42</v>
      </c>
    </row>
    <row r="3927" spans="1:18" x14ac:dyDescent="0.25">
      <c r="A3927" t="s">
        <v>4209</v>
      </c>
      <c r="B3927" t="s">
        <v>55</v>
      </c>
      <c r="C3927" t="s">
        <v>4201</v>
      </c>
      <c r="D3927" t="s">
        <v>4202</v>
      </c>
      <c r="E3927" t="s">
        <v>78</v>
      </c>
      <c r="F3927" t="s">
        <v>252</v>
      </c>
      <c r="G3927">
        <v>6.4718999999999998</v>
      </c>
      <c r="H3927">
        <v>-75.166899999999998</v>
      </c>
      <c r="I3927" t="s">
        <v>4203</v>
      </c>
      <c r="J3927">
        <v>11</v>
      </c>
      <c r="M3927">
        <v>190</v>
      </c>
      <c r="N3927">
        <v>34</v>
      </c>
      <c r="O3927">
        <v>40</v>
      </c>
      <c r="P3927">
        <v>48</v>
      </c>
      <c r="Q3927">
        <v>34</v>
      </c>
      <c r="R3927">
        <v>24</v>
      </c>
    </row>
    <row r="3928" spans="1:18" x14ac:dyDescent="0.25">
      <c r="A3928" t="s">
        <v>4210</v>
      </c>
      <c r="B3928" t="s">
        <v>55</v>
      </c>
      <c r="C3928" t="s">
        <v>4201</v>
      </c>
      <c r="D3928" t="s">
        <v>4202</v>
      </c>
      <c r="E3928" t="s">
        <v>78</v>
      </c>
      <c r="F3928" t="s">
        <v>252</v>
      </c>
      <c r="G3928">
        <v>6.4718999999999998</v>
      </c>
      <c r="H3928">
        <v>-75.166899999999998</v>
      </c>
      <c r="I3928" t="s">
        <v>4203</v>
      </c>
      <c r="J3928">
        <v>11</v>
      </c>
      <c r="M3928">
        <v>190</v>
      </c>
      <c r="N3928">
        <v>46</v>
      </c>
      <c r="O3928">
        <v>34</v>
      </c>
      <c r="P3928">
        <v>42</v>
      </c>
      <c r="Q3928">
        <v>29</v>
      </c>
      <c r="R3928">
        <v>38</v>
      </c>
    </row>
    <row r="3929" spans="1:18" x14ac:dyDescent="0.25">
      <c r="A3929" t="s">
        <v>4211</v>
      </c>
      <c r="B3929" t="s">
        <v>55</v>
      </c>
      <c r="C3929" t="s">
        <v>4201</v>
      </c>
      <c r="D3929" t="s">
        <v>4202</v>
      </c>
      <c r="E3929" t="s">
        <v>78</v>
      </c>
      <c r="F3929" t="s">
        <v>252</v>
      </c>
      <c r="G3929">
        <v>6.4718999999999998</v>
      </c>
      <c r="H3929">
        <v>-75.166899999999998</v>
      </c>
      <c r="I3929" t="s">
        <v>4203</v>
      </c>
      <c r="J3929">
        <v>11</v>
      </c>
      <c r="M3929">
        <v>180</v>
      </c>
      <c r="N3929">
        <v>29</v>
      </c>
      <c r="O3929">
        <v>26</v>
      </c>
      <c r="P3929">
        <v>48</v>
      </c>
      <c r="Q3929">
        <v>38</v>
      </c>
      <c r="R3929">
        <v>44</v>
      </c>
    </row>
    <row r="3930" spans="1:18" x14ac:dyDescent="0.25">
      <c r="A3930" t="s">
        <v>4212</v>
      </c>
      <c r="B3930" t="s">
        <v>55</v>
      </c>
      <c r="C3930" t="s">
        <v>4201</v>
      </c>
      <c r="D3930" t="s">
        <v>4202</v>
      </c>
      <c r="E3930" t="s">
        <v>78</v>
      </c>
      <c r="F3930" t="s">
        <v>252</v>
      </c>
      <c r="G3930">
        <v>6.4718999999999998</v>
      </c>
      <c r="H3930">
        <v>-75.166899999999998</v>
      </c>
      <c r="I3930" t="s">
        <v>4203</v>
      </c>
      <c r="J3930">
        <v>11</v>
      </c>
      <c r="M3930">
        <v>179</v>
      </c>
      <c r="N3930">
        <v>44</v>
      </c>
      <c r="O3930">
        <v>20</v>
      </c>
      <c r="P3930">
        <v>40</v>
      </c>
      <c r="Q3930">
        <v>38</v>
      </c>
      <c r="R3930">
        <v>40</v>
      </c>
    </row>
    <row r="3931" spans="1:18" x14ac:dyDescent="0.25">
      <c r="A3931" t="s">
        <v>4213</v>
      </c>
      <c r="B3931" t="s">
        <v>55</v>
      </c>
      <c r="C3931" t="s">
        <v>4201</v>
      </c>
      <c r="D3931" t="s">
        <v>4202</v>
      </c>
      <c r="E3931" t="s">
        <v>78</v>
      </c>
      <c r="F3931" t="s">
        <v>252</v>
      </c>
      <c r="G3931">
        <v>6.4718999999999998</v>
      </c>
      <c r="H3931">
        <v>-75.166899999999998</v>
      </c>
      <c r="I3931" t="s">
        <v>4203</v>
      </c>
      <c r="J3931">
        <v>11</v>
      </c>
      <c r="M3931">
        <v>167</v>
      </c>
      <c r="N3931">
        <v>32</v>
      </c>
      <c r="O3931">
        <v>28</v>
      </c>
      <c r="P3931">
        <v>44</v>
      </c>
      <c r="Q3931">
        <v>34</v>
      </c>
      <c r="R3931">
        <v>20</v>
      </c>
    </row>
    <row r="3932" spans="1:18" x14ac:dyDescent="0.25">
      <c r="A3932" t="s">
        <v>4214</v>
      </c>
      <c r="B3932" t="s">
        <v>55</v>
      </c>
      <c r="C3932" t="s">
        <v>4201</v>
      </c>
      <c r="D3932" t="s">
        <v>4202</v>
      </c>
      <c r="E3932" t="s">
        <v>78</v>
      </c>
      <c r="F3932" t="s">
        <v>252</v>
      </c>
      <c r="G3932">
        <v>6.4718999999999998</v>
      </c>
      <c r="H3932">
        <v>-75.166899999999998</v>
      </c>
      <c r="I3932" t="s">
        <v>4203</v>
      </c>
      <c r="J3932">
        <v>11</v>
      </c>
      <c r="M3932">
        <v>158</v>
      </c>
      <c r="N3932">
        <v>39</v>
      </c>
      <c r="O3932">
        <v>22</v>
      </c>
      <c r="P3932">
        <v>40</v>
      </c>
      <c r="Q3932">
        <v>28</v>
      </c>
      <c r="R3932">
        <v>25</v>
      </c>
    </row>
    <row r="3933" spans="1:18" x14ac:dyDescent="0.25">
      <c r="A3933" t="s">
        <v>4215</v>
      </c>
      <c r="B3933" t="s">
        <v>55</v>
      </c>
      <c r="C3933" t="s">
        <v>4201</v>
      </c>
      <c r="D3933" t="s">
        <v>4202</v>
      </c>
      <c r="E3933" t="s">
        <v>78</v>
      </c>
      <c r="F3933" t="s">
        <v>252</v>
      </c>
      <c r="G3933">
        <v>6.4718999999999998</v>
      </c>
      <c r="H3933">
        <v>-75.166899999999998</v>
      </c>
      <c r="I3933" t="s">
        <v>4203</v>
      </c>
      <c r="J3933">
        <v>11</v>
      </c>
      <c r="M3933">
        <v>157</v>
      </c>
      <c r="N3933">
        <v>34</v>
      </c>
      <c r="O3933">
        <v>16</v>
      </c>
      <c r="P3933">
        <v>54</v>
      </c>
      <c r="Q3933">
        <v>21</v>
      </c>
      <c r="R3933">
        <v>33</v>
      </c>
    </row>
    <row r="3934" spans="1:18" x14ac:dyDescent="0.25">
      <c r="A3934" t="s">
        <v>4216</v>
      </c>
      <c r="B3934" t="s">
        <v>55</v>
      </c>
      <c r="C3934" t="s">
        <v>4201</v>
      </c>
      <c r="D3934" t="s">
        <v>4202</v>
      </c>
      <c r="E3934" t="s">
        <v>78</v>
      </c>
      <c r="F3934" t="s">
        <v>252</v>
      </c>
      <c r="G3934">
        <v>6.4718999999999998</v>
      </c>
      <c r="H3934">
        <v>-75.166899999999998</v>
      </c>
      <c r="I3934" t="s">
        <v>4203</v>
      </c>
      <c r="J3934">
        <v>11</v>
      </c>
      <c r="M3934">
        <v>150</v>
      </c>
      <c r="N3934">
        <v>34</v>
      </c>
      <c r="O3934">
        <v>26</v>
      </c>
      <c r="P3934">
        <v>32</v>
      </c>
      <c r="Q3934">
        <v>28</v>
      </c>
      <c r="R3934">
        <v>31</v>
      </c>
    </row>
    <row r="3935" spans="1:18" x14ac:dyDescent="0.25">
      <c r="A3935" t="s">
        <v>4217</v>
      </c>
      <c r="B3935" t="s">
        <v>55</v>
      </c>
      <c r="C3935" t="s">
        <v>4201</v>
      </c>
      <c r="D3935" t="s">
        <v>4202</v>
      </c>
      <c r="E3935" t="s">
        <v>78</v>
      </c>
      <c r="F3935" t="s">
        <v>252</v>
      </c>
      <c r="G3935">
        <v>6.4718999999999998</v>
      </c>
      <c r="H3935">
        <v>-75.166899999999998</v>
      </c>
      <c r="I3935" t="s">
        <v>4203</v>
      </c>
      <c r="J3935">
        <v>11</v>
      </c>
      <c r="M3935">
        <v>144</v>
      </c>
      <c r="N3935">
        <v>24</v>
      </c>
      <c r="O3935">
        <v>32</v>
      </c>
      <c r="P3935">
        <v>36</v>
      </c>
      <c r="Q3935">
        <v>22</v>
      </c>
      <c r="R3935">
        <v>29</v>
      </c>
    </row>
    <row r="3936" spans="1:18" x14ac:dyDescent="0.25">
      <c r="A3936" t="s">
        <v>4218</v>
      </c>
      <c r="B3936" t="s">
        <v>55</v>
      </c>
      <c r="C3936" t="s">
        <v>4201</v>
      </c>
      <c r="D3936" t="s">
        <v>4202</v>
      </c>
      <c r="E3936" t="s">
        <v>78</v>
      </c>
      <c r="F3936" t="s">
        <v>252</v>
      </c>
      <c r="G3936">
        <v>6.4718999999999998</v>
      </c>
      <c r="H3936">
        <v>-75.166899999999998</v>
      </c>
      <c r="I3936" t="s">
        <v>4203</v>
      </c>
      <c r="J3936">
        <v>11</v>
      </c>
      <c r="M3936">
        <v>136</v>
      </c>
      <c r="N3936">
        <v>32</v>
      </c>
      <c r="O3936">
        <v>16</v>
      </c>
      <c r="P3936">
        <v>28</v>
      </c>
      <c r="Q3936">
        <v>34</v>
      </c>
      <c r="R3936">
        <v>22</v>
      </c>
    </row>
    <row r="3937" spans="1:18" x14ac:dyDescent="0.25">
      <c r="A3937" t="s">
        <v>4219</v>
      </c>
      <c r="B3937" t="s">
        <v>55</v>
      </c>
      <c r="C3937" t="s">
        <v>4201</v>
      </c>
      <c r="D3937" t="s">
        <v>4202</v>
      </c>
      <c r="E3937" t="s">
        <v>78</v>
      </c>
      <c r="F3937" t="s">
        <v>252</v>
      </c>
      <c r="G3937">
        <v>6.4718999999999998</v>
      </c>
      <c r="H3937">
        <v>-75.166899999999998</v>
      </c>
      <c r="I3937" t="s">
        <v>4203</v>
      </c>
      <c r="J3937">
        <v>11</v>
      </c>
      <c r="M3937">
        <v>131</v>
      </c>
      <c r="N3937">
        <v>24</v>
      </c>
      <c r="O3937">
        <v>24</v>
      </c>
      <c r="P3937">
        <v>26</v>
      </c>
      <c r="Q3937">
        <v>29</v>
      </c>
      <c r="R3937">
        <v>29</v>
      </c>
    </row>
    <row r="3938" spans="1:18" x14ac:dyDescent="0.25">
      <c r="A3938" t="s">
        <v>4220</v>
      </c>
      <c r="B3938" t="s">
        <v>55</v>
      </c>
      <c r="C3938" t="s">
        <v>4201</v>
      </c>
      <c r="D3938" t="s">
        <v>4202</v>
      </c>
      <c r="E3938" t="s">
        <v>78</v>
      </c>
      <c r="F3938" t="s">
        <v>252</v>
      </c>
      <c r="G3938">
        <v>6.4718999999999998</v>
      </c>
      <c r="H3938">
        <v>-75.166899999999998</v>
      </c>
      <c r="I3938" t="s">
        <v>4203</v>
      </c>
      <c r="J3938">
        <v>11</v>
      </c>
      <c r="M3938">
        <v>129</v>
      </c>
      <c r="N3938">
        <v>39</v>
      </c>
      <c r="O3938">
        <v>30</v>
      </c>
      <c r="P3938">
        <v>18</v>
      </c>
      <c r="Q3938">
        <v>17</v>
      </c>
      <c r="R3938">
        <v>24</v>
      </c>
    </row>
    <row r="3939" spans="1:18" x14ac:dyDescent="0.25">
      <c r="A3939" t="s">
        <v>4221</v>
      </c>
      <c r="B3939" t="s">
        <v>55</v>
      </c>
      <c r="C3939" t="s">
        <v>4201</v>
      </c>
      <c r="D3939" t="s">
        <v>4202</v>
      </c>
      <c r="E3939" t="s">
        <v>78</v>
      </c>
      <c r="F3939" t="s">
        <v>252</v>
      </c>
      <c r="G3939">
        <v>6.4718999999999998</v>
      </c>
      <c r="H3939">
        <v>-75.166899999999998</v>
      </c>
      <c r="I3939" t="s">
        <v>4203</v>
      </c>
      <c r="J3939">
        <v>11</v>
      </c>
      <c r="M3939">
        <v>120</v>
      </c>
      <c r="N3939">
        <v>27</v>
      </c>
      <c r="O3939">
        <v>26</v>
      </c>
      <c r="P3939">
        <v>22</v>
      </c>
      <c r="Q3939">
        <v>19</v>
      </c>
      <c r="R3939">
        <v>31</v>
      </c>
    </row>
    <row r="3940" spans="1:18" x14ac:dyDescent="0.25">
      <c r="A3940" t="s">
        <v>4222</v>
      </c>
      <c r="B3940" t="s">
        <v>55</v>
      </c>
      <c r="C3940" t="s">
        <v>4201</v>
      </c>
      <c r="D3940" t="s">
        <v>4202</v>
      </c>
      <c r="E3940" t="s">
        <v>78</v>
      </c>
      <c r="F3940" t="s">
        <v>252</v>
      </c>
      <c r="G3940">
        <v>6.4718999999999998</v>
      </c>
      <c r="H3940">
        <v>-75.166899999999998</v>
      </c>
      <c r="I3940" t="s">
        <v>4203</v>
      </c>
      <c r="J3940">
        <v>11</v>
      </c>
      <c r="M3940">
        <v>117</v>
      </c>
      <c r="N3940">
        <v>39</v>
      </c>
      <c r="O3940">
        <v>16</v>
      </c>
      <c r="P3940">
        <v>22</v>
      </c>
      <c r="Q3940">
        <v>24</v>
      </c>
      <c r="R3940">
        <v>0</v>
      </c>
    </row>
    <row r="3941" spans="1:18" x14ac:dyDescent="0.25">
      <c r="A3941" t="s">
        <v>4223</v>
      </c>
      <c r="B3941" t="s">
        <v>55</v>
      </c>
      <c r="C3941" t="s">
        <v>4201</v>
      </c>
      <c r="D3941" t="s">
        <v>4202</v>
      </c>
      <c r="E3941" t="s">
        <v>78</v>
      </c>
      <c r="F3941" t="s">
        <v>252</v>
      </c>
      <c r="G3941">
        <v>6.4718999999999998</v>
      </c>
      <c r="H3941">
        <v>-75.166899999999998</v>
      </c>
      <c r="I3941" t="s">
        <v>4203</v>
      </c>
      <c r="J3941">
        <v>11</v>
      </c>
      <c r="M3941">
        <v>63</v>
      </c>
      <c r="N3941">
        <v>0</v>
      </c>
      <c r="O3941">
        <v>12</v>
      </c>
      <c r="P3941">
        <v>18</v>
      </c>
      <c r="Q3941">
        <v>12</v>
      </c>
      <c r="R3941">
        <v>38</v>
      </c>
    </row>
    <row r="3942" spans="1:18" x14ac:dyDescent="0.25">
      <c r="A3942" t="s">
        <v>4224</v>
      </c>
      <c r="B3942" t="s">
        <v>55</v>
      </c>
      <c r="C3942" t="s">
        <v>4225</v>
      </c>
      <c r="D3942" t="s">
        <v>4226</v>
      </c>
      <c r="E3942" t="s">
        <v>78</v>
      </c>
      <c r="F3942" t="s">
        <v>252</v>
      </c>
      <c r="G3942">
        <v>5.7925000000000004</v>
      </c>
      <c r="H3942">
        <v>-75.786900000000003</v>
      </c>
      <c r="I3942" t="s">
        <v>4227</v>
      </c>
      <c r="J3942">
        <v>11</v>
      </c>
      <c r="M3942">
        <v>243</v>
      </c>
      <c r="N3942">
        <v>46</v>
      </c>
      <c r="O3942">
        <v>32</v>
      </c>
      <c r="P3942">
        <v>50</v>
      </c>
      <c r="Q3942">
        <v>55</v>
      </c>
      <c r="R3942">
        <v>80</v>
      </c>
    </row>
    <row r="3943" spans="1:18" x14ac:dyDescent="0.25">
      <c r="A3943" t="s">
        <v>4228</v>
      </c>
      <c r="B3943" t="s">
        <v>55</v>
      </c>
      <c r="C3943" t="s">
        <v>4225</v>
      </c>
      <c r="D3943" t="s">
        <v>4226</v>
      </c>
      <c r="E3943" t="s">
        <v>78</v>
      </c>
      <c r="F3943" t="s">
        <v>252</v>
      </c>
      <c r="G3943">
        <v>5.7925000000000004</v>
      </c>
      <c r="H3943">
        <v>-75.786900000000003</v>
      </c>
      <c r="I3943" t="s">
        <v>4227</v>
      </c>
      <c r="J3943">
        <v>11</v>
      </c>
      <c r="M3943">
        <v>238</v>
      </c>
      <c r="N3943">
        <v>63</v>
      </c>
      <c r="O3943">
        <v>32</v>
      </c>
      <c r="P3943">
        <v>60</v>
      </c>
      <c r="Q3943">
        <v>38</v>
      </c>
      <c r="R3943">
        <v>40</v>
      </c>
    </row>
    <row r="3944" spans="1:18" x14ac:dyDescent="0.25">
      <c r="A3944" t="s">
        <v>4229</v>
      </c>
      <c r="B3944" t="s">
        <v>55</v>
      </c>
      <c r="C3944" t="s">
        <v>4225</v>
      </c>
      <c r="D3944" t="s">
        <v>4226</v>
      </c>
      <c r="E3944" t="s">
        <v>78</v>
      </c>
      <c r="F3944" t="s">
        <v>252</v>
      </c>
      <c r="G3944">
        <v>5.7925000000000004</v>
      </c>
      <c r="H3944">
        <v>-75.786900000000003</v>
      </c>
      <c r="I3944" t="s">
        <v>4227</v>
      </c>
      <c r="J3944">
        <v>11</v>
      </c>
      <c r="M3944">
        <v>227</v>
      </c>
      <c r="N3944">
        <v>61</v>
      </c>
      <c r="O3944">
        <v>30</v>
      </c>
      <c r="P3944">
        <v>54</v>
      </c>
      <c r="Q3944">
        <v>34</v>
      </c>
      <c r="R3944">
        <v>53</v>
      </c>
    </row>
    <row r="3945" spans="1:18" x14ac:dyDescent="0.25">
      <c r="A3945" t="s">
        <v>4230</v>
      </c>
      <c r="B3945" t="s">
        <v>55</v>
      </c>
      <c r="C3945" t="s">
        <v>4225</v>
      </c>
      <c r="D3945" t="s">
        <v>4226</v>
      </c>
      <c r="E3945" t="s">
        <v>78</v>
      </c>
      <c r="F3945" t="s">
        <v>252</v>
      </c>
      <c r="G3945">
        <v>5.7925000000000004</v>
      </c>
      <c r="H3945">
        <v>-75.786900000000003</v>
      </c>
      <c r="I3945" t="s">
        <v>4227</v>
      </c>
      <c r="J3945">
        <v>11</v>
      </c>
      <c r="M3945">
        <v>224</v>
      </c>
      <c r="N3945">
        <v>56</v>
      </c>
      <c r="O3945">
        <v>38</v>
      </c>
      <c r="P3945">
        <v>50</v>
      </c>
      <c r="Q3945">
        <v>36</v>
      </c>
      <c r="R3945">
        <v>42</v>
      </c>
    </row>
    <row r="3946" spans="1:18" x14ac:dyDescent="0.25">
      <c r="A3946" t="s">
        <v>4231</v>
      </c>
      <c r="B3946" t="s">
        <v>55</v>
      </c>
      <c r="C3946" t="s">
        <v>4225</v>
      </c>
      <c r="D3946" t="s">
        <v>4226</v>
      </c>
      <c r="E3946" t="s">
        <v>78</v>
      </c>
      <c r="F3946" t="s">
        <v>252</v>
      </c>
      <c r="G3946">
        <v>5.7925000000000004</v>
      </c>
      <c r="H3946">
        <v>-75.786900000000003</v>
      </c>
      <c r="I3946" t="s">
        <v>4227</v>
      </c>
      <c r="J3946">
        <v>11</v>
      </c>
      <c r="M3946">
        <v>221</v>
      </c>
      <c r="N3946">
        <v>54</v>
      </c>
      <c r="O3946">
        <v>40</v>
      </c>
      <c r="P3946">
        <v>46</v>
      </c>
      <c r="Q3946">
        <v>36</v>
      </c>
      <c r="R3946">
        <v>47</v>
      </c>
    </row>
    <row r="3947" spans="1:18" x14ac:dyDescent="0.25">
      <c r="A3947" t="s">
        <v>4232</v>
      </c>
      <c r="B3947" t="s">
        <v>55</v>
      </c>
      <c r="C3947" t="s">
        <v>4225</v>
      </c>
      <c r="D3947" t="s">
        <v>4226</v>
      </c>
      <c r="E3947" t="s">
        <v>78</v>
      </c>
      <c r="F3947" t="s">
        <v>252</v>
      </c>
      <c r="G3947">
        <v>5.7925000000000004</v>
      </c>
      <c r="H3947">
        <v>-75.786900000000003</v>
      </c>
      <c r="I3947" t="s">
        <v>4227</v>
      </c>
      <c r="J3947">
        <v>11</v>
      </c>
      <c r="M3947">
        <v>208</v>
      </c>
      <c r="N3947">
        <v>39</v>
      </c>
      <c r="O3947">
        <v>28</v>
      </c>
      <c r="P3947">
        <v>52</v>
      </c>
      <c r="Q3947">
        <v>40</v>
      </c>
      <c r="R3947">
        <v>65</v>
      </c>
    </row>
    <row r="3948" spans="1:18" x14ac:dyDescent="0.25">
      <c r="A3948" t="s">
        <v>4233</v>
      </c>
      <c r="B3948" t="s">
        <v>55</v>
      </c>
      <c r="C3948" t="s">
        <v>4225</v>
      </c>
      <c r="D3948" t="s">
        <v>4226</v>
      </c>
      <c r="E3948" t="s">
        <v>78</v>
      </c>
      <c r="F3948" t="s">
        <v>252</v>
      </c>
      <c r="G3948">
        <v>5.7925000000000004</v>
      </c>
      <c r="H3948">
        <v>-75.786900000000003</v>
      </c>
      <c r="I3948" t="s">
        <v>4227</v>
      </c>
      <c r="J3948">
        <v>11</v>
      </c>
      <c r="M3948">
        <v>202</v>
      </c>
      <c r="N3948">
        <v>66</v>
      </c>
      <c r="O3948">
        <v>28</v>
      </c>
      <c r="P3948">
        <v>36</v>
      </c>
      <c r="Q3948">
        <v>31</v>
      </c>
      <c r="R3948">
        <v>44</v>
      </c>
    </row>
    <row r="3949" spans="1:18" x14ac:dyDescent="0.25">
      <c r="A3949" t="s">
        <v>4234</v>
      </c>
      <c r="B3949" t="s">
        <v>55</v>
      </c>
      <c r="C3949" t="s">
        <v>4225</v>
      </c>
      <c r="D3949" t="s">
        <v>4226</v>
      </c>
      <c r="E3949" t="s">
        <v>78</v>
      </c>
      <c r="F3949" t="s">
        <v>252</v>
      </c>
      <c r="G3949">
        <v>5.7925000000000004</v>
      </c>
      <c r="H3949">
        <v>-75.786900000000003</v>
      </c>
      <c r="I3949" t="s">
        <v>4227</v>
      </c>
      <c r="J3949">
        <v>11</v>
      </c>
      <c r="M3949">
        <v>200</v>
      </c>
      <c r="N3949">
        <v>59</v>
      </c>
      <c r="O3949">
        <v>24</v>
      </c>
      <c r="P3949">
        <v>46</v>
      </c>
      <c r="Q3949">
        <v>29</v>
      </c>
      <c r="R3949">
        <v>47</v>
      </c>
    </row>
    <row r="3950" spans="1:18" x14ac:dyDescent="0.25">
      <c r="A3950" t="s">
        <v>4235</v>
      </c>
      <c r="B3950" t="s">
        <v>55</v>
      </c>
      <c r="C3950" t="s">
        <v>4225</v>
      </c>
      <c r="D3950" t="s">
        <v>4226</v>
      </c>
      <c r="E3950" t="s">
        <v>78</v>
      </c>
      <c r="F3950" t="s">
        <v>252</v>
      </c>
      <c r="G3950">
        <v>5.7925000000000004</v>
      </c>
      <c r="H3950">
        <v>-75.786900000000003</v>
      </c>
      <c r="I3950" t="s">
        <v>4227</v>
      </c>
      <c r="J3950">
        <v>11</v>
      </c>
      <c r="M3950">
        <v>198</v>
      </c>
      <c r="N3950">
        <v>51</v>
      </c>
      <c r="O3950">
        <v>30</v>
      </c>
      <c r="P3950">
        <v>50</v>
      </c>
      <c r="Q3950">
        <v>26</v>
      </c>
      <c r="R3950">
        <v>44</v>
      </c>
    </row>
    <row r="3951" spans="1:18" x14ac:dyDescent="0.25">
      <c r="A3951" t="s">
        <v>4236</v>
      </c>
      <c r="B3951" t="s">
        <v>55</v>
      </c>
      <c r="C3951" t="s">
        <v>4225</v>
      </c>
      <c r="D3951" t="s">
        <v>4226</v>
      </c>
      <c r="E3951" t="s">
        <v>78</v>
      </c>
      <c r="F3951" t="s">
        <v>252</v>
      </c>
      <c r="G3951">
        <v>5.7925000000000004</v>
      </c>
      <c r="H3951">
        <v>-75.786900000000003</v>
      </c>
      <c r="I3951" t="s">
        <v>4227</v>
      </c>
      <c r="J3951">
        <v>11</v>
      </c>
      <c r="M3951">
        <v>181</v>
      </c>
      <c r="N3951">
        <v>51</v>
      </c>
      <c r="O3951">
        <v>18</v>
      </c>
      <c r="P3951">
        <v>50</v>
      </c>
      <c r="Q3951">
        <v>26</v>
      </c>
      <c r="R3951">
        <v>36</v>
      </c>
    </row>
    <row r="3952" spans="1:18" x14ac:dyDescent="0.25">
      <c r="A3952" t="s">
        <v>4237</v>
      </c>
      <c r="B3952" t="s">
        <v>55</v>
      </c>
      <c r="C3952" t="s">
        <v>4225</v>
      </c>
      <c r="D3952" t="s">
        <v>4226</v>
      </c>
      <c r="E3952" t="s">
        <v>78</v>
      </c>
      <c r="F3952" t="s">
        <v>252</v>
      </c>
      <c r="G3952">
        <v>5.7925000000000004</v>
      </c>
      <c r="H3952">
        <v>-75.786900000000003</v>
      </c>
      <c r="I3952" t="s">
        <v>4227</v>
      </c>
      <c r="J3952">
        <v>11</v>
      </c>
      <c r="M3952">
        <v>180</v>
      </c>
      <c r="N3952">
        <v>49</v>
      </c>
      <c r="O3952">
        <v>24</v>
      </c>
      <c r="P3952">
        <v>46</v>
      </c>
      <c r="Q3952">
        <v>28</v>
      </c>
      <c r="R3952">
        <v>29</v>
      </c>
    </row>
    <row r="3953" spans="1:18" x14ac:dyDescent="0.25">
      <c r="A3953" t="s">
        <v>4238</v>
      </c>
      <c r="B3953" t="s">
        <v>55</v>
      </c>
      <c r="C3953" t="s">
        <v>4225</v>
      </c>
      <c r="D3953" t="s">
        <v>4226</v>
      </c>
      <c r="E3953" t="s">
        <v>78</v>
      </c>
      <c r="F3953" t="s">
        <v>252</v>
      </c>
      <c r="G3953">
        <v>5.7925000000000004</v>
      </c>
      <c r="H3953">
        <v>-75.786900000000003</v>
      </c>
      <c r="I3953" t="s">
        <v>4227</v>
      </c>
      <c r="J3953">
        <v>11</v>
      </c>
      <c r="M3953">
        <v>172</v>
      </c>
      <c r="N3953">
        <v>34</v>
      </c>
      <c r="O3953">
        <v>30</v>
      </c>
      <c r="P3953">
        <v>52</v>
      </c>
      <c r="Q3953">
        <v>26</v>
      </c>
      <c r="R3953">
        <v>22</v>
      </c>
    </row>
    <row r="3954" spans="1:18" x14ac:dyDescent="0.25">
      <c r="A3954" t="s">
        <v>4239</v>
      </c>
      <c r="B3954" t="s">
        <v>55</v>
      </c>
      <c r="C3954" t="s">
        <v>4225</v>
      </c>
      <c r="D3954" t="s">
        <v>4226</v>
      </c>
      <c r="E3954" t="s">
        <v>78</v>
      </c>
      <c r="F3954" t="s">
        <v>252</v>
      </c>
      <c r="G3954">
        <v>5.7925000000000004</v>
      </c>
      <c r="H3954">
        <v>-75.786900000000003</v>
      </c>
      <c r="I3954" t="s">
        <v>4227</v>
      </c>
      <c r="J3954">
        <v>11</v>
      </c>
      <c r="M3954">
        <v>162</v>
      </c>
      <c r="N3954">
        <v>37</v>
      </c>
      <c r="O3954">
        <v>30</v>
      </c>
      <c r="P3954">
        <v>36</v>
      </c>
      <c r="Q3954">
        <v>28</v>
      </c>
      <c r="R3954">
        <v>31</v>
      </c>
    </row>
    <row r="3955" spans="1:18" x14ac:dyDescent="0.25">
      <c r="A3955" t="s">
        <v>4240</v>
      </c>
      <c r="B3955" t="s">
        <v>55</v>
      </c>
      <c r="C3955" t="s">
        <v>4225</v>
      </c>
      <c r="D3955" t="s">
        <v>4226</v>
      </c>
      <c r="E3955" t="s">
        <v>78</v>
      </c>
      <c r="F3955" t="s">
        <v>252</v>
      </c>
      <c r="G3955">
        <v>5.7925000000000004</v>
      </c>
      <c r="H3955">
        <v>-75.786900000000003</v>
      </c>
      <c r="I3955" t="s">
        <v>4227</v>
      </c>
      <c r="J3955">
        <v>11</v>
      </c>
      <c r="M3955">
        <v>157</v>
      </c>
      <c r="N3955">
        <v>39</v>
      </c>
      <c r="O3955">
        <v>12</v>
      </c>
      <c r="P3955">
        <v>50</v>
      </c>
      <c r="Q3955">
        <v>28</v>
      </c>
      <c r="R3955">
        <v>22</v>
      </c>
    </row>
    <row r="3956" spans="1:18" x14ac:dyDescent="0.25">
      <c r="A3956" t="s">
        <v>4241</v>
      </c>
      <c r="B3956" t="s">
        <v>55</v>
      </c>
      <c r="C3956" t="s">
        <v>4225</v>
      </c>
      <c r="D3956" t="s">
        <v>4226</v>
      </c>
      <c r="E3956" t="s">
        <v>78</v>
      </c>
      <c r="F3956" t="s">
        <v>252</v>
      </c>
      <c r="G3956">
        <v>5.7925000000000004</v>
      </c>
      <c r="H3956">
        <v>-75.786900000000003</v>
      </c>
      <c r="I3956" t="s">
        <v>4227</v>
      </c>
      <c r="J3956">
        <v>11</v>
      </c>
      <c r="M3956">
        <v>155</v>
      </c>
      <c r="N3956">
        <v>27</v>
      </c>
      <c r="O3956">
        <v>24</v>
      </c>
      <c r="P3956">
        <v>46</v>
      </c>
      <c r="Q3956">
        <v>26</v>
      </c>
      <c r="R3956">
        <v>35</v>
      </c>
    </row>
    <row r="3957" spans="1:18" x14ac:dyDescent="0.25">
      <c r="A3957" t="s">
        <v>4242</v>
      </c>
      <c r="B3957" t="s">
        <v>55</v>
      </c>
      <c r="C3957" t="s">
        <v>4225</v>
      </c>
      <c r="D3957" t="s">
        <v>4226</v>
      </c>
      <c r="E3957" t="s">
        <v>78</v>
      </c>
      <c r="F3957" t="s">
        <v>252</v>
      </c>
      <c r="G3957">
        <v>5.7925000000000004</v>
      </c>
      <c r="H3957">
        <v>-75.786900000000003</v>
      </c>
      <c r="I3957" t="s">
        <v>4227</v>
      </c>
      <c r="J3957">
        <v>11</v>
      </c>
      <c r="M3957">
        <v>150</v>
      </c>
      <c r="N3957">
        <v>34</v>
      </c>
      <c r="O3957">
        <v>36</v>
      </c>
      <c r="P3957">
        <v>28</v>
      </c>
      <c r="Q3957">
        <v>22</v>
      </c>
      <c r="R3957">
        <v>29</v>
      </c>
    </row>
    <row r="3958" spans="1:18" x14ac:dyDescent="0.25">
      <c r="A3958" t="s">
        <v>4243</v>
      </c>
      <c r="B3958" t="s">
        <v>55</v>
      </c>
      <c r="C3958" t="s">
        <v>4225</v>
      </c>
      <c r="D3958" t="s">
        <v>4226</v>
      </c>
      <c r="E3958" t="s">
        <v>78</v>
      </c>
      <c r="F3958" t="s">
        <v>252</v>
      </c>
      <c r="G3958">
        <v>5.7925000000000004</v>
      </c>
      <c r="H3958">
        <v>-75.786900000000003</v>
      </c>
      <c r="I3958" t="s">
        <v>4227</v>
      </c>
      <c r="J3958">
        <v>11</v>
      </c>
      <c r="M3958">
        <v>150</v>
      </c>
      <c r="N3958">
        <v>46</v>
      </c>
      <c r="O3958">
        <v>24</v>
      </c>
      <c r="P3958">
        <v>26</v>
      </c>
      <c r="Q3958">
        <v>24</v>
      </c>
      <c r="R3958">
        <v>27</v>
      </c>
    </row>
    <row r="3959" spans="1:18" x14ac:dyDescent="0.25">
      <c r="A3959" t="s">
        <v>4244</v>
      </c>
      <c r="B3959" t="s">
        <v>55</v>
      </c>
      <c r="C3959" t="s">
        <v>4225</v>
      </c>
      <c r="D3959" t="s">
        <v>4226</v>
      </c>
      <c r="E3959" t="s">
        <v>78</v>
      </c>
      <c r="F3959" t="s">
        <v>252</v>
      </c>
      <c r="G3959">
        <v>5.7925000000000004</v>
      </c>
      <c r="H3959">
        <v>-75.786900000000003</v>
      </c>
      <c r="I3959" t="s">
        <v>4227</v>
      </c>
      <c r="J3959">
        <v>11</v>
      </c>
      <c r="M3959">
        <v>147</v>
      </c>
      <c r="N3959">
        <v>41</v>
      </c>
      <c r="O3959">
        <v>26</v>
      </c>
      <c r="P3959">
        <v>24</v>
      </c>
      <c r="Q3959">
        <v>26</v>
      </c>
      <c r="R3959">
        <v>31</v>
      </c>
    </row>
    <row r="3960" spans="1:18" x14ac:dyDescent="0.25">
      <c r="A3960" t="s">
        <v>4245</v>
      </c>
      <c r="B3960" t="s">
        <v>55</v>
      </c>
      <c r="C3960" t="s">
        <v>4225</v>
      </c>
      <c r="D3960" t="s">
        <v>4226</v>
      </c>
      <c r="E3960" t="s">
        <v>78</v>
      </c>
      <c r="F3960" t="s">
        <v>252</v>
      </c>
      <c r="G3960">
        <v>5.7925000000000004</v>
      </c>
      <c r="H3960">
        <v>-75.786900000000003</v>
      </c>
      <c r="I3960" t="s">
        <v>4227</v>
      </c>
      <c r="J3960">
        <v>11</v>
      </c>
      <c r="M3960">
        <v>147</v>
      </c>
      <c r="N3960">
        <v>39</v>
      </c>
      <c r="O3960">
        <v>28</v>
      </c>
      <c r="P3960">
        <v>22</v>
      </c>
      <c r="Q3960">
        <v>29</v>
      </c>
      <c r="R3960">
        <v>27</v>
      </c>
    </row>
    <row r="3961" spans="1:18" x14ac:dyDescent="0.25">
      <c r="A3961" t="s">
        <v>4246</v>
      </c>
      <c r="B3961" t="s">
        <v>55</v>
      </c>
      <c r="C3961" t="s">
        <v>4225</v>
      </c>
      <c r="D3961" t="s">
        <v>4226</v>
      </c>
      <c r="E3961" t="s">
        <v>78</v>
      </c>
      <c r="F3961" t="s">
        <v>252</v>
      </c>
      <c r="G3961">
        <v>5.7925000000000004</v>
      </c>
      <c r="H3961">
        <v>-75.786900000000003</v>
      </c>
      <c r="I3961" t="s">
        <v>4227</v>
      </c>
      <c r="J3961">
        <v>11</v>
      </c>
      <c r="M3961">
        <v>143</v>
      </c>
      <c r="N3961">
        <v>34</v>
      </c>
      <c r="O3961">
        <v>26</v>
      </c>
      <c r="P3961">
        <v>32</v>
      </c>
      <c r="Q3961">
        <v>22</v>
      </c>
      <c r="R3961">
        <v>29</v>
      </c>
    </row>
    <row r="3962" spans="1:18" x14ac:dyDescent="0.25">
      <c r="A3962" t="s">
        <v>4247</v>
      </c>
      <c r="B3962" t="s">
        <v>55</v>
      </c>
      <c r="C3962" t="s">
        <v>4225</v>
      </c>
      <c r="D3962" t="s">
        <v>4226</v>
      </c>
      <c r="E3962" t="s">
        <v>78</v>
      </c>
      <c r="F3962" t="s">
        <v>252</v>
      </c>
      <c r="G3962">
        <v>5.7925000000000004</v>
      </c>
      <c r="H3962">
        <v>-75.786900000000003</v>
      </c>
      <c r="I3962" t="s">
        <v>4227</v>
      </c>
      <c r="J3962">
        <v>11</v>
      </c>
      <c r="M3962">
        <v>142</v>
      </c>
      <c r="N3962">
        <v>32</v>
      </c>
      <c r="O3962">
        <v>26</v>
      </c>
      <c r="P3962">
        <v>34</v>
      </c>
      <c r="Q3962">
        <v>21</v>
      </c>
      <c r="R3962">
        <v>33</v>
      </c>
    </row>
    <row r="3963" spans="1:18" x14ac:dyDescent="0.25">
      <c r="A3963" t="s">
        <v>4248</v>
      </c>
      <c r="B3963" t="s">
        <v>55</v>
      </c>
      <c r="C3963" t="s">
        <v>4225</v>
      </c>
      <c r="D3963" t="s">
        <v>4226</v>
      </c>
      <c r="E3963" t="s">
        <v>78</v>
      </c>
      <c r="F3963" t="s">
        <v>252</v>
      </c>
      <c r="G3963">
        <v>5.7925000000000004</v>
      </c>
      <c r="H3963">
        <v>-75.786900000000003</v>
      </c>
      <c r="I3963" t="s">
        <v>4227</v>
      </c>
      <c r="J3963">
        <v>11</v>
      </c>
      <c r="M3963">
        <v>141</v>
      </c>
      <c r="N3963">
        <v>24</v>
      </c>
      <c r="O3963">
        <v>26</v>
      </c>
      <c r="P3963">
        <v>30</v>
      </c>
      <c r="Q3963">
        <v>31</v>
      </c>
      <c r="R3963">
        <v>33</v>
      </c>
    </row>
    <row r="3964" spans="1:18" x14ac:dyDescent="0.25">
      <c r="A3964" t="s">
        <v>4249</v>
      </c>
      <c r="B3964" t="s">
        <v>55</v>
      </c>
      <c r="C3964" t="s">
        <v>4225</v>
      </c>
      <c r="D3964" t="s">
        <v>4226</v>
      </c>
      <c r="E3964" t="s">
        <v>78</v>
      </c>
      <c r="F3964" t="s">
        <v>252</v>
      </c>
      <c r="G3964">
        <v>5.7925000000000004</v>
      </c>
      <c r="H3964">
        <v>-75.786900000000003</v>
      </c>
      <c r="I3964" t="s">
        <v>4227</v>
      </c>
      <c r="J3964">
        <v>11</v>
      </c>
      <c r="M3964">
        <v>140</v>
      </c>
      <c r="N3964">
        <v>29</v>
      </c>
      <c r="O3964">
        <v>28</v>
      </c>
      <c r="P3964">
        <v>30</v>
      </c>
      <c r="Q3964">
        <v>29</v>
      </c>
      <c r="R3964">
        <v>15</v>
      </c>
    </row>
    <row r="3965" spans="1:18" x14ac:dyDescent="0.25">
      <c r="A3965" t="s">
        <v>4250</v>
      </c>
      <c r="B3965" t="s">
        <v>55</v>
      </c>
      <c r="C3965" t="s">
        <v>4225</v>
      </c>
      <c r="D3965" t="s">
        <v>4226</v>
      </c>
      <c r="E3965" t="s">
        <v>78</v>
      </c>
      <c r="F3965" t="s">
        <v>252</v>
      </c>
      <c r="G3965">
        <v>5.7925000000000004</v>
      </c>
      <c r="H3965">
        <v>-75.786900000000003</v>
      </c>
      <c r="I3965" t="s">
        <v>4227</v>
      </c>
      <c r="J3965">
        <v>11</v>
      </c>
      <c r="M3965">
        <v>135</v>
      </c>
      <c r="N3965">
        <v>17</v>
      </c>
      <c r="O3965">
        <v>32</v>
      </c>
      <c r="P3965">
        <v>28</v>
      </c>
      <c r="Q3965">
        <v>29</v>
      </c>
      <c r="R3965">
        <v>33</v>
      </c>
    </row>
    <row r="3966" spans="1:18" x14ac:dyDescent="0.25">
      <c r="A3966" t="s">
        <v>4251</v>
      </c>
      <c r="B3966" t="s">
        <v>55</v>
      </c>
      <c r="C3966" t="s">
        <v>4225</v>
      </c>
      <c r="D3966" t="s">
        <v>4226</v>
      </c>
      <c r="E3966" t="s">
        <v>78</v>
      </c>
      <c r="F3966" t="s">
        <v>252</v>
      </c>
      <c r="G3966">
        <v>5.7925000000000004</v>
      </c>
      <c r="H3966">
        <v>-75.786900000000003</v>
      </c>
      <c r="I3966" t="s">
        <v>4227</v>
      </c>
      <c r="J3966">
        <v>11</v>
      </c>
      <c r="M3966">
        <v>134</v>
      </c>
      <c r="N3966">
        <v>49</v>
      </c>
      <c r="O3966">
        <v>22</v>
      </c>
      <c r="P3966">
        <v>30</v>
      </c>
      <c r="Q3966">
        <v>16</v>
      </c>
      <c r="R3966">
        <v>0</v>
      </c>
    </row>
    <row r="3967" spans="1:18" x14ac:dyDescent="0.25">
      <c r="A3967" t="s">
        <v>4252</v>
      </c>
      <c r="B3967" t="s">
        <v>55</v>
      </c>
      <c r="C3967" t="s">
        <v>4225</v>
      </c>
      <c r="D3967" t="s">
        <v>4226</v>
      </c>
      <c r="E3967" t="s">
        <v>78</v>
      </c>
      <c r="F3967" t="s">
        <v>252</v>
      </c>
      <c r="G3967">
        <v>5.7925000000000004</v>
      </c>
      <c r="H3967">
        <v>-75.786900000000003</v>
      </c>
      <c r="I3967" t="s">
        <v>4227</v>
      </c>
      <c r="J3967">
        <v>11</v>
      </c>
      <c r="M3967">
        <v>128</v>
      </c>
      <c r="N3967">
        <v>34</v>
      </c>
      <c r="O3967">
        <v>18</v>
      </c>
      <c r="P3967">
        <v>24</v>
      </c>
      <c r="Q3967">
        <v>28</v>
      </c>
      <c r="R3967">
        <v>22</v>
      </c>
    </row>
    <row r="3968" spans="1:18" x14ac:dyDescent="0.25">
      <c r="A3968" t="s">
        <v>4253</v>
      </c>
      <c r="B3968" t="s">
        <v>55</v>
      </c>
      <c r="C3968" t="s">
        <v>4225</v>
      </c>
      <c r="D3968" t="s">
        <v>4226</v>
      </c>
      <c r="E3968" t="s">
        <v>78</v>
      </c>
      <c r="F3968" t="s">
        <v>252</v>
      </c>
      <c r="G3968">
        <v>5.7925000000000004</v>
      </c>
      <c r="H3968">
        <v>-75.786900000000003</v>
      </c>
      <c r="I3968" t="s">
        <v>4227</v>
      </c>
      <c r="J3968">
        <v>11</v>
      </c>
      <c r="M3968">
        <v>123</v>
      </c>
      <c r="N3968">
        <v>34</v>
      </c>
      <c r="O3968">
        <v>32</v>
      </c>
      <c r="P3968">
        <v>12</v>
      </c>
      <c r="Q3968">
        <v>19</v>
      </c>
      <c r="R3968">
        <v>27</v>
      </c>
    </row>
    <row r="3969" spans="1:18" x14ac:dyDescent="0.25">
      <c r="A3969" t="s">
        <v>4254</v>
      </c>
      <c r="B3969" t="s">
        <v>55</v>
      </c>
      <c r="C3969" t="s">
        <v>4225</v>
      </c>
      <c r="D3969" t="s">
        <v>4226</v>
      </c>
      <c r="E3969" t="s">
        <v>78</v>
      </c>
      <c r="F3969" t="s">
        <v>252</v>
      </c>
      <c r="G3969">
        <v>5.7925000000000004</v>
      </c>
      <c r="H3969">
        <v>-75.786900000000003</v>
      </c>
      <c r="I3969" t="s">
        <v>4227</v>
      </c>
      <c r="J3969">
        <v>11</v>
      </c>
      <c r="M3969">
        <v>121</v>
      </c>
      <c r="N3969">
        <v>32</v>
      </c>
      <c r="O3969">
        <v>20</v>
      </c>
      <c r="P3969">
        <v>30</v>
      </c>
      <c r="Q3969">
        <v>14</v>
      </c>
      <c r="R3969">
        <v>27</v>
      </c>
    </row>
    <row r="3970" spans="1:18" x14ac:dyDescent="0.25">
      <c r="A3970" t="s">
        <v>4255</v>
      </c>
      <c r="B3970" t="s">
        <v>55</v>
      </c>
      <c r="C3970" t="s">
        <v>4225</v>
      </c>
      <c r="D3970" t="s">
        <v>4226</v>
      </c>
      <c r="E3970" t="s">
        <v>78</v>
      </c>
      <c r="F3970" t="s">
        <v>252</v>
      </c>
      <c r="G3970">
        <v>5.7925000000000004</v>
      </c>
      <c r="H3970">
        <v>-75.786900000000003</v>
      </c>
      <c r="I3970" t="s">
        <v>4227</v>
      </c>
      <c r="J3970">
        <v>11</v>
      </c>
      <c r="M3970">
        <v>112</v>
      </c>
      <c r="N3970">
        <v>20</v>
      </c>
      <c r="O3970">
        <v>26</v>
      </c>
      <c r="P3970">
        <v>18</v>
      </c>
      <c r="Q3970">
        <v>26</v>
      </c>
      <c r="R3970">
        <v>22</v>
      </c>
    </row>
    <row r="3971" spans="1:18" x14ac:dyDescent="0.25">
      <c r="A3971" t="s">
        <v>4256</v>
      </c>
      <c r="B3971" t="s">
        <v>55</v>
      </c>
      <c r="C3971" t="s">
        <v>4225</v>
      </c>
      <c r="D3971" t="s">
        <v>4226</v>
      </c>
      <c r="E3971" t="s">
        <v>78</v>
      </c>
      <c r="F3971" t="s">
        <v>252</v>
      </c>
      <c r="G3971">
        <v>5.7925000000000004</v>
      </c>
      <c r="H3971">
        <v>-75.786900000000003</v>
      </c>
      <c r="I3971" t="s">
        <v>4227</v>
      </c>
      <c r="J3971">
        <v>11</v>
      </c>
      <c r="M3971">
        <v>86</v>
      </c>
      <c r="N3971">
        <v>32</v>
      </c>
      <c r="O3971">
        <v>18</v>
      </c>
      <c r="P3971">
        <v>16</v>
      </c>
      <c r="Q3971">
        <v>9</v>
      </c>
      <c r="R3971">
        <v>0</v>
      </c>
    </row>
    <row r="3972" spans="1:18" x14ac:dyDescent="0.25">
      <c r="A3972" t="s">
        <v>4257</v>
      </c>
      <c r="B3972" t="s">
        <v>55</v>
      </c>
      <c r="C3972" t="s">
        <v>4225</v>
      </c>
      <c r="D3972" t="s">
        <v>4226</v>
      </c>
      <c r="E3972" t="s">
        <v>78</v>
      </c>
      <c r="F3972" t="s">
        <v>252</v>
      </c>
      <c r="G3972">
        <v>5.7925000000000004</v>
      </c>
      <c r="H3972">
        <v>-75.786900000000003</v>
      </c>
      <c r="I3972" t="s">
        <v>4227</v>
      </c>
      <c r="J3972">
        <v>11</v>
      </c>
      <c r="M3972">
        <v>53</v>
      </c>
      <c r="N3972">
        <v>46</v>
      </c>
      <c r="O3972">
        <v>0</v>
      </c>
      <c r="P3972">
        <v>0</v>
      </c>
      <c r="Q3972">
        <v>0</v>
      </c>
      <c r="R3972">
        <v>0</v>
      </c>
    </row>
    <row r="3973" spans="1:18" x14ac:dyDescent="0.25">
      <c r="A3973" t="s">
        <v>4258</v>
      </c>
      <c r="B3973" t="s">
        <v>55</v>
      </c>
      <c r="C3973" t="s">
        <v>4259</v>
      </c>
      <c r="D3973" t="s">
        <v>2320</v>
      </c>
      <c r="E3973" t="s">
        <v>78</v>
      </c>
      <c r="F3973" t="s">
        <v>252</v>
      </c>
      <c r="G3973">
        <v>7.7577999999999996</v>
      </c>
      <c r="H3973">
        <v>-76.654700000000005</v>
      </c>
      <c r="I3973" t="s">
        <v>4260</v>
      </c>
      <c r="J3973">
        <v>11</v>
      </c>
      <c r="M3973">
        <v>227</v>
      </c>
      <c r="N3973">
        <v>59</v>
      </c>
      <c r="O3973">
        <v>20</v>
      </c>
      <c r="P3973">
        <v>74</v>
      </c>
      <c r="Q3973">
        <v>31</v>
      </c>
      <c r="R3973">
        <v>40</v>
      </c>
    </row>
    <row r="3974" spans="1:18" x14ac:dyDescent="0.25">
      <c r="A3974" t="s">
        <v>4261</v>
      </c>
      <c r="B3974" t="s">
        <v>55</v>
      </c>
      <c r="C3974" t="s">
        <v>4259</v>
      </c>
      <c r="D3974" t="s">
        <v>2320</v>
      </c>
      <c r="E3974" t="s">
        <v>78</v>
      </c>
      <c r="F3974" t="s">
        <v>252</v>
      </c>
      <c r="G3974">
        <v>7.7577999999999996</v>
      </c>
      <c r="H3974">
        <v>-76.654700000000005</v>
      </c>
      <c r="I3974" t="s">
        <v>4260</v>
      </c>
      <c r="J3974">
        <v>11</v>
      </c>
      <c r="M3974">
        <v>220</v>
      </c>
      <c r="N3974">
        <v>54</v>
      </c>
      <c r="O3974">
        <v>24</v>
      </c>
      <c r="P3974">
        <v>60</v>
      </c>
      <c r="Q3974">
        <v>34</v>
      </c>
      <c r="R3974">
        <v>55</v>
      </c>
    </row>
    <row r="3975" spans="1:18" x14ac:dyDescent="0.25">
      <c r="A3975" t="s">
        <v>4262</v>
      </c>
      <c r="B3975" t="s">
        <v>55</v>
      </c>
      <c r="C3975" t="s">
        <v>4259</v>
      </c>
      <c r="D3975" t="s">
        <v>2320</v>
      </c>
      <c r="E3975" t="s">
        <v>78</v>
      </c>
      <c r="F3975" t="s">
        <v>252</v>
      </c>
      <c r="G3975">
        <v>7.7577999999999996</v>
      </c>
      <c r="H3975">
        <v>-76.654700000000005</v>
      </c>
      <c r="I3975" t="s">
        <v>4260</v>
      </c>
      <c r="J3975">
        <v>11</v>
      </c>
      <c r="M3975">
        <v>219</v>
      </c>
      <c r="N3975">
        <v>51</v>
      </c>
      <c r="O3975">
        <v>30</v>
      </c>
      <c r="P3975">
        <v>62</v>
      </c>
      <c r="Q3975">
        <v>29</v>
      </c>
      <c r="R3975">
        <v>53</v>
      </c>
    </row>
    <row r="3976" spans="1:18" x14ac:dyDescent="0.25">
      <c r="A3976" t="s">
        <v>4263</v>
      </c>
      <c r="B3976" t="s">
        <v>55</v>
      </c>
      <c r="C3976" t="s">
        <v>4259</v>
      </c>
      <c r="D3976" t="s">
        <v>2320</v>
      </c>
      <c r="E3976" t="s">
        <v>78</v>
      </c>
      <c r="F3976" t="s">
        <v>252</v>
      </c>
      <c r="G3976">
        <v>7.7577999999999996</v>
      </c>
      <c r="H3976">
        <v>-76.654700000000005</v>
      </c>
      <c r="I3976" t="s">
        <v>4260</v>
      </c>
      <c r="J3976">
        <v>11</v>
      </c>
      <c r="M3976">
        <v>210</v>
      </c>
      <c r="N3976">
        <v>46</v>
      </c>
      <c r="O3976">
        <v>26</v>
      </c>
      <c r="P3976">
        <v>50</v>
      </c>
      <c r="Q3976">
        <v>43</v>
      </c>
      <c r="R3976">
        <v>51</v>
      </c>
    </row>
    <row r="3977" spans="1:18" x14ac:dyDescent="0.25">
      <c r="A3977" t="s">
        <v>4264</v>
      </c>
      <c r="B3977" t="s">
        <v>55</v>
      </c>
      <c r="C3977" t="s">
        <v>4259</v>
      </c>
      <c r="D3977" t="s">
        <v>2320</v>
      </c>
      <c r="E3977" t="s">
        <v>78</v>
      </c>
      <c r="F3977" t="s">
        <v>252</v>
      </c>
      <c r="G3977">
        <v>7.7577999999999996</v>
      </c>
      <c r="H3977">
        <v>-76.654700000000005</v>
      </c>
      <c r="I3977" t="s">
        <v>4260</v>
      </c>
      <c r="J3977">
        <v>11</v>
      </c>
      <c r="M3977">
        <v>208</v>
      </c>
      <c r="N3977">
        <v>56</v>
      </c>
      <c r="O3977">
        <v>42</v>
      </c>
      <c r="P3977">
        <v>42</v>
      </c>
      <c r="Q3977">
        <v>22</v>
      </c>
      <c r="R3977">
        <v>53</v>
      </c>
    </row>
    <row r="3978" spans="1:18" x14ac:dyDescent="0.25">
      <c r="A3978" t="s">
        <v>4265</v>
      </c>
      <c r="B3978" t="s">
        <v>55</v>
      </c>
      <c r="C3978" t="s">
        <v>4259</v>
      </c>
      <c r="D3978" t="s">
        <v>2320</v>
      </c>
      <c r="E3978" t="s">
        <v>78</v>
      </c>
      <c r="F3978" t="s">
        <v>252</v>
      </c>
      <c r="G3978">
        <v>7.7577999999999996</v>
      </c>
      <c r="H3978">
        <v>-76.654700000000005</v>
      </c>
      <c r="I3978" t="s">
        <v>4260</v>
      </c>
      <c r="J3978">
        <v>11</v>
      </c>
      <c r="M3978">
        <v>203</v>
      </c>
      <c r="N3978">
        <v>49</v>
      </c>
      <c r="O3978">
        <v>36</v>
      </c>
      <c r="P3978">
        <v>40</v>
      </c>
      <c r="Q3978">
        <v>24</v>
      </c>
      <c r="R3978">
        <v>80</v>
      </c>
    </row>
    <row r="3979" spans="1:18" x14ac:dyDescent="0.25">
      <c r="A3979" t="s">
        <v>4266</v>
      </c>
      <c r="B3979" t="s">
        <v>55</v>
      </c>
      <c r="C3979" t="s">
        <v>4259</v>
      </c>
      <c r="D3979" t="s">
        <v>2320</v>
      </c>
      <c r="E3979" t="s">
        <v>78</v>
      </c>
      <c r="F3979" t="s">
        <v>252</v>
      </c>
      <c r="G3979">
        <v>7.7577999999999996</v>
      </c>
      <c r="H3979">
        <v>-76.654700000000005</v>
      </c>
      <c r="I3979" t="s">
        <v>4260</v>
      </c>
      <c r="J3979">
        <v>11</v>
      </c>
      <c r="M3979">
        <v>187</v>
      </c>
      <c r="N3979">
        <v>51</v>
      </c>
      <c r="O3979">
        <v>22</v>
      </c>
      <c r="P3979">
        <v>50</v>
      </c>
      <c r="Q3979">
        <v>26</v>
      </c>
      <c r="R3979">
        <v>40</v>
      </c>
    </row>
    <row r="3980" spans="1:18" x14ac:dyDescent="0.25">
      <c r="A3980" t="s">
        <v>4267</v>
      </c>
      <c r="B3980" t="s">
        <v>55</v>
      </c>
      <c r="C3980" t="s">
        <v>4259</v>
      </c>
      <c r="D3980" t="s">
        <v>2320</v>
      </c>
      <c r="E3980" t="s">
        <v>78</v>
      </c>
      <c r="F3980" t="s">
        <v>252</v>
      </c>
      <c r="G3980">
        <v>7.7577999999999996</v>
      </c>
      <c r="H3980">
        <v>-76.654700000000005</v>
      </c>
      <c r="I3980" t="s">
        <v>4260</v>
      </c>
      <c r="J3980">
        <v>11</v>
      </c>
      <c r="M3980">
        <v>186</v>
      </c>
      <c r="N3980">
        <v>39</v>
      </c>
      <c r="O3980">
        <v>32</v>
      </c>
      <c r="P3980">
        <v>54</v>
      </c>
      <c r="Q3980">
        <v>28</v>
      </c>
      <c r="R3980">
        <v>25</v>
      </c>
    </row>
    <row r="3981" spans="1:18" x14ac:dyDescent="0.25">
      <c r="A3981" t="s">
        <v>4268</v>
      </c>
      <c r="B3981" t="s">
        <v>55</v>
      </c>
      <c r="C3981" t="s">
        <v>4259</v>
      </c>
      <c r="D3981" t="s">
        <v>2320</v>
      </c>
      <c r="E3981" t="s">
        <v>78</v>
      </c>
      <c r="F3981" t="s">
        <v>252</v>
      </c>
      <c r="G3981">
        <v>7.7577999999999996</v>
      </c>
      <c r="H3981">
        <v>-76.654700000000005</v>
      </c>
      <c r="I3981" t="s">
        <v>4260</v>
      </c>
      <c r="J3981">
        <v>11</v>
      </c>
      <c r="M3981">
        <v>170</v>
      </c>
      <c r="N3981">
        <v>44</v>
      </c>
      <c r="O3981">
        <v>26</v>
      </c>
      <c r="P3981">
        <v>34</v>
      </c>
      <c r="Q3981">
        <v>31</v>
      </c>
      <c r="R3981">
        <v>38</v>
      </c>
    </row>
    <row r="3982" spans="1:18" x14ac:dyDescent="0.25">
      <c r="A3982" t="s">
        <v>4269</v>
      </c>
      <c r="B3982" t="s">
        <v>55</v>
      </c>
      <c r="C3982" t="s">
        <v>4259</v>
      </c>
      <c r="D3982" t="s">
        <v>2320</v>
      </c>
      <c r="E3982" t="s">
        <v>78</v>
      </c>
      <c r="F3982" t="s">
        <v>252</v>
      </c>
      <c r="G3982">
        <v>7.7577999999999996</v>
      </c>
      <c r="H3982">
        <v>-76.654700000000005</v>
      </c>
      <c r="I3982" t="s">
        <v>4260</v>
      </c>
      <c r="J3982">
        <v>11</v>
      </c>
      <c r="M3982">
        <v>169</v>
      </c>
      <c r="N3982">
        <v>44</v>
      </c>
      <c r="O3982">
        <v>22</v>
      </c>
      <c r="P3982">
        <v>36</v>
      </c>
      <c r="Q3982">
        <v>34</v>
      </c>
      <c r="R3982">
        <v>31</v>
      </c>
    </row>
    <row r="3983" spans="1:18" x14ac:dyDescent="0.25">
      <c r="A3983" t="s">
        <v>4270</v>
      </c>
      <c r="B3983" t="s">
        <v>55</v>
      </c>
      <c r="C3983" t="s">
        <v>4259</v>
      </c>
      <c r="D3983" t="s">
        <v>2320</v>
      </c>
      <c r="E3983" t="s">
        <v>78</v>
      </c>
      <c r="F3983" t="s">
        <v>252</v>
      </c>
      <c r="G3983">
        <v>7.7577999999999996</v>
      </c>
      <c r="H3983">
        <v>-76.654700000000005</v>
      </c>
      <c r="I3983" t="s">
        <v>4260</v>
      </c>
      <c r="J3983">
        <v>11</v>
      </c>
      <c r="M3983">
        <v>168</v>
      </c>
      <c r="N3983">
        <v>39</v>
      </c>
      <c r="O3983">
        <v>28</v>
      </c>
      <c r="P3983">
        <v>46</v>
      </c>
      <c r="Q3983">
        <v>22</v>
      </c>
      <c r="R3983">
        <v>31</v>
      </c>
    </row>
    <row r="3984" spans="1:18" x14ac:dyDescent="0.25">
      <c r="A3984" t="s">
        <v>4271</v>
      </c>
      <c r="B3984" t="s">
        <v>55</v>
      </c>
      <c r="C3984" t="s">
        <v>4259</v>
      </c>
      <c r="D3984" t="s">
        <v>2320</v>
      </c>
      <c r="E3984" t="s">
        <v>78</v>
      </c>
      <c r="F3984" t="s">
        <v>252</v>
      </c>
      <c r="G3984">
        <v>7.7577999999999996</v>
      </c>
      <c r="H3984">
        <v>-76.654700000000005</v>
      </c>
      <c r="I3984" t="s">
        <v>4260</v>
      </c>
      <c r="J3984">
        <v>11</v>
      </c>
      <c r="M3984">
        <v>167</v>
      </c>
      <c r="N3984">
        <v>37</v>
      </c>
      <c r="O3984">
        <v>38</v>
      </c>
      <c r="P3984">
        <v>36</v>
      </c>
      <c r="Q3984">
        <v>22</v>
      </c>
      <c r="R3984">
        <v>36</v>
      </c>
    </row>
    <row r="3985" spans="1:18" x14ac:dyDescent="0.25">
      <c r="A3985" t="s">
        <v>4272</v>
      </c>
      <c r="B3985" t="s">
        <v>55</v>
      </c>
      <c r="C3985" t="s">
        <v>4259</v>
      </c>
      <c r="D3985" t="s">
        <v>2320</v>
      </c>
      <c r="E3985" t="s">
        <v>78</v>
      </c>
      <c r="F3985" t="s">
        <v>252</v>
      </c>
      <c r="G3985">
        <v>7.7577999999999996</v>
      </c>
      <c r="H3985">
        <v>-76.654700000000005</v>
      </c>
      <c r="I3985" t="s">
        <v>4260</v>
      </c>
      <c r="J3985">
        <v>11</v>
      </c>
      <c r="M3985">
        <v>167</v>
      </c>
      <c r="N3985">
        <v>37</v>
      </c>
      <c r="O3985">
        <v>24</v>
      </c>
      <c r="P3985">
        <v>50</v>
      </c>
      <c r="Q3985">
        <v>26</v>
      </c>
      <c r="R3985">
        <v>25</v>
      </c>
    </row>
    <row r="3986" spans="1:18" x14ac:dyDescent="0.25">
      <c r="A3986" t="s">
        <v>4273</v>
      </c>
      <c r="B3986" t="s">
        <v>55</v>
      </c>
      <c r="C3986" t="s">
        <v>4259</v>
      </c>
      <c r="D3986" t="s">
        <v>2320</v>
      </c>
      <c r="E3986" t="s">
        <v>78</v>
      </c>
      <c r="F3986" t="s">
        <v>252</v>
      </c>
      <c r="G3986">
        <v>7.7577999999999996</v>
      </c>
      <c r="H3986">
        <v>-76.654700000000005</v>
      </c>
      <c r="I3986" t="s">
        <v>4260</v>
      </c>
      <c r="J3986">
        <v>11</v>
      </c>
      <c r="M3986">
        <v>159</v>
      </c>
      <c r="N3986">
        <v>44</v>
      </c>
      <c r="O3986">
        <v>24</v>
      </c>
      <c r="P3986">
        <v>38</v>
      </c>
      <c r="Q3986">
        <v>24</v>
      </c>
      <c r="R3986">
        <v>24</v>
      </c>
    </row>
    <row r="3987" spans="1:18" x14ac:dyDescent="0.25">
      <c r="A3987" t="s">
        <v>4274</v>
      </c>
      <c r="B3987" t="s">
        <v>55</v>
      </c>
      <c r="C3987" t="s">
        <v>4259</v>
      </c>
      <c r="D3987" t="s">
        <v>2320</v>
      </c>
      <c r="E3987" t="s">
        <v>78</v>
      </c>
      <c r="F3987" t="s">
        <v>252</v>
      </c>
      <c r="G3987">
        <v>7.7577999999999996</v>
      </c>
      <c r="H3987">
        <v>-76.654700000000005</v>
      </c>
      <c r="I3987" t="s">
        <v>4260</v>
      </c>
      <c r="J3987">
        <v>11</v>
      </c>
      <c r="M3987">
        <v>158</v>
      </c>
      <c r="N3987">
        <v>29</v>
      </c>
      <c r="O3987">
        <v>22</v>
      </c>
      <c r="P3987">
        <v>38</v>
      </c>
      <c r="Q3987">
        <v>36</v>
      </c>
      <c r="R3987">
        <v>35</v>
      </c>
    </row>
    <row r="3988" spans="1:18" x14ac:dyDescent="0.25">
      <c r="A3988" t="s">
        <v>4275</v>
      </c>
      <c r="B3988" t="s">
        <v>55</v>
      </c>
      <c r="C3988" t="s">
        <v>4259</v>
      </c>
      <c r="D3988" t="s">
        <v>2320</v>
      </c>
      <c r="E3988" t="s">
        <v>78</v>
      </c>
      <c r="F3988" t="s">
        <v>252</v>
      </c>
      <c r="G3988">
        <v>7.7577999999999996</v>
      </c>
      <c r="H3988">
        <v>-76.654700000000005</v>
      </c>
      <c r="I3988" t="s">
        <v>4260</v>
      </c>
      <c r="J3988">
        <v>11</v>
      </c>
      <c r="M3988">
        <v>155</v>
      </c>
      <c r="N3988">
        <v>39</v>
      </c>
      <c r="O3988">
        <v>18</v>
      </c>
      <c r="P3988">
        <v>42</v>
      </c>
      <c r="Q3988">
        <v>24</v>
      </c>
      <c r="R3988">
        <v>33</v>
      </c>
    </row>
    <row r="3989" spans="1:18" x14ac:dyDescent="0.25">
      <c r="A3989" t="s">
        <v>4276</v>
      </c>
      <c r="B3989" t="s">
        <v>55</v>
      </c>
      <c r="C3989" t="s">
        <v>4259</v>
      </c>
      <c r="D3989" t="s">
        <v>2320</v>
      </c>
      <c r="E3989" t="s">
        <v>78</v>
      </c>
      <c r="F3989" t="s">
        <v>252</v>
      </c>
      <c r="G3989">
        <v>7.7577999999999996</v>
      </c>
      <c r="H3989">
        <v>-76.654700000000005</v>
      </c>
      <c r="I3989" t="s">
        <v>4260</v>
      </c>
      <c r="J3989">
        <v>11</v>
      </c>
      <c r="M3989">
        <v>153</v>
      </c>
      <c r="N3989">
        <v>34</v>
      </c>
      <c r="O3989">
        <v>16</v>
      </c>
      <c r="P3989">
        <v>44</v>
      </c>
      <c r="Q3989">
        <v>31</v>
      </c>
      <c r="R3989">
        <v>22</v>
      </c>
    </row>
    <row r="3990" spans="1:18" x14ac:dyDescent="0.25">
      <c r="A3990" t="s">
        <v>4277</v>
      </c>
      <c r="B3990" t="s">
        <v>55</v>
      </c>
      <c r="C3990" t="s">
        <v>4259</v>
      </c>
      <c r="D3990" t="s">
        <v>2320</v>
      </c>
      <c r="E3990" t="s">
        <v>78</v>
      </c>
      <c r="F3990" t="s">
        <v>252</v>
      </c>
      <c r="G3990">
        <v>7.7577999999999996</v>
      </c>
      <c r="H3990">
        <v>-76.654700000000005</v>
      </c>
      <c r="I3990" t="s">
        <v>4260</v>
      </c>
      <c r="J3990">
        <v>11</v>
      </c>
      <c r="M3990">
        <v>148</v>
      </c>
      <c r="N3990">
        <v>49</v>
      </c>
      <c r="O3990">
        <v>26</v>
      </c>
      <c r="P3990">
        <v>32</v>
      </c>
      <c r="Q3990">
        <v>12</v>
      </c>
      <c r="R3990">
        <v>29</v>
      </c>
    </row>
    <row r="3991" spans="1:18" x14ac:dyDescent="0.25">
      <c r="A3991" t="s">
        <v>4278</v>
      </c>
      <c r="B3991" t="s">
        <v>55</v>
      </c>
      <c r="C3991" t="s">
        <v>4259</v>
      </c>
      <c r="D3991" t="s">
        <v>2320</v>
      </c>
      <c r="E3991" t="s">
        <v>78</v>
      </c>
      <c r="F3991" t="s">
        <v>252</v>
      </c>
      <c r="G3991">
        <v>7.7577999999999996</v>
      </c>
      <c r="H3991">
        <v>-76.654700000000005</v>
      </c>
      <c r="I3991" t="s">
        <v>4260</v>
      </c>
      <c r="J3991">
        <v>11</v>
      </c>
      <c r="M3991">
        <v>147</v>
      </c>
      <c r="N3991">
        <v>51</v>
      </c>
      <c r="O3991">
        <v>26</v>
      </c>
      <c r="P3991">
        <v>30</v>
      </c>
      <c r="Q3991">
        <v>12</v>
      </c>
      <c r="R3991">
        <v>25</v>
      </c>
    </row>
    <row r="3992" spans="1:18" x14ac:dyDescent="0.25">
      <c r="A3992" t="s">
        <v>4279</v>
      </c>
      <c r="B3992" t="s">
        <v>55</v>
      </c>
      <c r="C3992" t="s">
        <v>4259</v>
      </c>
      <c r="D3992" t="s">
        <v>2320</v>
      </c>
      <c r="E3992" t="s">
        <v>78</v>
      </c>
      <c r="F3992" t="s">
        <v>252</v>
      </c>
      <c r="G3992">
        <v>7.7577999999999996</v>
      </c>
      <c r="H3992">
        <v>-76.654700000000005</v>
      </c>
      <c r="I3992" t="s">
        <v>4260</v>
      </c>
      <c r="J3992">
        <v>11</v>
      </c>
      <c r="M3992">
        <v>146</v>
      </c>
      <c r="N3992">
        <v>22</v>
      </c>
      <c r="O3992">
        <v>34</v>
      </c>
      <c r="P3992">
        <v>34</v>
      </c>
      <c r="Q3992">
        <v>24</v>
      </c>
      <c r="R3992">
        <v>38</v>
      </c>
    </row>
    <row r="3993" spans="1:18" x14ac:dyDescent="0.25">
      <c r="A3993" t="s">
        <v>4280</v>
      </c>
      <c r="B3993" t="s">
        <v>55</v>
      </c>
      <c r="C3993" t="s">
        <v>4259</v>
      </c>
      <c r="D3993" t="s">
        <v>2320</v>
      </c>
      <c r="E3993" t="s">
        <v>78</v>
      </c>
      <c r="F3993" t="s">
        <v>252</v>
      </c>
      <c r="G3993">
        <v>7.7577999999999996</v>
      </c>
      <c r="H3993">
        <v>-76.654700000000005</v>
      </c>
      <c r="I3993" t="s">
        <v>4260</v>
      </c>
      <c r="J3993">
        <v>11</v>
      </c>
      <c r="M3993">
        <v>137</v>
      </c>
      <c r="N3993">
        <v>37</v>
      </c>
      <c r="O3993">
        <v>26</v>
      </c>
      <c r="P3993">
        <v>22</v>
      </c>
      <c r="Q3993">
        <v>24</v>
      </c>
      <c r="R3993">
        <v>31</v>
      </c>
    </row>
    <row r="3994" spans="1:18" x14ac:dyDescent="0.25">
      <c r="A3994" t="s">
        <v>4281</v>
      </c>
      <c r="B3994" t="s">
        <v>55</v>
      </c>
      <c r="C3994" t="s">
        <v>4259</v>
      </c>
      <c r="D3994" t="s">
        <v>2320</v>
      </c>
      <c r="E3994" t="s">
        <v>78</v>
      </c>
      <c r="F3994" t="s">
        <v>252</v>
      </c>
      <c r="G3994">
        <v>7.7577999999999996</v>
      </c>
      <c r="H3994">
        <v>-76.654700000000005</v>
      </c>
      <c r="I3994" t="s">
        <v>4260</v>
      </c>
      <c r="J3994">
        <v>11</v>
      </c>
      <c r="M3994">
        <v>134</v>
      </c>
      <c r="N3994">
        <v>32</v>
      </c>
      <c r="O3994">
        <v>20</v>
      </c>
      <c r="P3994">
        <v>32</v>
      </c>
      <c r="Q3994">
        <v>21</v>
      </c>
      <c r="R3994">
        <v>35</v>
      </c>
    </row>
    <row r="3995" spans="1:18" x14ac:dyDescent="0.25">
      <c r="A3995" t="s">
        <v>4282</v>
      </c>
      <c r="B3995" t="s">
        <v>55</v>
      </c>
      <c r="C3995" t="s">
        <v>4259</v>
      </c>
      <c r="D3995" t="s">
        <v>2320</v>
      </c>
      <c r="E3995" t="s">
        <v>78</v>
      </c>
      <c r="F3995" t="s">
        <v>252</v>
      </c>
      <c r="G3995">
        <v>7.7577999999999996</v>
      </c>
      <c r="H3995">
        <v>-76.654700000000005</v>
      </c>
      <c r="I3995" t="s">
        <v>4260</v>
      </c>
      <c r="J3995">
        <v>11</v>
      </c>
      <c r="M3995">
        <v>133</v>
      </c>
      <c r="N3995">
        <v>32</v>
      </c>
      <c r="O3995">
        <v>20</v>
      </c>
      <c r="P3995">
        <v>26</v>
      </c>
      <c r="Q3995">
        <v>29</v>
      </c>
      <c r="R3995">
        <v>24</v>
      </c>
    </row>
    <row r="3996" spans="1:18" x14ac:dyDescent="0.25">
      <c r="A3996" t="s">
        <v>4283</v>
      </c>
      <c r="B3996" t="s">
        <v>55</v>
      </c>
      <c r="C3996" t="s">
        <v>4259</v>
      </c>
      <c r="D3996" t="s">
        <v>2320</v>
      </c>
      <c r="E3996" t="s">
        <v>78</v>
      </c>
      <c r="F3996" t="s">
        <v>252</v>
      </c>
      <c r="G3996">
        <v>7.7577999999999996</v>
      </c>
      <c r="H3996">
        <v>-76.654700000000005</v>
      </c>
      <c r="I3996" t="s">
        <v>4260</v>
      </c>
      <c r="J3996">
        <v>11</v>
      </c>
      <c r="M3996">
        <v>131</v>
      </c>
      <c r="N3996">
        <v>34</v>
      </c>
      <c r="O3996">
        <v>16</v>
      </c>
      <c r="P3996">
        <v>34</v>
      </c>
      <c r="Q3996">
        <v>22</v>
      </c>
      <c r="R3996">
        <v>22</v>
      </c>
    </row>
    <row r="3997" spans="1:18" x14ac:dyDescent="0.25">
      <c r="A3997" t="s">
        <v>4284</v>
      </c>
      <c r="B3997" t="s">
        <v>55</v>
      </c>
      <c r="C3997" t="s">
        <v>4259</v>
      </c>
      <c r="D3997" t="s">
        <v>2320</v>
      </c>
      <c r="E3997" t="s">
        <v>78</v>
      </c>
      <c r="F3997" t="s">
        <v>252</v>
      </c>
      <c r="G3997">
        <v>7.7577999999999996</v>
      </c>
      <c r="H3997">
        <v>-76.654700000000005</v>
      </c>
      <c r="I3997" t="s">
        <v>4260</v>
      </c>
      <c r="J3997">
        <v>11</v>
      </c>
      <c r="M3997">
        <v>129</v>
      </c>
      <c r="N3997">
        <v>29</v>
      </c>
      <c r="O3997">
        <v>14</v>
      </c>
      <c r="P3997">
        <v>32</v>
      </c>
      <c r="Q3997">
        <v>28</v>
      </c>
      <c r="R3997">
        <v>27</v>
      </c>
    </row>
    <row r="3998" spans="1:18" x14ac:dyDescent="0.25">
      <c r="A3998" t="s">
        <v>4285</v>
      </c>
      <c r="B3998" t="s">
        <v>55</v>
      </c>
      <c r="C3998" t="s">
        <v>4259</v>
      </c>
      <c r="D3998" t="s">
        <v>2320</v>
      </c>
      <c r="E3998" t="s">
        <v>78</v>
      </c>
      <c r="F3998" t="s">
        <v>252</v>
      </c>
      <c r="G3998">
        <v>7.7577999999999996</v>
      </c>
      <c r="H3998">
        <v>-76.654700000000005</v>
      </c>
      <c r="I3998" t="s">
        <v>4260</v>
      </c>
      <c r="J3998">
        <v>11</v>
      </c>
      <c r="M3998">
        <v>129</v>
      </c>
      <c r="N3998">
        <v>29</v>
      </c>
      <c r="O3998">
        <v>18</v>
      </c>
      <c r="P3998">
        <v>32</v>
      </c>
      <c r="Q3998">
        <v>22</v>
      </c>
      <c r="R3998">
        <v>29</v>
      </c>
    </row>
    <row r="3999" spans="1:18" x14ac:dyDescent="0.25">
      <c r="A3999" t="s">
        <v>4286</v>
      </c>
      <c r="B3999" t="s">
        <v>55</v>
      </c>
      <c r="C3999" t="s">
        <v>4259</v>
      </c>
      <c r="D3999" t="s">
        <v>2320</v>
      </c>
      <c r="E3999" t="s">
        <v>78</v>
      </c>
      <c r="F3999" t="s">
        <v>252</v>
      </c>
      <c r="G3999">
        <v>7.7577999999999996</v>
      </c>
      <c r="H3999">
        <v>-76.654700000000005</v>
      </c>
      <c r="I3999" t="s">
        <v>4260</v>
      </c>
      <c r="J3999">
        <v>11</v>
      </c>
      <c r="M3999">
        <v>118</v>
      </c>
      <c r="N3999">
        <v>24</v>
      </c>
      <c r="O3999">
        <v>22</v>
      </c>
      <c r="P3999">
        <v>24</v>
      </c>
      <c r="Q3999">
        <v>22</v>
      </c>
      <c r="R3999">
        <v>27</v>
      </c>
    </row>
    <row r="4000" spans="1:18" x14ac:dyDescent="0.25">
      <c r="A4000" t="s">
        <v>4287</v>
      </c>
      <c r="B4000" t="s">
        <v>55</v>
      </c>
      <c r="C4000" t="s">
        <v>4259</v>
      </c>
      <c r="D4000" t="s">
        <v>2320</v>
      </c>
      <c r="E4000" t="s">
        <v>78</v>
      </c>
      <c r="F4000" t="s">
        <v>252</v>
      </c>
      <c r="G4000">
        <v>7.7577999999999996</v>
      </c>
      <c r="H4000">
        <v>-76.654700000000005</v>
      </c>
      <c r="I4000" t="s">
        <v>4260</v>
      </c>
      <c r="J4000">
        <v>11</v>
      </c>
      <c r="M4000">
        <v>113</v>
      </c>
      <c r="N4000">
        <v>34</v>
      </c>
      <c r="O4000">
        <v>14</v>
      </c>
      <c r="P4000">
        <v>20</v>
      </c>
      <c r="Q4000">
        <v>21</v>
      </c>
      <c r="R4000">
        <v>27</v>
      </c>
    </row>
    <row r="4001" spans="1:18" x14ac:dyDescent="0.25">
      <c r="A4001" t="s">
        <v>4288</v>
      </c>
      <c r="B4001" t="s">
        <v>55</v>
      </c>
      <c r="C4001" t="s">
        <v>4259</v>
      </c>
      <c r="D4001" t="s">
        <v>2320</v>
      </c>
      <c r="E4001" t="s">
        <v>78</v>
      </c>
      <c r="F4001" t="s">
        <v>252</v>
      </c>
      <c r="G4001">
        <v>7.7577999999999996</v>
      </c>
      <c r="H4001">
        <v>-76.654700000000005</v>
      </c>
      <c r="I4001" t="s">
        <v>4260</v>
      </c>
      <c r="J4001">
        <v>11</v>
      </c>
      <c r="M4001">
        <v>106</v>
      </c>
      <c r="N4001">
        <v>32</v>
      </c>
      <c r="O4001">
        <v>26</v>
      </c>
      <c r="P4001">
        <v>24</v>
      </c>
      <c r="Q4001">
        <v>5</v>
      </c>
      <c r="R4001">
        <v>15</v>
      </c>
    </row>
    <row r="4002" spans="1:18" x14ac:dyDescent="0.25">
      <c r="A4002" t="s">
        <v>4289</v>
      </c>
      <c r="B4002" t="s">
        <v>55</v>
      </c>
      <c r="C4002" t="s">
        <v>4290</v>
      </c>
      <c r="D4002" t="s">
        <v>4156</v>
      </c>
      <c r="E4002" t="s">
        <v>78</v>
      </c>
      <c r="F4002" t="s">
        <v>252</v>
      </c>
      <c r="G4002">
        <v>8.4285999999999994</v>
      </c>
      <c r="H4002">
        <v>-76.786100000000005</v>
      </c>
      <c r="I4002" t="s">
        <v>4291</v>
      </c>
      <c r="J4002">
        <v>11</v>
      </c>
      <c r="M4002">
        <v>300</v>
      </c>
      <c r="N4002">
        <v>66</v>
      </c>
      <c r="O4002">
        <v>52</v>
      </c>
      <c r="P4002">
        <v>70</v>
      </c>
      <c r="Q4002">
        <v>48</v>
      </c>
      <c r="R4002">
        <v>73</v>
      </c>
    </row>
    <row r="4003" spans="1:18" x14ac:dyDescent="0.25">
      <c r="A4003" t="s">
        <v>4292</v>
      </c>
      <c r="B4003" t="s">
        <v>55</v>
      </c>
      <c r="C4003" t="s">
        <v>4290</v>
      </c>
      <c r="D4003" t="s">
        <v>4156</v>
      </c>
      <c r="E4003" t="s">
        <v>78</v>
      </c>
      <c r="F4003" t="s">
        <v>252</v>
      </c>
      <c r="G4003">
        <v>8.4285999999999994</v>
      </c>
      <c r="H4003">
        <v>-76.786100000000005</v>
      </c>
      <c r="I4003" t="s">
        <v>4291</v>
      </c>
      <c r="J4003">
        <v>11</v>
      </c>
      <c r="M4003">
        <v>237</v>
      </c>
      <c r="N4003">
        <v>63</v>
      </c>
      <c r="O4003">
        <v>44</v>
      </c>
      <c r="P4003">
        <v>64</v>
      </c>
      <c r="Q4003">
        <v>19</v>
      </c>
      <c r="R4003">
        <v>45</v>
      </c>
    </row>
    <row r="4004" spans="1:18" x14ac:dyDescent="0.25">
      <c r="A4004" t="s">
        <v>4293</v>
      </c>
      <c r="B4004" t="s">
        <v>55</v>
      </c>
      <c r="C4004" t="s">
        <v>4290</v>
      </c>
      <c r="D4004" t="s">
        <v>4156</v>
      </c>
      <c r="E4004" t="s">
        <v>78</v>
      </c>
      <c r="F4004" t="s">
        <v>252</v>
      </c>
      <c r="G4004">
        <v>8.4285999999999994</v>
      </c>
      <c r="H4004">
        <v>-76.786100000000005</v>
      </c>
      <c r="I4004" t="s">
        <v>4291</v>
      </c>
      <c r="J4004">
        <v>11</v>
      </c>
      <c r="M4004">
        <v>219</v>
      </c>
      <c r="N4004">
        <v>56</v>
      </c>
      <c r="O4004">
        <v>46</v>
      </c>
      <c r="P4004">
        <v>42</v>
      </c>
      <c r="Q4004">
        <v>31</v>
      </c>
      <c r="R4004">
        <v>44</v>
      </c>
    </row>
    <row r="4005" spans="1:18" x14ac:dyDescent="0.25">
      <c r="A4005" t="s">
        <v>4294</v>
      </c>
      <c r="B4005" t="s">
        <v>55</v>
      </c>
      <c r="C4005" t="s">
        <v>4290</v>
      </c>
      <c r="D4005" t="s">
        <v>4156</v>
      </c>
      <c r="E4005" t="s">
        <v>78</v>
      </c>
      <c r="F4005" t="s">
        <v>252</v>
      </c>
      <c r="G4005">
        <v>8.4285999999999994</v>
      </c>
      <c r="H4005">
        <v>-76.786100000000005</v>
      </c>
      <c r="I4005" t="s">
        <v>4291</v>
      </c>
      <c r="J4005">
        <v>11</v>
      </c>
      <c r="M4005">
        <v>215</v>
      </c>
      <c r="N4005">
        <v>34</v>
      </c>
      <c r="O4005">
        <v>34</v>
      </c>
      <c r="P4005">
        <v>56</v>
      </c>
      <c r="Q4005">
        <v>45</v>
      </c>
      <c r="R4005">
        <v>51</v>
      </c>
    </row>
    <row r="4006" spans="1:18" x14ac:dyDescent="0.25">
      <c r="A4006" t="s">
        <v>4295</v>
      </c>
      <c r="B4006" t="s">
        <v>55</v>
      </c>
      <c r="C4006" t="s">
        <v>4290</v>
      </c>
      <c r="D4006" t="s">
        <v>4156</v>
      </c>
      <c r="E4006" t="s">
        <v>78</v>
      </c>
      <c r="F4006" t="s">
        <v>252</v>
      </c>
      <c r="G4006">
        <v>8.4285999999999994</v>
      </c>
      <c r="H4006">
        <v>-76.786100000000005</v>
      </c>
      <c r="I4006" t="s">
        <v>4291</v>
      </c>
      <c r="J4006">
        <v>11</v>
      </c>
      <c r="M4006">
        <v>204</v>
      </c>
      <c r="N4006">
        <v>51</v>
      </c>
      <c r="O4006">
        <v>38</v>
      </c>
      <c r="P4006">
        <v>52</v>
      </c>
      <c r="Q4006">
        <v>21</v>
      </c>
      <c r="R4006">
        <v>45</v>
      </c>
    </row>
    <row r="4007" spans="1:18" x14ac:dyDescent="0.25">
      <c r="A4007" t="s">
        <v>4296</v>
      </c>
      <c r="B4007" t="s">
        <v>55</v>
      </c>
      <c r="C4007" t="s">
        <v>4290</v>
      </c>
      <c r="D4007" t="s">
        <v>4156</v>
      </c>
      <c r="E4007" t="s">
        <v>78</v>
      </c>
      <c r="F4007" t="s">
        <v>252</v>
      </c>
      <c r="G4007">
        <v>8.4285999999999994</v>
      </c>
      <c r="H4007">
        <v>-76.786100000000005</v>
      </c>
      <c r="I4007" t="s">
        <v>4291</v>
      </c>
      <c r="J4007">
        <v>11</v>
      </c>
      <c r="M4007">
        <v>203</v>
      </c>
      <c r="N4007">
        <v>59</v>
      </c>
      <c r="O4007">
        <v>24</v>
      </c>
      <c r="P4007">
        <v>46</v>
      </c>
      <c r="Q4007">
        <v>33</v>
      </c>
      <c r="R4007">
        <v>44</v>
      </c>
    </row>
    <row r="4008" spans="1:18" x14ac:dyDescent="0.25">
      <c r="A4008" t="s">
        <v>4297</v>
      </c>
      <c r="B4008" t="s">
        <v>55</v>
      </c>
      <c r="C4008" t="s">
        <v>4290</v>
      </c>
      <c r="D4008" t="s">
        <v>4156</v>
      </c>
      <c r="E4008" t="s">
        <v>78</v>
      </c>
      <c r="F4008" t="s">
        <v>252</v>
      </c>
      <c r="G4008">
        <v>8.4285999999999994</v>
      </c>
      <c r="H4008">
        <v>-76.786100000000005</v>
      </c>
      <c r="I4008" t="s">
        <v>4291</v>
      </c>
      <c r="J4008">
        <v>11</v>
      </c>
      <c r="M4008">
        <v>190</v>
      </c>
      <c r="N4008">
        <v>41</v>
      </c>
      <c r="O4008">
        <v>34</v>
      </c>
      <c r="P4008">
        <v>52</v>
      </c>
      <c r="Q4008">
        <v>22</v>
      </c>
      <c r="R4008">
        <v>45</v>
      </c>
    </row>
    <row r="4009" spans="1:18" x14ac:dyDescent="0.25">
      <c r="A4009" t="s">
        <v>4298</v>
      </c>
      <c r="B4009" t="s">
        <v>55</v>
      </c>
      <c r="C4009" t="s">
        <v>4290</v>
      </c>
      <c r="D4009" t="s">
        <v>4156</v>
      </c>
      <c r="E4009" t="s">
        <v>78</v>
      </c>
      <c r="F4009" t="s">
        <v>252</v>
      </c>
      <c r="G4009">
        <v>8.4285999999999994</v>
      </c>
      <c r="H4009">
        <v>-76.786100000000005</v>
      </c>
      <c r="I4009" t="s">
        <v>4291</v>
      </c>
      <c r="J4009">
        <v>11</v>
      </c>
      <c r="M4009">
        <v>188</v>
      </c>
      <c r="N4009">
        <v>39</v>
      </c>
      <c r="O4009">
        <v>22</v>
      </c>
      <c r="P4009">
        <v>60</v>
      </c>
      <c r="Q4009">
        <v>28</v>
      </c>
      <c r="R4009">
        <v>44</v>
      </c>
    </row>
    <row r="4010" spans="1:18" x14ac:dyDescent="0.25">
      <c r="A4010" t="s">
        <v>4299</v>
      </c>
      <c r="B4010" t="s">
        <v>55</v>
      </c>
      <c r="C4010" t="s">
        <v>4290</v>
      </c>
      <c r="D4010" t="s">
        <v>4156</v>
      </c>
      <c r="E4010" t="s">
        <v>78</v>
      </c>
      <c r="F4010" t="s">
        <v>252</v>
      </c>
      <c r="G4010">
        <v>8.4285999999999994</v>
      </c>
      <c r="H4010">
        <v>-76.786100000000005</v>
      </c>
      <c r="I4010" t="s">
        <v>4291</v>
      </c>
      <c r="J4010">
        <v>11</v>
      </c>
      <c r="M4010">
        <v>187</v>
      </c>
      <c r="N4010">
        <v>34</v>
      </c>
      <c r="O4010">
        <v>36</v>
      </c>
      <c r="P4010">
        <v>48</v>
      </c>
      <c r="Q4010">
        <v>31</v>
      </c>
      <c r="R4010">
        <v>38</v>
      </c>
    </row>
    <row r="4011" spans="1:18" x14ac:dyDescent="0.25">
      <c r="A4011" t="s">
        <v>4300</v>
      </c>
      <c r="B4011" t="s">
        <v>55</v>
      </c>
      <c r="C4011" t="s">
        <v>4290</v>
      </c>
      <c r="D4011" t="s">
        <v>4156</v>
      </c>
      <c r="E4011" t="s">
        <v>78</v>
      </c>
      <c r="F4011" t="s">
        <v>252</v>
      </c>
      <c r="G4011">
        <v>8.4285999999999994</v>
      </c>
      <c r="H4011">
        <v>-76.786100000000005</v>
      </c>
      <c r="I4011" t="s">
        <v>4291</v>
      </c>
      <c r="J4011">
        <v>11</v>
      </c>
      <c r="M4011">
        <v>187</v>
      </c>
      <c r="N4011">
        <v>41</v>
      </c>
      <c r="O4011">
        <v>22</v>
      </c>
      <c r="P4011">
        <v>50</v>
      </c>
      <c r="Q4011">
        <v>34</v>
      </c>
      <c r="R4011">
        <v>42</v>
      </c>
    </row>
    <row r="4012" spans="1:18" x14ac:dyDescent="0.25">
      <c r="A4012" t="s">
        <v>4301</v>
      </c>
      <c r="B4012" t="s">
        <v>55</v>
      </c>
      <c r="C4012" t="s">
        <v>4290</v>
      </c>
      <c r="D4012" t="s">
        <v>4156</v>
      </c>
      <c r="E4012" t="s">
        <v>78</v>
      </c>
      <c r="F4012" t="s">
        <v>252</v>
      </c>
      <c r="G4012">
        <v>8.4285999999999994</v>
      </c>
      <c r="H4012">
        <v>-76.786100000000005</v>
      </c>
      <c r="I4012" t="s">
        <v>4291</v>
      </c>
      <c r="J4012">
        <v>11</v>
      </c>
      <c r="M4012">
        <v>184</v>
      </c>
      <c r="N4012">
        <v>41</v>
      </c>
      <c r="O4012">
        <v>36</v>
      </c>
      <c r="P4012">
        <v>50</v>
      </c>
      <c r="Q4012">
        <v>21</v>
      </c>
      <c r="R4012">
        <v>33</v>
      </c>
    </row>
    <row r="4013" spans="1:18" x14ac:dyDescent="0.25">
      <c r="A4013" t="s">
        <v>4302</v>
      </c>
      <c r="B4013" t="s">
        <v>55</v>
      </c>
      <c r="C4013" t="s">
        <v>4290</v>
      </c>
      <c r="D4013" t="s">
        <v>4156</v>
      </c>
      <c r="E4013" t="s">
        <v>78</v>
      </c>
      <c r="F4013" t="s">
        <v>252</v>
      </c>
      <c r="G4013">
        <v>8.4285999999999994</v>
      </c>
      <c r="H4013">
        <v>-76.786100000000005</v>
      </c>
      <c r="I4013" t="s">
        <v>4291</v>
      </c>
      <c r="J4013">
        <v>11</v>
      </c>
      <c r="M4013">
        <v>182</v>
      </c>
      <c r="N4013">
        <v>44</v>
      </c>
      <c r="O4013">
        <v>24</v>
      </c>
      <c r="P4013">
        <v>44</v>
      </c>
      <c r="Q4013">
        <v>29</v>
      </c>
      <c r="R4013">
        <v>49</v>
      </c>
    </row>
    <row r="4014" spans="1:18" x14ac:dyDescent="0.25">
      <c r="A4014" t="s">
        <v>4303</v>
      </c>
      <c r="B4014" t="s">
        <v>55</v>
      </c>
      <c r="C4014" t="s">
        <v>4290</v>
      </c>
      <c r="D4014" t="s">
        <v>4156</v>
      </c>
      <c r="E4014" t="s">
        <v>78</v>
      </c>
      <c r="F4014" t="s">
        <v>252</v>
      </c>
      <c r="G4014">
        <v>8.4285999999999994</v>
      </c>
      <c r="H4014">
        <v>-76.786100000000005</v>
      </c>
      <c r="I4014" t="s">
        <v>4291</v>
      </c>
      <c r="J4014">
        <v>11</v>
      </c>
      <c r="M4014">
        <v>182</v>
      </c>
      <c r="N4014">
        <v>41</v>
      </c>
      <c r="O4014">
        <v>22</v>
      </c>
      <c r="P4014">
        <v>60</v>
      </c>
      <c r="Q4014">
        <v>21</v>
      </c>
      <c r="R4014">
        <v>40</v>
      </c>
    </row>
    <row r="4015" spans="1:18" x14ac:dyDescent="0.25">
      <c r="A4015" t="s">
        <v>4304</v>
      </c>
      <c r="B4015" t="s">
        <v>55</v>
      </c>
      <c r="C4015" t="s">
        <v>4290</v>
      </c>
      <c r="D4015" t="s">
        <v>4156</v>
      </c>
      <c r="E4015" t="s">
        <v>78</v>
      </c>
      <c r="F4015" t="s">
        <v>252</v>
      </c>
      <c r="G4015">
        <v>8.4285999999999994</v>
      </c>
      <c r="H4015">
        <v>-76.786100000000005</v>
      </c>
      <c r="I4015" t="s">
        <v>4291</v>
      </c>
      <c r="J4015">
        <v>11</v>
      </c>
      <c r="M4015">
        <v>181</v>
      </c>
      <c r="N4015">
        <v>54</v>
      </c>
      <c r="O4015">
        <v>22</v>
      </c>
      <c r="P4015">
        <v>46</v>
      </c>
      <c r="Q4015">
        <v>19</v>
      </c>
      <c r="R4015">
        <v>49</v>
      </c>
    </row>
    <row r="4016" spans="1:18" x14ac:dyDescent="0.25">
      <c r="A4016" t="s">
        <v>4305</v>
      </c>
      <c r="B4016" t="s">
        <v>55</v>
      </c>
      <c r="C4016" t="s">
        <v>4290</v>
      </c>
      <c r="D4016" t="s">
        <v>4156</v>
      </c>
      <c r="E4016" t="s">
        <v>78</v>
      </c>
      <c r="F4016" t="s">
        <v>252</v>
      </c>
      <c r="G4016">
        <v>8.4285999999999994</v>
      </c>
      <c r="H4016">
        <v>-76.786100000000005</v>
      </c>
      <c r="I4016" t="s">
        <v>4291</v>
      </c>
      <c r="J4016">
        <v>11</v>
      </c>
      <c r="M4016">
        <v>178</v>
      </c>
      <c r="N4016">
        <v>61</v>
      </c>
      <c r="O4016">
        <v>32</v>
      </c>
      <c r="P4016">
        <v>38</v>
      </c>
      <c r="Q4016">
        <v>16</v>
      </c>
      <c r="R4016">
        <v>24</v>
      </c>
    </row>
    <row r="4017" spans="1:18" x14ac:dyDescent="0.25">
      <c r="A4017" t="s">
        <v>4306</v>
      </c>
      <c r="B4017" t="s">
        <v>55</v>
      </c>
      <c r="C4017" t="s">
        <v>4290</v>
      </c>
      <c r="D4017" t="s">
        <v>4156</v>
      </c>
      <c r="E4017" t="s">
        <v>78</v>
      </c>
      <c r="F4017" t="s">
        <v>252</v>
      </c>
      <c r="G4017">
        <v>8.4285999999999994</v>
      </c>
      <c r="H4017">
        <v>-76.786100000000005</v>
      </c>
      <c r="I4017" t="s">
        <v>4291</v>
      </c>
      <c r="J4017">
        <v>11</v>
      </c>
      <c r="M4017">
        <v>176</v>
      </c>
      <c r="N4017">
        <v>39</v>
      </c>
      <c r="O4017">
        <v>26</v>
      </c>
      <c r="P4017">
        <v>46</v>
      </c>
      <c r="Q4017">
        <v>28</v>
      </c>
      <c r="R4017">
        <v>42</v>
      </c>
    </row>
    <row r="4018" spans="1:18" x14ac:dyDescent="0.25">
      <c r="A4018" t="s">
        <v>4307</v>
      </c>
      <c r="B4018" t="s">
        <v>55</v>
      </c>
      <c r="C4018" t="s">
        <v>4290</v>
      </c>
      <c r="D4018" t="s">
        <v>4156</v>
      </c>
      <c r="E4018" t="s">
        <v>78</v>
      </c>
      <c r="F4018" t="s">
        <v>252</v>
      </c>
      <c r="G4018">
        <v>8.4285999999999994</v>
      </c>
      <c r="H4018">
        <v>-76.786100000000005</v>
      </c>
      <c r="I4018" t="s">
        <v>4291</v>
      </c>
      <c r="J4018">
        <v>11</v>
      </c>
      <c r="M4018">
        <v>174</v>
      </c>
      <c r="N4018">
        <v>37</v>
      </c>
      <c r="O4018">
        <v>20</v>
      </c>
      <c r="P4018">
        <v>52</v>
      </c>
      <c r="Q4018">
        <v>29</v>
      </c>
      <c r="R4018">
        <v>40</v>
      </c>
    </row>
    <row r="4019" spans="1:18" x14ac:dyDescent="0.25">
      <c r="A4019" t="s">
        <v>4308</v>
      </c>
      <c r="B4019" t="s">
        <v>55</v>
      </c>
      <c r="C4019" t="s">
        <v>4290</v>
      </c>
      <c r="D4019" t="s">
        <v>4156</v>
      </c>
      <c r="E4019" t="s">
        <v>78</v>
      </c>
      <c r="F4019" t="s">
        <v>252</v>
      </c>
      <c r="G4019">
        <v>8.4285999999999994</v>
      </c>
      <c r="H4019">
        <v>-76.786100000000005</v>
      </c>
      <c r="I4019" t="s">
        <v>4291</v>
      </c>
      <c r="J4019">
        <v>11</v>
      </c>
      <c r="M4019">
        <v>163</v>
      </c>
      <c r="N4019">
        <v>41</v>
      </c>
      <c r="O4019">
        <v>26</v>
      </c>
      <c r="P4019">
        <v>28</v>
      </c>
      <c r="Q4019">
        <v>34</v>
      </c>
      <c r="R4019">
        <v>33</v>
      </c>
    </row>
    <row r="4020" spans="1:18" x14ac:dyDescent="0.25">
      <c r="A4020" t="s">
        <v>4309</v>
      </c>
      <c r="B4020" t="s">
        <v>55</v>
      </c>
      <c r="C4020" t="s">
        <v>4290</v>
      </c>
      <c r="D4020" t="s">
        <v>4156</v>
      </c>
      <c r="E4020" t="s">
        <v>78</v>
      </c>
      <c r="F4020" t="s">
        <v>252</v>
      </c>
      <c r="G4020">
        <v>8.4285999999999994</v>
      </c>
      <c r="H4020">
        <v>-76.786100000000005</v>
      </c>
      <c r="I4020" t="s">
        <v>4291</v>
      </c>
      <c r="J4020">
        <v>11</v>
      </c>
      <c r="M4020">
        <v>162</v>
      </c>
      <c r="N4020">
        <v>39</v>
      </c>
      <c r="O4020">
        <v>28</v>
      </c>
      <c r="P4020">
        <v>32</v>
      </c>
      <c r="Q4020">
        <v>28</v>
      </c>
      <c r="R4020">
        <v>42</v>
      </c>
    </row>
    <row r="4021" spans="1:18" x14ac:dyDescent="0.25">
      <c r="A4021" t="s">
        <v>4310</v>
      </c>
      <c r="B4021" t="s">
        <v>55</v>
      </c>
      <c r="C4021" t="s">
        <v>4290</v>
      </c>
      <c r="D4021" t="s">
        <v>4156</v>
      </c>
      <c r="E4021" t="s">
        <v>78</v>
      </c>
      <c r="F4021" t="s">
        <v>252</v>
      </c>
      <c r="G4021">
        <v>8.4285999999999994</v>
      </c>
      <c r="H4021">
        <v>-76.786100000000005</v>
      </c>
      <c r="I4021" t="s">
        <v>4291</v>
      </c>
      <c r="J4021">
        <v>11</v>
      </c>
      <c r="M4021">
        <v>152</v>
      </c>
      <c r="N4021">
        <v>27</v>
      </c>
      <c r="O4021">
        <v>34</v>
      </c>
      <c r="P4021">
        <v>28</v>
      </c>
      <c r="Q4021">
        <v>29</v>
      </c>
      <c r="R4021">
        <v>40</v>
      </c>
    </row>
    <row r="4022" spans="1:18" x14ac:dyDescent="0.25">
      <c r="A4022" t="s">
        <v>4311</v>
      </c>
      <c r="B4022" t="s">
        <v>55</v>
      </c>
      <c r="C4022" t="s">
        <v>4290</v>
      </c>
      <c r="D4022" t="s">
        <v>4156</v>
      </c>
      <c r="E4022" t="s">
        <v>78</v>
      </c>
      <c r="F4022" t="s">
        <v>252</v>
      </c>
      <c r="G4022">
        <v>8.4285999999999994</v>
      </c>
      <c r="H4022">
        <v>-76.786100000000005</v>
      </c>
      <c r="I4022" t="s">
        <v>4291</v>
      </c>
      <c r="J4022">
        <v>11</v>
      </c>
      <c r="M4022">
        <v>150</v>
      </c>
      <c r="N4022">
        <v>32</v>
      </c>
      <c r="O4022">
        <v>28</v>
      </c>
      <c r="P4022">
        <v>28</v>
      </c>
      <c r="Q4022">
        <v>33</v>
      </c>
      <c r="R4022">
        <v>29</v>
      </c>
    </row>
    <row r="4023" spans="1:18" x14ac:dyDescent="0.25">
      <c r="A4023" t="s">
        <v>4312</v>
      </c>
      <c r="B4023" t="s">
        <v>55</v>
      </c>
      <c r="C4023" t="s">
        <v>4290</v>
      </c>
      <c r="D4023" t="s">
        <v>4156</v>
      </c>
      <c r="E4023" t="s">
        <v>78</v>
      </c>
      <c r="F4023" t="s">
        <v>252</v>
      </c>
      <c r="G4023">
        <v>8.4285999999999994</v>
      </c>
      <c r="H4023">
        <v>-76.786100000000005</v>
      </c>
      <c r="I4023" t="s">
        <v>4291</v>
      </c>
      <c r="J4023">
        <v>11</v>
      </c>
      <c r="M4023">
        <v>147</v>
      </c>
      <c r="N4023">
        <v>32</v>
      </c>
      <c r="O4023">
        <v>20</v>
      </c>
      <c r="P4023">
        <v>30</v>
      </c>
      <c r="Q4023">
        <v>38</v>
      </c>
      <c r="R4023">
        <v>24</v>
      </c>
    </row>
    <row r="4024" spans="1:18" x14ac:dyDescent="0.25">
      <c r="A4024" t="s">
        <v>4313</v>
      </c>
      <c r="B4024" t="s">
        <v>55</v>
      </c>
      <c r="C4024" t="s">
        <v>4290</v>
      </c>
      <c r="D4024" t="s">
        <v>4156</v>
      </c>
      <c r="E4024" t="s">
        <v>78</v>
      </c>
      <c r="F4024" t="s">
        <v>252</v>
      </c>
      <c r="G4024">
        <v>8.4285999999999994</v>
      </c>
      <c r="H4024">
        <v>-76.786100000000005</v>
      </c>
      <c r="I4024" t="s">
        <v>4291</v>
      </c>
      <c r="J4024">
        <v>11</v>
      </c>
      <c r="M4024">
        <v>147</v>
      </c>
      <c r="N4024">
        <v>46</v>
      </c>
      <c r="O4024">
        <v>24</v>
      </c>
      <c r="P4024">
        <v>30</v>
      </c>
      <c r="Q4024">
        <v>16</v>
      </c>
      <c r="R4024">
        <v>35</v>
      </c>
    </row>
    <row r="4025" spans="1:18" x14ac:dyDescent="0.25">
      <c r="A4025" t="s">
        <v>4314</v>
      </c>
      <c r="B4025" t="s">
        <v>55</v>
      </c>
      <c r="C4025" t="s">
        <v>4290</v>
      </c>
      <c r="D4025" t="s">
        <v>4156</v>
      </c>
      <c r="E4025" t="s">
        <v>78</v>
      </c>
      <c r="F4025" t="s">
        <v>252</v>
      </c>
      <c r="G4025">
        <v>8.4285999999999994</v>
      </c>
      <c r="H4025">
        <v>-76.786100000000005</v>
      </c>
      <c r="I4025" t="s">
        <v>4291</v>
      </c>
      <c r="J4025">
        <v>11</v>
      </c>
      <c r="M4025">
        <v>147</v>
      </c>
      <c r="N4025">
        <v>32</v>
      </c>
      <c r="O4025">
        <v>30</v>
      </c>
      <c r="P4025">
        <v>26</v>
      </c>
      <c r="Q4025">
        <v>29</v>
      </c>
      <c r="R4025">
        <v>31</v>
      </c>
    </row>
    <row r="4026" spans="1:18" x14ac:dyDescent="0.25">
      <c r="A4026" t="s">
        <v>4315</v>
      </c>
      <c r="B4026" t="s">
        <v>55</v>
      </c>
      <c r="C4026" t="s">
        <v>4290</v>
      </c>
      <c r="D4026" t="s">
        <v>4156</v>
      </c>
      <c r="E4026" t="s">
        <v>78</v>
      </c>
      <c r="F4026" t="s">
        <v>252</v>
      </c>
      <c r="G4026">
        <v>8.4285999999999994</v>
      </c>
      <c r="H4026">
        <v>-76.786100000000005</v>
      </c>
      <c r="I4026" t="s">
        <v>4291</v>
      </c>
      <c r="J4026">
        <v>11</v>
      </c>
      <c r="M4026">
        <v>146</v>
      </c>
      <c r="N4026">
        <v>27</v>
      </c>
      <c r="O4026">
        <v>26</v>
      </c>
      <c r="P4026">
        <v>40</v>
      </c>
      <c r="Q4026">
        <v>24</v>
      </c>
      <c r="R4026">
        <v>29</v>
      </c>
    </row>
    <row r="4027" spans="1:18" x14ac:dyDescent="0.25">
      <c r="A4027" t="s">
        <v>4316</v>
      </c>
      <c r="B4027" t="s">
        <v>55</v>
      </c>
      <c r="C4027" t="s">
        <v>4290</v>
      </c>
      <c r="D4027" t="s">
        <v>4156</v>
      </c>
      <c r="E4027" t="s">
        <v>78</v>
      </c>
      <c r="F4027" t="s">
        <v>252</v>
      </c>
      <c r="G4027">
        <v>8.4285999999999994</v>
      </c>
      <c r="H4027">
        <v>-76.786100000000005</v>
      </c>
      <c r="I4027" t="s">
        <v>4291</v>
      </c>
      <c r="J4027">
        <v>11</v>
      </c>
      <c r="M4027">
        <v>145</v>
      </c>
      <c r="N4027">
        <v>27</v>
      </c>
      <c r="O4027">
        <v>18</v>
      </c>
      <c r="P4027">
        <v>46</v>
      </c>
      <c r="Q4027">
        <v>22</v>
      </c>
      <c r="R4027">
        <v>36</v>
      </c>
    </row>
    <row r="4028" spans="1:18" x14ac:dyDescent="0.25">
      <c r="A4028" t="s">
        <v>4317</v>
      </c>
      <c r="B4028" t="s">
        <v>55</v>
      </c>
      <c r="C4028" t="s">
        <v>4290</v>
      </c>
      <c r="D4028" t="s">
        <v>4156</v>
      </c>
      <c r="E4028" t="s">
        <v>78</v>
      </c>
      <c r="F4028" t="s">
        <v>252</v>
      </c>
      <c r="G4028">
        <v>8.4285999999999994</v>
      </c>
      <c r="H4028">
        <v>-76.786100000000005</v>
      </c>
      <c r="I4028" t="s">
        <v>4291</v>
      </c>
      <c r="J4028">
        <v>11</v>
      </c>
      <c r="M4028">
        <v>134</v>
      </c>
      <c r="N4028">
        <v>29</v>
      </c>
      <c r="O4028">
        <v>22</v>
      </c>
      <c r="P4028">
        <v>28</v>
      </c>
      <c r="Q4028">
        <v>29</v>
      </c>
      <c r="R4028">
        <v>22</v>
      </c>
    </row>
    <row r="4029" spans="1:18" x14ac:dyDescent="0.25">
      <c r="A4029" t="s">
        <v>4318</v>
      </c>
      <c r="B4029" t="s">
        <v>55</v>
      </c>
      <c r="C4029" t="s">
        <v>4290</v>
      </c>
      <c r="D4029" t="s">
        <v>4156</v>
      </c>
      <c r="E4029" t="s">
        <v>78</v>
      </c>
      <c r="F4029" t="s">
        <v>252</v>
      </c>
      <c r="G4029">
        <v>8.4285999999999994</v>
      </c>
      <c r="H4029">
        <v>-76.786100000000005</v>
      </c>
      <c r="I4029" t="s">
        <v>4291</v>
      </c>
      <c r="J4029">
        <v>11</v>
      </c>
      <c r="M4029">
        <v>131</v>
      </c>
      <c r="N4029">
        <v>41</v>
      </c>
      <c r="O4029">
        <v>10</v>
      </c>
      <c r="P4029">
        <v>32</v>
      </c>
      <c r="Q4029">
        <v>22</v>
      </c>
      <c r="R4029">
        <v>22</v>
      </c>
    </row>
    <row r="4030" spans="1:18" x14ac:dyDescent="0.25">
      <c r="A4030" t="s">
        <v>4319</v>
      </c>
      <c r="B4030" t="s">
        <v>55</v>
      </c>
      <c r="C4030" t="s">
        <v>4290</v>
      </c>
      <c r="D4030" t="s">
        <v>4156</v>
      </c>
      <c r="E4030" t="s">
        <v>78</v>
      </c>
      <c r="F4030" t="s">
        <v>252</v>
      </c>
      <c r="G4030">
        <v>8.4285999999999994</v>
      </c>
      <c r="H4030">
        <v>-76.786100000000005</v>
      </c>
      <c r="I4030" t="s">
        <v>4291</v>
      </c>
      <c r="J4030">
        <v>11</v>
      </c>
      <c r="M4030">
        <v>126</v>
      </c>
      <c r="N4030">
        <v>34</v>
      </c>
      <c r="O4030">
        <v>26</v>
      </c>
      <c r="P4030">
        <v>18</v>
      </c>
      <c r="Q4030">
        <v>22</v>
      </c>
      <c r="R4030">
        <v>25</v>
      </c>
    </row>
    <row r="4031" spans="1:18" x14ac:dyDescent="0.25">
      <c r="A4031" t="s">
        <v>4320</v>
      </c>
      <c r="B4031" t="s">
        <v>55</v>
      </c>
      <c r="C4031" t="s">
        <v>4290</v>
      </c>
      <c r="D4031" t="s">
        <v>4156</v>
      </c>
      <c r="E4031" t="s">
        <v>78</v>
      </c>
      <c r="F4031" t="s">
        <v>252</v>
      </c>
      <c r="G4031">
        <v>8.4285999999999994</v>
      </c>
      <c r="H4031">
        <v>-76.786100000000005</v>
      </c>
      <c r="I4031" t="s">
        <v>4291</v>
      </c>
      <c r="J4031">
        <v>11</v>
      </c>
      <c r="M4031">
        <v>125</v>
      </c>
      <c r="N4031">
        <v>20</v>
      </c>
      <c r="O4031">
        <v>34</v>
      </c>
      <c r="P4031">
        <v>38</v>
      </c>
      <c r="Q4031">
        <v>12</v>
      </c>
      <c r="R4031">
        <v>15</v>
      </c>
    </row>
    <row r="4032" spans="1:18" x14ac:dyDescent="0.25">
      <c r="A4032" t="s">
        <v>4321</v>
      </c>
      <c r="B4032" t="s">
        <v>55</v>
      </c>
      <c r="C4032" t="s">
        <v>4290</v>
      </c>
      <c r="D4032" t="s">
        <v>4156</v>
      </c>
      <c r="E4032" t="s">
        <v>78</v>
      </c>
      <c r="F4032" t="s">
        <v>252</v>
      </c>
      <c r="G4032">
        <v>8.4285999999999994</v>
      </c>
      <c r="H4032">
        <v>-76.786100000000005</v>
      </c>
      <c r="I4032" t="s">
        <v>4291</v>
      </c>
      <c r="J4032">
        <v>11</v>
      </c>
      <c r="M4032">
        <v>81</v>
      </c>
      <c r="N4032">
        <v>17</v>
      </c>
      <c r="O4032">
        <v>16</v>
      </c>
      <c r="P4032">
        <v>16</v>
      </c>
      <c r="Q4032">
        <v>16</v>
      </c>
      <c r="R4032">
        <v>16</v>
      </c>
    </row>
    <row r="4033" spans="1:18" x14ac:dyDescent="0.25">
      <c r="A4033" t="s">
        <v>4322</v>
      </c>
      <c r="B4033" t="s">
        <v>55</v>
      </c>
      <c r="C4033" t="s">
        <v>4290</v>
      </c>
      <c r="D4033" t="s">
        <v>4156</v>
      </c>
      <c r="E4033" t="s">
        <v>78</v>
      </c>
      <c r="F4033" t="s">
        <v>252</v>
      </c>
      <c r="G4033">
        <v>8.4285999999999994</v>
      </c>
      <c r="H4033">
        <v>-76.786100000000005</v>
      </c>
      <c r="I4033" t="s">
        <v>4291</v>
      </c>
      <c r="J4033">
        <v>11</v>
      </c>
      <c r="M4033">
        <v>47</v>
      </c>
      <c r="N4033">
        <v>0</v>
      </c>
      <c r="O4033">
        <v>12</v>
      </c>
      <c r="P4033">
        <v>12</v>
      </c>
      <c r="Q4033">
        <v>10</v>
      </c>
      <c r="R4033">
        <v>20</v>
      </c>
    </row>
    <row r="4034" spans="1:18" x14ac:dyDescent="0.25">
      <c r="A4034" t="s">
        <v>4323</v>
      </c>
      <c r="B4034" t="s">
        <v>55</v>
      </c>
      <c r="C4034" t="s">
        <v>4324</v>
      </c>
      <c r="D4034" t="s">
        <v>2552</v>
      </c>
      <c r="E4034" t="s">
        <v>78</v>
      </c>
      <c r="F4034" t="s">
        <v>252</v>
      </c>
      <c r="G4034">
        <v>7.0269000000000004</v>
      </c>
      <c r="H4034">
        <v>-74.697500000000005</v>
      </c>
      <c r="I4034" t="s">
        <v>4325</v>
      </c>
      <c r="J4034">
        <v>11</v>
      </c>
      <c r="M4034">
        <v>218</v>
      </c>
      <c r="N4034">
        <v>63</v>
      </c>
      <c r="O4034">
        <v>20</v>
      </c>
      <c r="P4034">
        <v>44</v>
      </c>
      <c r="Q4034">
        <v>36</v>
      </c>
      <c r="R4034">
        <v>76</v>
      </c>
    </row>
    <row r="4035" spans="1:18" x14ac:dyDescent="0.25">
      <c r="A4035" t="s">
        <v>4326</v>
      </c>
      <c r="B4035" t="s">
        <v>55</v>
      </c>
      <c r="C4035" t="s">
        <v>4324</v>
      </c>
      <c r="D4035" t="s">
        <v>2552</v>
      </c>
      <c r="E4035" t="s">
        <v>78</v>
      </c>
      <c r="F4035" t="s">
        <v>252</v>
      </c>
      <c r="G4035">
        <v>7.0269000000000004</v>
      </c>
      <c r="H4035">
        <v>-74.697500000000005</v>
      </c>
      <c r="I4035" t="s">
        <v>4325</v>
      </c>
      <c r="J4035">
        <v>11</v>
      </c>
      <c r="M4035">
        <v>216</v>
      </c>
      <c r="N4035">
        <v>59</v>
      </c>
      <c r="O4035">
        <v>38</v>
      </c>
      <c r="P4035">
        <v>44</v>
      </c>
      <c r="Q4035">
        <v>29</v>
      </c>
      <c r="R4035">
        <v>53</v>
      </c>
    </row>
    <row r="4036" spans="1:18" x14ac:dyDescent="0.25">
      <c r="A4036" t="s">
        <v>4327</v>
      </c>
      <c r="B4036" t="s">
        <v>55</v>
      </c>
      <c r="C4036" t="s">
        <v>4324</v>
      </c>
      <c r="D4036" t="s">
        <v>2552</v>
      </c>
      <c r="E4036" t="s">
        <v>78</v>
      </c>
      <c r="F4036" t="s">
        <v>252</v>
      </c>
      <c r="G4036">
        <v>7.0269000000000004</v>
      </c>
      <c r="H4036">
        <v>-74.697500000000005</v>
      </c>
      <c r="I4036" t="s">
        <v>4325</v>
      </c>
      <c r="J4036">
        <v>11</v>
      </c>
      <c r="M4036">
        <v>207</v>
      </c>
      <c r="N4036">
        <v>61</v>
      </c>
      <c r="O4036">
        <v>30</v>
      </c>
      <c r="P4036">
        <v>42</v>
      </c>
      <c r="Q4036">
        <v>31</v>
      </c>
      <c r="R4036">
        <v>45</v>
      </c>
    </row>
    <row r="4037" spans="1:18" x14ac:dyDescent="0.25">
      <c r="A4037" t="s">
        <v>4328</v>
      </c>
      <c r="B4037" t="s">
        <v>55</v>
      </c>
      <c r="C4037" t="s">
        <v>4324</v>
      </c>
      <c r="D4037" t="s">
        <v>2552</v>
      </c>
      <c r="E4037" t="s">
        <v>78</v>
      </c>
      <c r="F4037" t="s">
        <v>252</v>
      </c>
      <c r="G4037">
        <v>7.0269000000000004</v>
      </c>
      <c r="H4037">
        <v>-74.697500000000005</v>
      </c>
      <c r="I4037" t="s">
        <v>4325</v>
      </c>
      <c r="J4037">
        <v>11</v>
      </c>
      <c r="M4037">
        <v>194</v>
      </c>
      <c r="N4037">
        <v>56</v>
      </c>
      <c r="O4037">
        <v>22</v>
      </c>
      <c r="P4037">
        <v>38</v>
      </c>
      <c r="Q4037">
        <v>36</v>
      </c>
      <c r="R4037">
        <v>47</v>
      </c>
    </row>
    <row r="4038" spans="1:18" x14ac:dyDescent="0.25">
      <c r="A4038" t="s">
        <v>4329</v>
      </c>
      <c r="B4038" t="s">
        <v>55</v>
      </c>
      <c r="C4038" t="s">
        <v>4324</v>
      </c>
      <c r="D4038" t="s">
        <v>2552</v>
      </c>
      <c r="E4038" t="s">
        <v>78</v>
      </c>
      <c r="F4038" t="s">
        <v>252</v>
      </c>
      <c r="G4038">
        <v>7.0269000000000004</v>
      </c>
      <c r="H4038">
        <v>-74.697500000000005</v>
      </c>
      <c r="I4038" t="s">
        <v>4325</v>
      </c>
      <c r="J4038">
        <v>11</v>
      </c>
      <c r="M4038">
        <v>187</v>
      </c>
      <c r="N4038">
        <v>39</v>
      </c>
      <c r="O4038">
        <v>28</v>
      </c>
      <c r="P4038">
        <v>40</v>
      </c>
      <c r="Q4038">
        <v>33</v>
      </c>
      <c r="R4038">
        <v>67</v>
      </c>
    </row>
    <row r="4039" spans="1:18" x14ac:dyDescent="0.25">
      <c r="A4039" t="s">
        <v>4330</v>
      </c>
      <c r="B4039" t="s">
        <v>55</v>
      </c>
      <c r="C4039" t="s">
        <v>4324</v>
      </c>
      <c r="D4039" t="s">
        <v>2552</v>
      </c>
      <c r="E4039" t="s">
        <v>78</v>
      </c>
      <c r="F4039" t="s">
        <v>252</v>
      </c>
      <c r="G4039">
        <v>7.0269000000000004</v>
      </c>
      <c r="H4039">
        <v>-74.697500000000005</v>
      </c>
      <c r="I4039" t="s">
        <v>4325</v>
      </c>
      <c r="J4039">
        <v>11</v>
      </c>
      <c r="M4039">
        <v>176</v>
      </c>
      <c r="N4039">
        <v>46</v>
      </c>
      <c r="O4039">
        <v>26</v>
      </c>
      <c r="P4039">
        <v>42</v>
      </c>
      <c r="Q4039">
        <v>26</v>
      </c>
      <c r="R4039">
        <v>36</v>
      </c>
    </row>
    <row r="4040" spans="1:18" x14ac:dyDescent="0.25">
      <c r="A4040" t="s">
        <v>4331</v>
      </c>
      <c r="B4040" t="s">
        <v>55</v>
      </c>
      <c r="C4040" t="s">
        <v>4324</v>
      </c>
      <c r="D4040" t="s">
        <v>2552</v>
      </c>
      <c r="E4040" t="s">
        <v>78</v>
      </c>
      <c r="F4040" t="s">
        <v>252</v>
      </c>
      <c r="G4040">
        <v>7.0269000000000004</v>
      </c>
      <c r="H4040">
        <v>-74.697500000000005</v>
      </c>
      <c r="I4040" t="s">
        <v>4325</v>
      </c>
      <c r="J4040">
        <v>11</v>
      </c>
      <c r="M4040">
        <v>168</v>
      </c>
      <c r="N4040">
        <v>49</v>
      </c>
      <c r="O4040">
        <v>32</v>
      </c>
      <c r="P4040">
        <v>34</v>
      </c>
      <c r="Q4040">
        <v>17</v>
      </c>
      <c r="R4040">
        <v>42</v>
      </c>
    </row>
    <row r="4041" spans="1:18" x14ac:dyDescent="0.25">
      <c r="A4041" t="s">
        <v>4332</v>
      </c>
      <c r="B4041" t="s">
        <v>55</v>
      </c>
      <c r="C4041" t="s">
        <v>4324</v>
      </c>
      <c r="D4041" t="s">
        <v>2552</v>
      </c>
      <c r="E4041" t="s">
        <v>78</v>
      </c>
      <c r="F4041" t="s">
        <v>252</v>
      </c>
      <c r="G4041">
        <v>7.0269000000000004</v>
      </c>
      <c r="H4041">
        <v>-74.697500000000005</v>
      </c>
      <c r="I4041" t="s">
        <v>4325</v>
      </c>
      <c r="J4041">
        <v>11</v>
      </c>
      <c r="M4041">
        <v>165</v>
      </c>
      <c r="N4041">
        <v>44</v>
      </c>
      <c r="O4041">
        <v>32</v>
      </c>
      <c r="P4041">
        <v>30</v>
      </c>
      <c r="Q4041">
        <v>17</v>
      </c>
      <c r="R4041">
        <v>60</v>
      </c>
    </row>
    <row r="4042" spans="1:18" x14ac:dyDescent="0.25">
      <c r="A4042" t="s">
        <v>4333</v>
      </c>
      <c r="B4042" t="s">
        <v>55</v>
      </c>
      <c r="C4042" t="s">
        <v>4324</v>
      </c>
      <c r="D4042" t="s">
        <v>2552</v>
      </c>
      <c r="E4042" t="s">
        <v>78</v>
      </c>
      <c r="F4042" t="s">
        <v>252</v>
      </c>
      <c r="G4042">
        <v>7.0269000000000004</v>
      </c>
      <c r="H4042">
        <v>-74.697500000000005</v>
      </c>
      <c r="I4042" t="s">
        <v>4325</v>
      </c>
      <c r="J4042">
        <v>11</v>
      </c>
      <c r="M4042">
        <v>164</v>
      </c>
      <c r="N4042">
        <v>54</v>
      </c>
      <c r="O4042">
        <v>20</v>
      </c>
      <c r="P4042">
        <v>26</v>
      </c>
      <c r="Q4042">
        <v>26</v>
      </c>
      <c r="R4042">
        <v>51</v>
      </c>
    </row>
    <row r="4043" spans="1:18" x14ac:dyDescent="0.25">
      <c r="A4043" t="s">
        <v>4334</v>
      </c>
      <c r="B4043" t="s">
        <v>55</v>
      </c>
      <c r="C4043" t="s">
        <v>4324</v>
      </c>
      <c r="D4043" t="s">
        <v>2552</v>
      </c>
      <c r="E4043" t="s">
        <v>78</v>
      </c>
      <c r="F4043" t="s">
        <v>252</v>
      </c>
      <c r="G4043">
        <v>7.0269000000000004</v>
      </c>
      <c r="H4043">
        <v>-74.697500000000005</v>
      </c>
      <c r="I4043" t="s">
        <v>4325</v>
      </c>
      <c r="J4043">
        <v>11</v>
      </c>
      <c r="M4043">
        <v>161</v>
      </c>
      <c r="N4043">
        <v>29</v>
      </c>
      <c r="O4043">
        <v>30</v>
      </c>
      <c r="P4043">
        <v>46</v>
      </c>
      <c r="Q4043">
        <v>24</v>
      </c>
      <c r="R4043">
        <v>31</v>
      </c>
    </row>
    <row r="4044" spans="1:18" x14ac:dyDescent="0.25">
      <c r="A4044" t="s">
        <v>4335</v>
      </c>
      <c r="B4044" t="s">
        <v>55</v>
      </c>
      <c r="C4044" t="s">
        <v>4324</v>
      </c>
      <c r="D4044" t="s">
        <v>2552</v>
      </c>
      <c r="E4044" t="s">
        <v>78</v>
      </c>
      <c r="F4044" t="s">
        <v>252</v>
      </c>
      <c r="G4044">
        <v>7.0269000000000004</v>
      </c>
      <c r="H4044">
        <v>-74.697500000000005</v>
      </c>
      <c r="I4044" t="s">
        <v>4325</v>
      </c>
      <c r="J4044">
        <v>11</v>
      </c>
      <c r="M4044">
        <v>160</v>
      </c>
      <c r="N4044">
        <v>46</v>
      </c>
      <c r="O4044">
        <v>28</v>
      </c>
      <c r="P4044">
        <v>32</v>
      </c>
      <c r="Q4044">
        <v>17</v>
      </c>
      <c r="R4044">
        <v>45</v>
      </c>
    </row>
    <row r="4045" spans="1:18" x14ac:dyDescent="0.25">
      <c r="A4045" t="s">
        <v>4336</v>
      </c>
      <c r="B4045" t="s">
        <v>55</v>
      </c>
      <c r="C4045" t="s">
        <v>4324</v>
      </c>
      <c r="D4045" t="s">
        <v>2552</v>
      </c>
      <c r="E4045" t="s">
        <v>78</v>
      </c>
      <c r="F4045" t="s">
        <v>252</v>
      </c>
      <c r="G4045">
        <v>7.0269000000000004</v>
      </c>
      <c r="H4045">
        <v>-74.697500000000005</v>
      </c>
      <c r="I4045" t="s">
        <v>4325</v>
      </c>
      <c r="J4045">
        <v>11</v>
      </c>
      <c r="M4045">
        <v>160</v>
      </c>
      <c r="N4045">
        <v>46</v>
      </c>
      <c r="O4045">
        <v>12</v>
      </c>
      <c r="P4045">
        <v>42</v>
      </c>
      <c r="Q4045">
        <v>22</v>
      </c>
      <c r="R4045">
        <v>47</v>
      </c>
    </row>
    <row r="4046" spans="1:18" x14ac:dyDescent="0.25">
      <c r="A4046" t="s">
        <v>4337</v>
      </c>
      <c r="B4046" t="s">
        <v>55</v>
      </c>
      <c r="C4046" t="s">
        <v>4324</v>
      </c>
      <c r="D4046" t="s">
        <v>2552</v>
      </c>
      <c r="E4046" t="s">
        <v>78</v>
      </c>
      <c r="F4046" t="s">
        <v>252</v>
      </c>
      <c r="G4046">
        <v>7.0269000000000004</v>
      </c>
      <c r="H4046">
        <v>-74.697500000000005</v>
      </c>
      <c r="I4046" t="s">
        <v>4325</v>
      </c>
      <c r="J4046">
        <v>11</v>
      </c>
      <c r="M4046">
        <v>160</v>
      </c>
      <c r="N4046">
        <v>49</v>
      </c>
      <c r="O4046">
        <v>28</v>
      </c>
      <c r="P4046">
        <v>32</v>
      </c>
      <c r="Q4046">
        <v>22</v>
      </c>
      <c r="R4046">
        <v>22</v>
      </c>
    </row>
    <row r="4047" spans="1:18" x14ac:dyDescent="0.25">
      <c r="A4047" t="s">
        <v>4338</v>
      </c>
      <c r="B4047" t="s">
        <v>55</v>
      </c>
      <c r="C4047" t="s">
        <v>4324</v>
      </c>
      <c r="D4047" t="s">
        <v>2552</v>
      </c>
      <c r="E4047" t="s">
        <v>78</v>
      </c>
      <c r="F4047" t="s">
        <v>252</v>
      </c>
      <c r="G4047">
        <v>7.0269000000000004</v>
      </c>
      <c r="H4047">
        <v>-74.697500000000005</v>
      </c>
      <c r="I4047" t="s">
        <v>4325</v>
      </c>
      <c r="J4047">
        <v>11</v>
      </c>
      <c r="M4047">
        <v>160</v>
      </c>
      <c r="N4047">
        <v>37</v>
      </c>
      <c r="O4047">
        <v>40</v>
      </c>
      <c r="P4047">
        <v>34</v>
      </c>
      <c r="Q4047">
        <v>14</v>
      </c>
      <c r="R4047">
        <v>42</v>
      </c>
    </row>
    <row r="4048" spans="1:18" x14ac:dyDescent="0.25">
      <c r="A4048" t="s">
        <v>4339</v>
      </c>
      <c r="B4048" t="s">
        <v>55</v>
      </c>
      <c r="C4048" t="s">
        <v>4324</v>
      </c>
      <c r="D4048" t="s">
        <v>2552</v>
      </c>
      <c r="E4048" t="s">
        <v>78</v>
      </c>
      <c r="F4048" t="s">
        <v>252</v>
      </c>
      <c r="G4048">
        <v>7.0269000000000004</v>
      </c>
      <c r="H4048">
        <v>-74.697500000000005</v>
      </c>
      <c r="I4048" t="s">
        <v>4325</v>
      </c>
      <c r="J4048">
        <v>11</v>
      </c>
      <c r="M4048">
        <v>159</v>
      </c>
      <c r="N4048">
        <v>34</v>
      </c>
      <c r="O4048">
        <v>36</v>
      </c>
      <c r="P4048">
        <v>30</v>
      </c>
      <c r="Q4048">
        <v>29</v>
      </c>
      <c r="R4048">
        <v>25</v>
      </c>
    </row>
    <row r="4049" spans="1:18" x14ac:dyDescent="0.25">
      <c r="A4049" t="s">
        <v>4340</v>
      </c>
      <c r="B4049" t="s">
        <v>55</v>
      </c>
      <c r="C4049" t="s">
        <v>4324</v>
      </c>
      <c r="D4049" t="s">
        <v>2552</v>
      </c>
      <c r="E4049" t="s">
        <v>78</v>
      </c>
      <c r="F4049" t="s">
        <v>252</v>
      </c>
      <c r="G4049">
        <v>7.0269000000000004</v>
      </c>
      <c r="H4049">
        <v>-74.697500000000005</v>
      </c>
      <c r="I4049" t="s">
        <v>4325</v>
      </c>
      <c r="J4049">
        <v>11</v>
      </c>
      <c r="M4049">
        <v>159</v>
      </c>
      <c r="N4049">
        <v>32</v>
      </c>
      <c r="O4049">
        <v>30</v>
      </c>
      <c r="P4049">
        <v>42</v>
      </c>
      <c r="Q4049">
        <v>16</v>
      </c>
      <c r="R4049">
        <v>55</v>
      </c>
    </row>
    <row r="4050" spans="1:18" x14ac:dyDescent="0.25">
      <c r="A4050" t="s">
        <v>4341</v>
      </c>
      <c r="B4050" t="s">
        <v>55</v>
      </c>
      <c r="C4050" t="s">
        <v>4324</v>
      </c>
      <c r="D4050" t="s">
        <v>2552</v>
      </c>
      <c r="E4050" t="s">
        <v>78</v>
      </c>
      <c r="F4050" t="s">
        <v>252</v>
      </c>
      <c r="G4050">
        <v>7.0269000000000004</v>
      </c>
      <c r="H4050">
        <v>-74.697500000000005</v>
      </c>
      <c r="I4050" t="s">
        <v>4325</v>
      </c>
      <c r="J4050">
        <v>11</v>
      </c>
      <c r="M4050">
        <v>154</v>
      </c>
      <c r="N4050">
        <v>41</v>
      </c>
      <c r="O4050">
        <v>32</v>
      </c>
      <c r="P4050">
        <v>26</v>
      </c>
      <c r="Q4050">
        <v>22</v>
      </c>
      <c r="R4050">
        <v>35</v>
      </c>
    </row>
    <row r="4051" spans="1:18" x14ac:dyDescent="0.25">
      <c r="A4051" t="s">
        <v>4342</v>
      </c>
      <c r="B4051" t="s">
        <v>55</v>
      </c>
      <c r="C4051" t="s">
        <v>4324</v>
      </c>
      <c r="D4051" t="s">
        <v>2552</v>
      </c>
      <c r="E4051" t="s">
        <v>78</v>
      </c>
      <c r="F4051" t="s">
        <v>252</v>
      </c>
      <c r="G4051">
        <v>7.0269000000000004</v>
      </c>
      <c r="H4051">
        <v>-74.697500000000005</v>
      </c>
      <c r="I4051" t="s">
        <v>4325</v>
      </c>
      <c r="J4051">
        <v>11</v>
      </c>
      <c r="M4051">
        <v>154</v>
      </c>
      <c r="N4051">
        <v>32</v>
      </c>
      <c r="O4051">
        <v>32</v>
      </c>
      <c r="P4051">
        <v>32</v>
      </c>
      <c r="Q4051">
        <v>26</v>
      </c>
      <c r="R4051">
        <v>35</v>
      </c>
    </row>
    <row r="4052" spans="1:18" x14ac:dyDescent="0.25">
      <c r="A4052" t="s">
        <v>4343</v>
      </c>
      <c r="B4052" t="s">
        <v>55</v>
      </c>
      <c r="C4052" t="s">
        <v>4324</v>
      </c>
      <c r="D4052" t="s">
        <v>2552</v>
      </c>
      <c r="E4052" t="s">
        <v>78</v>
      </c>
      <c r="F4052" t="s">
        <v>252</v>
      </c>
      <c r="G4052">
        <v>7.0269000000000004</v>
      </c>
      <c r="H4052">
        <v>-74.697500000000005</v>
      </c>
      <c r="I4052" t="s">
        <v>4325</v>
      </c>
      <c r="J4052">
        <v>11</v>
      </c>
      <c r="M4052">
        <v>153</v>
      </c>
      <c r="N4052">
        <v>37</v>
      </c>
      <c r="O4052">
        <v>24</v>
      </c>
      <c r="P4052">
        <v>40</v>
      </c>
      <c r="Q4052">
        <v>17</v>
      </c>
      <c r="R4052">
        <v>44</v>
      </c>
    </row>
    <row r="4053" spans="1:18" x14ac:dyDescent="0.25">
      <c r="A4053" t="s">
        <v>4344</v>
      </c>
      <c r="B4053" t="s">
        <v>55</v>
      </c>
      <c r="C4053" t="s">
        <v>4324</v>
      </c>
      <c r="D4053" t="s">
        <v>2552</v>
      </c>
      <c r="E4053" t="s">
        <v>78</v>
      </c>
      <c r="F4053" t="s">
        <v>252</v>
      </c>
      <c r="G4053">
        <v>7.0269000000000004</v>
      </c>
      <c r="H4053">
        <v>-74.697500000000005</v>
      </c>
      <c r="I4053" t="s">
        <v>4325</v>
      </c>
      <c r="J4053">
        <v>11</v>
      </c>
      <c r="M4053">
        <v>153</v>
      </c>
      <c r="N4053">
        <v>46</v>
      </c>
      <c r="O4053">
        <v>20</v>
      </c>
      <c r="P4053">
        <v>26</v>
      </c>
      <c r="Q4053">
        <v>24</v>
      </c>
      <c r="R4053">
        <v>47</v>
      </c>
    </row>
    <row r="4054" spans="1:18" x14ac:dyDescent="0.25">
      <c r="A4054" t="s">
        <v>4345</v>
      </c>
      <c r="B4054" t="s">
        <v>55</v>
      </c>
      <c r="C4054" t="s">
        <v>4324</v>
      </c>
      <c r="D4054" t="s">
        <v>2552</v>
      </c>
      <c r="E4054" t="s">
        <v>78</v>
      </c>
      <c r="F4054" t="s">
        <v>252</v>
      </c>
      <c r="G4054">
        <v>7.0269000000000004</v>
      </c>
      <c r="H4054">
        <v>-74.697500000000005</v>
      </c>
      <c r="I4054" t="s">
        <v>4325</v>
      </c>
      <c r="J4054">
        <v>11</v>
      </c>
      <c r="M4054">
        <v>152</v>
      </c>
      <c r="N4054">
        <v>39</v>
      </c>
      <c r="O4054">
        <v>28</v>
      </c>
      <c r="P4054">
        <v>34</v>
      </c>
      <c r="Q4054">
        <v>22</v>
      </c>
      <c r="R4054">
        <v>25</v>
      </c>
    </row>
    <row r="4055" spans="1:18" x14ac:dyDescent="0.25">
      <c r="A4055" t="s">
        <v>4346</v>
      </c>
      <c r="B4055" t="s">
        <v>55</v>
      </c>
      <c r="C4055" t="s">
        <v>4324</v>
      </c>
      <c r="D4055" t="s">
        <v>2552</v>
      </c>
      <c r="E4055" t="s">
        <v>78</v>
      </c>
      <c r="F4055" t="s">
        <v>252</v>
      </c>
      <c r="G4055">
        <v>7.0269000000000004</v>
      </c>
      <c r="H4055">
        <v>-74.697500000000005</v>
      </c>
      <c r="I4055" t="s">
        <v>4325</v>
      </c>
      <c r="J4055">
        <v>11</v>
      </c>
      <c r="M4055">
        <v>149</v>
      </c>
      <c r="N4055">
        <v>29</v>
      </c>
      <c r="O4055">
        <v>24</v>
      </c>
      <c r="P4055">
        <v>34</v>
      </c>
      <c r="Q4055">
        <v>28</v>
      </c>
      <c r="R4055">
        <v>42</v>
      </c>
    </row>
    <row r="4056" spans="1:18" x14ac:dyDescent="0.25">
      <c r="A4056" t="s">
        <v>4347</v>
      </c>
      <c r="B4056" t="s">
        <v>55</v>
      </c>
      <c r="C4056" t="s">
        <v>4324</v>
      </c>
      <c r="D4056" t="s">
        <v>2552</v>
      </c>
      <c r="E4056" t="s">
        <v>78</v>
      </c>
      <c r="F4056" t="s">
        <v>252</v>
      </c>
      <c r="G4056">
        <v>7.0269000000000004</v>
      </c>
      <c r="H4056">
        <v>-74.697500000000005</v>
      </c>
      <c r="I4056" t="s">
        <v>4325</v>
      </c>
      <c r="J4056">
        <v>11</v>
      </c>
      <c r="M4056">
        <v>146</v>
      </c>
      <c r="N4056">
        <v>34</v>
      </c>
      <c r="O4056">
        <v>24</v>
      </c>
      <c r="P4056">
        <v>30</v>
      </c>
      <c r="Q4056">
        <v>24</v>
      </c>
      <c r="R4056">
        <v>44</v>
      </c>
    </row>
    <row r="4057" spans="1:18" x14ac:dyDescent="0.25">
      <c r="A4057" t="s">
        <v>4348</v>
      </c>
      <c r="B4057" t="s">
        <v>55</v>
      </c>
      <c r="C4057" t="s">
        <v>4324</v>
      </c>
      <c r="D4057" t="s">
        <v>2552</v>
      </c>
      <c r="E4057" t="s">
        <v>78</v>
      </c>
      <c r="F4057" t="s">
        <v>252</v>
      </c>
      <c r="G4057">
        <v>7.0269000000000004</v>
      </c>
      <c r="H4057">
        <v>-74.697500000000005</v>
      </c>
      <c r="I4057" t="s">
        <v>4325</v>
      </c>
      <c r="J4057">
        <v>11</v>
      </c>
      <c r="M4057">
        <v>145</v>
      </c>
      <c r="N4057">
        <v>37</v>
      </c>
      <c r="O4057">
        <v>24</v>
      </c>
      <c r="P4057">
        <v>32</v>
      </c>
      <c r="Q4057">
        <v>21</v>
      </c>
      <c r="R4057">
        <v>38</v>
      </c>
    </row>
    <row r="4058" spans="1:18" x14ac:dyDescent="0.25">
      <c r="A4058" t="s">
        <v>4349</v>
      </c>
      <c r="B4058" t="s">
        <v>55</v>
      </c>
      <c r="C4058" t="s">
        <v>4324</v>
      </c>
      <c r="D4058" t="s">
        <v>2552</v>
      </c>
      <c r="E4058" t="s">
        <v>78</v>
      </c>
      <c r="F4058" t="s">
        <v>252</v>
      </c>
      <c r="G4058">
        <v>7.0269000000000004</v>
      </c>
      <c r="H4058">
        <v>-74.697500000000005</v>
      </c>
      <c r="I4058" t="s">
        <v>4325</v>
      </c>
      <c r="J4058">
        <v>11</v>
      </c>
      <c r="M4058">
        <v>145</v>
      </c>
      <c r="N4058">
        <v>29</v>
      </c>
      <c r="O4058">
        <v>26</v>
      </c>
      <c r="P4058">
        <v>28</v>
      </c>
      <c r="Q4058">
        <v>29</v>
      </c>
      <c r="R4058">
        <v>38</v>
      </c>
    </row>
    <row r="4059" spans="1:18" x14ac:dyDescent="0.25">
      <c r="A4059" t="s">
        <v>4350</v>
      </c>
      <c r="B4059" t="s">
        <v>55</v>
      </c>
      <c r="C4059" t="s">
        <v>4324</v>
      </c>
      <c r="D4059" t="s">
        <v>2552</v>
      </c>
      <c r="E4059" t="s">
        <v>78</v>
      </c>
      <c r="F4059" t="s">
        <v>252</v>
      </c>
      <c r="G4059">
        <v>7.0269000000000004</v>
      </c>
      <c r="H4059">
        <v>-74.697500000000005</v>
      </c>
      <c r="I4059" t="s">
        <v>4325</v>
      </c>
      <c r="J4059">
        <v>11</v>
      </c>
      <c r="M4059">
        <v>143</v>
      </c>
      <c r="N4059">
        <v>27</v>
      </c>
      <c r="O4059">
        <v>24</v>
      </c>
      <c r="P4059">
        <v>22</v>
      </c>
      <c r="Q4059">
        <v>38</v>
      </c>
      <c r="R4059">
        <v>40</v>
      </c>
    </row>
    <row r="4060" spans="1:18" x14ac:dyDescent="0.25">
      <c r="A4060" t="s">
        <v>4351</v>
      </c>
      <c r="B4060" t="s">
        <v>55</v>
      </c>
      <c r="C4060" t="s">
        <v>4324</v>
      </c>
      <c r="D4060" t="s">
        <v>2552</v>
      </c>
      <c r="E4060" t="s">
        <v>78</v>
      </c>
      <c r="F4060" t="s">
        <v>252</v>
      </c>
      <c r="G4060">
        <v>7.0269000000000004</v>
      </c>
      <c r="H4060">
        <v>-74.697500000000005</v>
      </c>
      <c r="I4060" t="s">
        <v>4325</v>
      </c>
      <c r="J4060">
        <v>11</v>
      </c>
      <c r="M4060">
        <v>143</v>
      </c>
      <c r="N4060">
        <v>44</v>
      </c>
      <c r="O4060">
        <v>20</v>
      </c>
      <c r="P4060">
        <v>32</v>
      </c>
      <c r="Q4060">
        <v>21</v>
      </c>
      <c r="R4060">
        <v>22</v>
      </c>
    </row>
    <row r="4061" spans="1:18" x14ac:dyDescent="0.25">
      <c r="A4061" t="s">
        <v>4352</v>
      </c>
      <c r="B4061" t="s">
        <v>55</v>
      </c>
      <c r="C4061" t="s">
        <v>4324</v>
      </c>
      <c r="D4061" t="s">
        <v>2552</v>
      </c>
      <c r="E4061" t="s">
        <v>78</v>
      </c>
      <c r="F4061" t="s">
        <v>252</v>
      </c>
      <c r="G4061">
        <v>7.0269000000000004</v>
      </c>
      <c r="H4061">
        <v>-74.697500000000005</v>
      </c>
      <c r="I4061" t="s">
        <v>4325</v>
      </c>
      <c r="J4061">
        <v>11</v>
      </c>
      <c r="M4061">
        <v>143</v>
      </c>
      <c r="N4061">
        <v>41</v>
      </c>
      <c r="O4061">
        <v>20</v>
      </c>
      <c r="P4061">
        <v>26</v>
      </c>
      <c r="Q4061">
        <v>22</v>
      </c>
      <c r="R4061">
        <v>42</v>
      </c>
    </row>
    <row r="4062" spans="1:18" x14ac:dyDescent="0.25">
      <c r="A4062" t="s">
        <v>4353</v>
      </c>
      <c r="B4062" t="s">
        <v>55</v>
      </c>
      <c r="C4062" t="s">
        <v>4324</v>
      </c>
      <c r="D4062" t="s">
        <v>2552</v>
      </c>
      <c r="E4062" t="s">
        <v>78</v>
      </c>
      <c r="F4062" t="s">
        <v>252</v>
      </c>
      <c r="G4062">
        <v>7.0269000000000004</v>
      </c>
      <c r="H4062">
        <v>-74.697500000000005</v>
      </c>
      <c r="I4062" t="s">
        <v>4325</v>
      </c>
      <c r="J4062">
        <v>11</v>
      </c>
      <c r="M4062">
        <v>142</v>
      </c>
      <c r="N4062">
        <v>49</v>
      </c>
      <c r="O4062">
        <v>18</v>
      </c>
      <c r="P4062">
        <v>22</v>
      </c>
      <c r="Q4062">
        <v>21</v>
      </c>
      <c r="R4062">
        <v>42</v>
      </c>
    </row>
    <row r="4063" spans="1:18" x14ac:dyDescent="0.25">
      <c r="A4063" t="s">
        <v>4354</v>
      </c>
      <c r="B4063" t="s">
        <v>55</v>
      </c>
      <c r="C4063" t="s">
        <v>4324</v>
      </c>
      <c r="D4063" t="s">
        <v>2552</v>
      </c>
      <c r="E4063" t="s">
        <v>78</v>
      </c>
      <c r="F4063" t="s">
        <v>252</v>
      </c>
      <c r="G4063">
        <v>7.0269000000000004</v>
      </c>
      <c r="H4063">
        <v>-74.697500000000005</v>
      </c>
      <c r="I4063" t="s">
        <v>4325</v>
      </c>
      <c r="J4063">
        <v>11</v>
      </c>
      <c r="M4063">
        <v>142</v>
      </c>
      <c r="N4063">
        <v>34</v>
      </c>
      <c r="O4063">
        <v>30</v>
      </c>
      <c r="P4063">
        <v>24</v>
      </c>
      <c r="Q4063">
        <v>26</v>
      </c>
      <c r="R4063">
        <v>27</v>
      </c>
    </row>
    <row r="4064" spans="1:18" x14ac:dyDescent="0.25">
      <c r="A4064" t="s">
        <v>4355</v>
      </c>
      <c r="B4064" t="s">
        <v>55</v>
      </c>
      <c r="C4064" t="s">
        <v>4324</v>
      </c>
      <c r="D4064" t="s">
        <v>2552</v>
      </c>
      <c r="E4064" t="s">
        <v>78</v>
      </c>
      <c r="F4064" t="s">
        <v>252</v>
      </c>
      <c r="G4064">
        <v>7.0269000000000004</v>
      </c>
      <c r="H4064">
        <v>-74.697500000000005</v>
      </c>
      <c r="I4064" t="s">
        <v>4325</v>
      </c>
      <c r="J4064">
        <v>11</v>
      </c>
      <c r="M4064">
        <v>141</v>
      </c>
      <c r="N4064">
        <v>51</v>
      </c>
      <c r="O4064">
        <v>22</v>
      </c>
      <c r="P4064">
        <v>26</v>
      </c>
      <c r="Q4064">
        <v>17</v>
      </c>
      <c r="R4064">
        <v>16</v>
      </c>
    </row>
    <row r="4065" spans="1:18" x14ac:dyDescent="0.25">
      <c r="A4065" t="s">
        <v>4356</v>
      </c>
      <c r="B4065" t="s">
        <v>55</v>
      </c>
      <c r="C4065" t="s">
        <v>4324</v>
      </c>
      <c r="D4065" t="s">
        <v>2552</v>
      </c>
      <c r="E4065" t="s">
        <v>78</v>
      </c>
      <c r="F4065" t="s">
        <v>252</v>
      </c>
      <c r="G4065">
        <v>7.0269000000000004</v>
      </c>
      <c r="H4065">
        <v>-74.697500000000005</v>
      </c>
      <c r="I4065" t="s">
        <v>4325</v>
      </c>
      <c r="J4065">
        <v>11</v>
      </c>
      <c r="M4065">
        <v>139</v>
      </c>
      <c r="N4065">
        <v>24</v>
      </c>
      <c r="O4065">
        <v>36</v>
      </c>
      <c r="P4065">
        <v>30</v>
      </c>
      <c r="Q4065">
        <v>19</v>
      </c>
      <c r="R4065">
        <v>33</v>
      </c>
    </row>
    <row r="4066" spans="1:18" x14ac:dyDescent="0.25">
      <c r="A4066" t="s">
        <v>4357</v>
      </c>
      <c r="B4066" t="s">
        <v>55</v>
      </c>
      <c r="C4066" t="s">
        <v>4324</v>
      </c>
      <c r="D4066" t="s">
        <v>2552</v>
      </c>
      <c r="E4066" t="s">
        <v>78</v>
      </c>
      <c r="F4066" t="s">
        <v>252</v>
      </c>
      <c r="G4066">
        <v>7.0269000000000004</v>
      </c>
      <c r="H4066">
        <v>-74.697500000000005</v>
      </c>
      <c r="I4066" t="s">
        <v>4325</v>
      </c>
      <c r="J4066">
        <v>11</v>
      </c>
      <c r="M4066">
        <v>138</v>
      </c>
      <c r="N4066">
        <v>24</v>
      </c>
      <c r="O4066">
        <v>18</v>
      </c>
      <c r="P4066">
        <v>40</v>
      </c>
      <c r="Q4066">
        <v>26</v>
      </c>
      <c r="R4066">
        <v>35</v>
      </c>
    </row>
    <row r="4067" spans="1:18" x14ac:dyDescent="0.25">
      <c r="A4067" t="s">
        <v>4358</v>
      </c>
      <c r="B4067" t="s">
        <v>55</v>
      </c>
      <c r="C4067" t="s">
        <v>4324</v>
      </c>
      <c r="D4067" t="s">
        <v>2552</v>
      </c>
      <c r="E4067" t="s">
        <v>78</v>
      </c>
      <c r="F4067" t="s">
        <v>252</v>
      </c>
      <c r="G4067">
        <v>7.0269000000000004</v>
      </c>
      <c r="H4067">
        <v>-74.697500000000005</v>
      </c>
      <c r="I4067" t="s">
        <v>4325</v>
      </c>
      <c r="J4067">
        <v>11</v>
      </c>
      <c r="M4067">
        <v>135</v>
      </c>
      <c r="N4067">
        <v>17</v>
      </c>
      <c r="O4067">
        <v>40</v>
      </c>
      <c r="P4067">
        <v>26</v>
      </c>
      <c r="Q4067">
        <v>28</v>
      </c>
      <c r="R4067">
        <v>20</v>
      </c>
    </row>
    <row r="4068" spans="1:18" x14ac:dyDescent="0.25">
      <c r="A4068" t="s">
        <v>4359</v>
      </c>
      <c r="B4068" t="s">
        <v>55</v>
      </c>
      <c r="C4068" t="s">
        <v>4324</v>
      </c>
      <c r="D4068" t="s">
        <v>2552</v>
      </c>
      <c r="E4068" t="s">
        <v>78</v>
      </c>
      <c r="F4068" t="s">
        <v>252</v>
      </c>
      <c r="G4068">
        <v>7.0269000000000004</v>
      </c>
      <c r="H4068">
        <v>-74.697500000000005</v>
      </c>
      <c r="I4068" t="s">
        <v>4325</v>
      </c>
      <c r="J4068">
        <v>11</v>
      </c>
      <c r="M4068">
        <v>135</v>
      </c>
      <c r="N4068">
        <v>27</v>
      </c>
      <c r="O4068">
        <v>24</v>
      </c>
      <c r="P4068">
        <v>30</v>
      </c>
      <c r="Q4068">
        <v>22</v>
      </c>
      <c r="R4068">
        <v>42</v>
      </c>
    </row>
    <row r="4069" spans="1:18" x14ac:dyDescent="0.25">
      <c r="A4069" t="s">
        <v>4360</v>
      </c>
      <c r="B4069" t="s">
        <v>55</v>
      </c>
      <c r="C4069" t="s">
        <v>4324</v>
      </c>
      <c r="D4069" t="s">
        <v>2552</v>
      </c>
      <c r="E4069" t="s">
        <v>78</v>
      </c>
      <c r="F4069" t="s">
        <v>252</v>
      </c>
      <c r="G4069">
        <v>7.0269000000000004</v>
      </c>
      <c r="H4069">
        <v>-74.697500000000005</v>
      </c>
      <c r="I4069" t="s">
        <v>4325</v>
      </c>
      <c r="J4069">
        <v>11</v>
      </c>
      <c r="M4069">
        <v>134</v>
      </c>
      <c r="N4069">
        <v>32</v>
      </c>
      <c r="O4069">
        <v>18</v>
      </c>
      <c r="P4069">
        <v>30</v>
      </c>
      <c r="Q4069">
        <v>28</v>
      </c>
      <c r="R4069">
        <v>27</v>
      </c>
    </row>
    <row r="4070" spans="1:18" x14ac:dyDescent="0.25">
      <c r="A4070" t="s">
        <v>4361</v>
      </c>
      <c r="B4070" t="s">
        <v>55</v>
      </c>
      <c r="C4070" t="s">
        <v>4324</v>
      </c>
      <c r="D4070" t="s">
        <v>2552</v>
      </c>
      <c r="E4070" t="s">
        <v>78</v>
      </c>
      <c r="F4070" t="s">
        <v>252</v>
      </c>
      <c r="G4070">
        <v>7.0269000000000004</v>
      </c>
      <c r="H4070">
        <v>-74.697500000000005</v>
      </c>
      <c r="I4070" t="s">
        <v>4325</v>
      </c>
      <c r="J4070">
        <v>11</v>
      </c>
      <c r="M4070">
        <v>134</v>
      </c>
      <c r="N4070">
        <v>39</v>
      </c>
      <c r="O4070">
        <v>20</v>
      </c>
      <c r="P4070">
        <v>18</v>
      </c>
      <c r="Q4070">
        <v>24</v>
      </c>
      <c r="R4070">
        <v>45</v>
      </c>
    </row>
    <row r="4071" spans="1:18" x14ac:dyDescent="0.25">
      <c r="A4071" t="s">
        <v>4362</v>
      </c>
      <c r="B4071" t="s">
        <v>55</v>
      </c>
      <c r="C4071" t="s">
        <v>4324</v>
      </c>
      <c r="D4071" t="s">
        <v>2552</v>
      </c>
      <c r="E4071" t="s">
        <v>78</v>
      </c>
      <c r="F4071" t="s">
        <v>252</v>
      </c>
      <c r="G4071">
        <v>7.0269000000000004</v>
      </c>
      <c r="H4071">
        <v>-74.697500000000005</v>
      </c>
      <c r="I4071" t="s">
        <v>4325</v>
      </c>
      <c r="J4071">
        <v>11</v>
      </c>
      <c r="M4071">
        <v>132</v>
      </c>
      <c r="N4071">
        <v>29</v>
      </c>
      <c r="O4071">
        <v>26</v>
      </c>
      <c r="P4071">
        <v>24</v>
      </c>
      <c r="Q4071">
        <v>26</v>
      </c>
      <c r="R4071">
        <v>29</v>
      </c>
    </row>
    <row r="4072" spans="1:18" x14ac:dyDescent="0.25">
      <c r="A4072" t="s">
        <v>4363</v>
      </c>
      <c r="B4072" t="s">
        <v>55</v>
      </c>
      <c r="C4072" t="s">
        <v>4324</v>
      </c>
      <c r="D4072" t="s">
        <v>2552</v>
      </c>
      <c r="E4072" t="s">
        <v>78</v>
      </c>
      <c r="F4072" t="s">
        <v>252</v>
      </c>
      <c r="G4072">
        <v>7.0269000000000004</v>
      </c>
      <c r="H4072">
        <v>-74.697500000000005</v>
      </c>
      <c r="I4072" t="s">
        <v>4325</v>
      </c>
      <c r="J4072">
        <v>11</v>
      </c>
      <c r="M4072">
        <v>132</v>
      </c>
      <c r="N4072">
        <v>37</v>
      </c>
      <c r="O4072">
        <v>16</v>
      </c>
      <c r="P4072">
        <v>28</v>
      </c>
      <c r="Q4072">
        <v>22</v>
      </c>
      <c r="R4072">
        <v>35</v>
      </c>
    </row>
    <row r="4073" spans="1:18" x14ac:dyDescent="0.25">
      <c r="A4073" t="s">
        <v>4364</v>
      </c>
      <c r="B4073" t="s">
        <v>55</v>
      </c>
      <c r="C4073" t="s">
        <v>4324</v>
      </c>
      <c r="D4073" t="s">
        <v>2552</v>
      </c>
      <c r="E4073" t="s">
        <v>78</v>
      </c>
      <c r="F4073" t="s">
        <v>252</v>
      </c>
      <c r="G4073">
        <v>7.0269000000000004</v>
      </c>
      <c r="H4073">
        <v>-74.697500000000005</v>
      </c>
      <c r="I4073" t="s">
        <v>4325</v>
      </c>
      <c r="J4073">
        <v>11</v>
      </c>
      <c r="M4073">
        <v>130</v>
      </c>
      <c r="N4073">
        <v>37</v>
      </c>
      <c r="O4073">
        <v>22</v>
      </c>
      <c r="P4073">
        <v>14</v>
      </c>
      <c r="Q4073">
        <v>26</v>
      </c>
      <c r="R4073">
        <v>44</v>
      </c>
    </row>
    <row r="4074" spans="1:18" x14ac:dyDescent="0.25">
      <c r="A4074" t="s">
        <v>4365</v>
      </c>
      <c r="B4074" t="s">
        <v>55</v>
      </c>
      <c r="C4074" t="s">
        <v>4324</v>
      </c>
      <c r="D4074" t="s">
        <v>2552</v>
      </c>
      <c r="E4074" t="s">
        <v>78</v>
      </c>
      <c r="F4074" t="s">
        <v>252</v>
      </c>
      <c r="G4074">
        <v>7.0269000000000004</v>
      </c>
      <c r="H4074">
        <v>-74.697500000000005</v>
      </c>
      <c r="I4074" t="s">
        <v>4325</v>
      </c>
      <c r="J4074">
        <v>11</v>
      </c>
      <c r="M4074">
        <v>130</v>
      </c>
      <c r="N4074">
        <v>29</v>
      </c>
      <c r="O4074">
        <v>24</v>
      </c>
      <c r="P4074">
        <v>28</v>
      </c>
      <c r="Q4074">
        <v>22</v>
      </c>
      <c r="R4074">
        <v>27</v>
      </c>
    </row>
    <row r="4075" spans="1:18" x14ac:dyDescent="0.25">
      <c r="A4075" t="s">
        <v>4366</v>
      </c>
      <c r="B4075" t="s">
        <v>55</v>
      </c>
      <c r="C4075" t="s">
        <v>4324</v>
      </c>
      <c r="D4075" t="s">
        <v>2552</v>
      </c>
      <c r="E4075" t="s">
        <v>78</v>
      </c>
      <c r="F4075" t="s">
        <v>252</v>
      </c>
      <c r="G4075">
        <v>7.0269000000000004</v>
      </c>
      <c r="H4075">
        <v>-74.697500000000005</v>
      </c>
      <c r="I4075" t="s">
        <v>4325</v>
      </c>
      <c r="J4075">
        <v>11</v>
      </c>
      <c r="M4075">
        <v>129</v>
      </c>
      <c r="N4075">
        <v>20</v>
      </c>
      <c r="O4075">
        <v>26</v>
      </c>
      <c r="P4075">
        <v>28</v>
      </c>
      <c r="Q4075">
        <v>31</v>
      </c>
      <c r="R4075">
        <v>22</v>
      </c>
    </row>
    <row r="4076" spans="1:18" x14ac:dyDescent="0.25">
      <c r="A4076" t="s">
        <v>4367</v>
      </c>
      <c r="B4076" t="s">
        <v>55</v>
      </c>
      <c r="C4076" t="s">
        <v>4324</v>
      </c>
      <c r="D4076" t="s">
        <v>2552</v>
      </c>
      <c r="E4076" t="s">
        <v>78</v>
      </c>
      <c r="F4076" t="s">
        <v>252</v>
      </c>
      <c r="G4076">
        <v>7.0269000000000004</v>
      </c>
      <c r="H4076">
        <v>-74.697500000000005</v>
      </c>
      <c r="I4076" t="s">
        <v>4325</v>
      </c>
      <c r="J4076">
        <v>11</v>
      </c>
      <c r="M4076">
        <v>129</v>
      </c>
      <c r="N4076">
        <v>37</v>
      </c>
      <c r="O4076">
        <v>14</v>
      </c>
      <c r="P4076">
        <v>28</v>
      </c>
      <c r="Q4076">
        <v>26</v>
      </c>
      <c r="R4076">
        <v>22</v>
      </c>
    </row>
    <row r="4077" spans="1:18" x14ac:dyDescent="0.25">
      <c r="A4077" t="s">
        <v>4368</v>
      </c>
      <c r="B4077" t="s">
        <v>55</v>
      </c>
      <c r="C4077" t="s">
        <v>4324</v>
      </c>
      <c r="D4077" t="s">
        <v>2552</v>
      </c>
      <c r="E4077" t="s">
        <v>78</v>
      </c>
      <c r="F4077" t="s">
        <v>252</v>
      </c>
      <c r="G4077">
        <v>7.0269000000000004</v>
      </c>
      <c r="H4077">
        <v>-74.697500000000005</v>
      </c>
      <c r="I4077" t="s">
        <v>4325</v>
      </c>
      <c r="J4077">
        <v>11</v>
      </c>
      <c r="M4077">
        <v>127</v>
      </c>
      <c r="N4077">
        <v>24</v>
      </c>
      <c r="O4077">
        <v>28</v>
      </c>
      <c r="P4077">
        <v>24</v>
      </c>
      <c r="Q4077">
        <v>22</v>
      </c>
      <c r="R4077">
        <v>35</v>
      </c>
    </row>
    <row r="4078" spans="1:18" x14ac:dyDescent="0.25">
      <c r="A4078" t="s">
        <v>4369</v>
      </c>
      <c r="B4078" t="s">
        <v>55</v>
      </c>
      <c r="C4078" t="s">
        <v>4324</v>
      </c>
      <c r="D4078" t="s">
        <v>2552</v>
      </c>
      <c r="E4078" t="s">
        <v>78</v>
      </c>
      <c r="F4078" t="s">
        <v>252</v>
      </c>
      <c r="G4078">
        <v>7.0269000000000004</v>
      </c>
      <c r="H4078">
        <v>-74.697500000000005</v>
      </c>
      <c r="I4078" t="s">
        <v>4325</v>
      </c>
      <c r="J4078">
        <v>11</v>
      </c>
      <c r="M4078">
        <v>127</v>
      </c>
      <c r="N4078">
        <v>17</v>
      </c>
      <c r="O4078">
        <v>22</v>
      </c>
      <c r="P4078">
        <v>24</v>
      </c>
      <c r="Q4078">
        <v>31</v>
      </c>
      <c r="R4078">
        <v>47</v>
      </c>
    </row>
    <row r="4079" spans="1:18" x14ac:dyDescent="0.25">
      <c r="A4079" t="s">
        <v>4370</v>
      </c>
      <c r="B4079" t="s">
        <v>55</v>
      </c>
      <c r="C4079" t="s">
        <v>4324</v>
      </c>
      <c r="D4079" t="s">
        <v>2552</v>
      </c>
      <c r="E4079" t="s">
        <v>78</v>
      </c>
      <c r="F4079" t="s">
        <v>252</v>
      </c>
      <c r="G4079">
        <v>7.0269000000000004</v>
      </c>
      <c r="H4079">
        <v>-74.697500000000005</v>
      </c>
      <c r="I4079" t="s">
        <v>4325</v>
      </c>
      <c r="J4079">
        <v>11</v>
      </c>
      <c r="M4079">
        <v>126</v>
      </c>
      <c r="N4079">
        <v>32</v>
      </c>
      <c r="O4079">
        <v>24</v>
      </c>
      <c r="P4079">
        <v>32</v>
      </c>
      <c r="Q4079">
        <v>14</v>
      </c>
      <c r="R4079">
        <v>24</v>
      </c>
    </row>
    <row r="4080" spans="1:18" x14ac:dyDescent="0.25">
      <c r="A4080" t="s">
        <v>4371</v>
      </c>
      <c r="B4080" t="s">
        <v>55</v>
      </c>
      <c r="C4080" t="s">
        <v>4324</v>
      </c>
      <c r="D4080" t="s">
        <v>2552</v>
      </c>
      <c r="E4080" t="s">
        <v>78</v>
      </c>
      <c r="F4080" t="s">
        <v>252</v>
      </c>
      <c r="G4080">
        <v>7.0269000000000004</v>
      </c>
      <c r="H4080">
        <v>-74.697500000000005</v>
      </c>
      <c r="I4080" t="s">
        <v>4325</v>
      </c>
      <c r="J4080">
        <v>11</v>
      </c>
      <c r="M4080">
        <v>126</v>
      </c>
      <c r="N4080">
        <v>20</v>
      </c>
      <c r="O4080">
        <v>30</v>
      </c>
      <c r="P4080">
        <v>22</v>
      </c>
      <c r="Q4080">
        <v>24</v>
      </c>
      <c r="R4080">
        <v>40</v>
      </c>
    </row>
    <row r="4081" spans="1:18" x14ac:dyDescent="0.25">
      <c r="A4081" t="s">
        <v>4372</v>
      </c>
      <c r="B4081" t="s">
        <v>55</v>
      </c>
      <c r="C4081" t="s">
        <v>4324</v>
      </c>
      <c r="D4081" t="s">
        <v>2552</v>
      </c>
      <c r="E4081" t="s">
        <v>78</v>
      </c>
      <c r="F4081" t="s">
        <v>252</v>
      </c>
      <c r="G4081">
        <v>7.0269000000000004</v>
      </c>
      <c r="H4081">
        <v>-74.697500000000005</v>
      </c>
      <c r="I4081" t="s">
        <v>4325</v>
      </c>
      <c r="J4081">
        <v>11</v>
      </c>
      <c r="M4081">
        <v>125</v>
      </c>
      <c r="N4081">
        <v>22</v>
      </c>
      <c r="O4081">
        <v>22</v>
      </c>
      <c r="P4081">
        <v>32</v>
      </c>
      <c r="Q4081">
        <v>26</v>
      </c>
      <c r="R4081">
        <v>20</v>
      </c>
    </row>
    <row r="4082" spans="1:18" x14ac:dyDescent="0.25">
      <c r="A4082" t="s">
        <v>4373</v>
      </c>
      <c r="B4082" t="s">
        <v>55</v>
      </c>
      <c r="C4082" t="s">
        <v>4324</v>
      </c>
      <c r="D4082" t="s">
        <v>2552</v>
      </c>
      <c r="E4082" t="s">
        <v>78</v>
      </c>
      <c r="F4082" t="s">
        <v>252</v>
      </c>
      <c r="G4082">
        <v>7.0269000000000004</v>
      </c>
      <c r="H4082">
        <v>-74.697500000000005</v>
      </c>
      <c r="I4082" t="s">
        <v>4325</v>
      </c>
      <c r="J4082">
        <v>11</v>
      </c>
      <c r="M4082">
        <v>125</v>
      </c>
      <c r="N4082">
        <v>29</v>
      </c>
      <c r="O4082">
        <v>22</v>
      </c>
      <c r="P4082">
        <v>18</v>
      </c>
      <c r="Q4082">
        <v>31</v>
      </c>
      <c r="R4082">
        <v>24</v>
      </c>
    </row>
    <row r="4083" spans="1:18" x14ac:dyDescent="0.25">
      <c r="A4083" t="s">
        <v>4374</v>
      </c>
      <c r="B4083" t="s">
        <v>55</v>
      </c>
      <c r="C4083" t="s">
        <v>4324</v>
      </c>
      <c r="D4083" t="s">
        <v>2552</v>
      </c>
      <c r="E4083" t="s">
        <v>78</v>
      </c>
      <c r="F4083" t="s">
        <v>252</v>
      </c>
      <c r="G4083">
        <v>7.0269000000000004</v>
      </c>
      <c r="H4083">
        <v>-74.697500000000005</v>
      </c>
      <c r="I4083" t="s">
        <v>4325</v>
      </c>
      <c r="J4083">
        <v>11</v>
      </c>
      <c r="M4083">
        <v>120</v>
      </c>
      <c r="N4083">
        <v>24</v>
      </c>
      <c r="O4083">
        <v>26</v>
      </c>
      <c r="P4083">
        <v>28</v>
      </c>
      <c r="Q4083">
        <v>14</v>
      </c>
      <c r="R4083">
        <v>35</v>
      </c>
    </row>
    <row r="4084" spans="1:18" x14ac:dyDescent="0.25">
      <c r="A4084" t="s">
        <v>4375</v>
      </c>
      <c r="B4084" t="s">
        <v>55</v>
      </c>
      <c r="C4084" t="s">
        <v>4324</v>
      </c>
      <c r="D4084" t="s">
        <v>2552</v>
      </c>
      <c r="E4084" t="s">
        <v>78</v>
      </c>
      <c r="F4084" t="s">
        <v>252</v>
      </c>
      <c r="G4084">
        <v>7.0269000000000004</v>
      </c>
      <c r="H4084">
        <v>-74.697500000000005</v>
      </c>
      <c r="I4084" t="s">
        <v>4325</v>
      </c>
      <c r="J4084">
        <v>11</v>
      </c>
      <c r="M4084">
        <v>119</v>
      </c>
      <c r="N4084">
        <v>24</v>
      </c>
      <c r="O4084">
        <v>20</v>
      </c>
      <c r="P4084">
        <v>30</v>
      </c>
      <c r="Q4084">
        <v>21</v>
      </c>
      <c r="R4084">
        <v>24</v>
      </c>
    </row>
    <row r="4085" spans="1:18" x14ac:dyDescent="0.25">
      <c r="A4085" t="s">
        <v>4376</v>
      </c>
      <c r="B4085" t="s">
        <v>55</v>
      </c>
      <c r="C4085" t="s">
        <v>4324</v>
      </c>
      <c r="D4085" t="s">
        <v>2552</v>
      </c>
      <c r="E4085" t="s">
        <v>78</v>
      </c>
      <c r="F4085" t="s">
        <v>252</v>
      </c>
      <c r="G4085">
        <v>7.0269000000000004</v>
      </c>
      <c r="H4085">
        <v>-74.697500000000005</v>
      </c>
      <c r="I4085" t="s">
        <v>4325</v>
      </c>
      <c r="J4085">
        <v>11</v>
      </c>
      <c r="M4085">
        <v>118</v>
      </c>
      <c r="N4085">
        <v>27</v>
      </c>
      <c r="O4085">
        <v>26</v>
      </c>
      <c r="P4085">
        <v>12</v>
      </c>
      <c r="Q4085">
        <v>29</v>
      </c>
      <c r="R4085">
        <v>25</v>
      </c>
    </row>
    <row r="4086" spans="1:18" x14ac:dyDescent="0.25">
      <c r="A4086" t="s">
        <v>4377</v>
      </c>
      <c r="B4086" t="s">
        <v>55</v>
      </c>
      <c r="C4086" t="s">
        <v>4324</v>
      </c>
      <c r="D4086" t="s">
        <v>2552</v>
      </c>
      <c r="E4086" t="s">
        <v>78</v>
      </c>
      <c r="F4086" t="s">
        <v>252</v>
      </c>
      <c r="G4086">
        <v>7.0269000000000004</v>
      </c>
      <c r="H4086">
        <v>-74.697500000000005</v>
      </c>
      <c r="I4086" t="s">
        <v>4325</v>
      </c>
      <c r="J4086">
        <v>11</v>
      </c>
      <c r="M4086">
        <v>118</v>
      </c>
      <c r="N4086">
        <v>29</v>
      </c>
      <c r="O4086">
        <v>18</v>
      </c>
      <c r="P4086">
        <v>20</v>
      </c>
      <c r="Q4086">
        <v>21</v>
      </c>
      <c r="R4086">
        <v>44</v>
      </c>
    </row>
    <row r="4087" spans="1:18" x14ac:dyDescent="0.25">
      <c r="A4087" t="s">
        <v>4378</v>
      </c>
      <c r="B4087" t="s">
        <v>55</v>
      </c>
      <c r="C4087" t="s">
        <v>4324</v>
      </c>
      <c r="D4087" t="s">
        <v>2552</v>
      </c>
      <c r="E4087" t="s">
        <v>78</v>
      </c>
      <c r="F4087" t="s">
        <v>252</v>
      </c>
      <c r="G4087">
        <v>7.0269000000000004</v>
      </c>
      <c r="H4087">
        <v>-74.697500000000005</v>
      </c>
      <c r="I4087" t="s">
        <v>4325</v>
      </c>
      <c r="J4087">
        <v>11</v>
      </c>
      <c r="M4087">
        <v>117</v>
      </c>
      <c r="N4087">
        <v>27</v>
      </c>
      <c r="O4087">
        <v>26</v>
      </c>
      <c r="P4087">
        <v>18</v>
      </c>
      <c r="Q4087">
        <v>19</v>
      </c>
      <c r="R4087">
        <v>35</v>
      </c>
    </row>
    <row r="4088" spans="1:18" x14ac:dyDescent="0.25">
      <c r="A4088" t="s">
        <v>4379</v>
      </c>
      <c r="B4088" t="s">
        <v>55</v>
      </c>
      <c r="C4088" t="s">
        <v>4324</v>
      </c>
      <c r="D4088" t="s">
        <v>2552</v>
      </c>
      <c r="E4088" t="s">
        <v>78</v>
      </c>
      <c r="F4088" t="s">
        <v>252</v>
      </c>
      <c r="G4088">
        <v>7.0269000000000004</v>
      </c>
      <c r="H4088">
        <v>-74.697500000000005</v>
      </c>
      <c r="I4088" t="s">
        <v>4325</v>
      </c>
      <c r="J4088">
        <v>11</v>
      </c>
      <c r="M4088">
        <v>116</v>
      </c>
      <c r="N4088">
        <v>27</v>
      </c>
      <c r="O4088">
        <v>18</v>
      </c>
      <c r="P4088">
        <v>24</v>
      </c>
      <c r="Q4088">
        <v>22</v>
      </c>
      <c r="R4088">
        <v>29</v>
      </c>
    </row>
    <row r="4089" spans="1:18" x14ac:dyDescent="0.25">
      <c r="A4089" t="s">
        <v>4380</v>
      </c>
      <c r="B4089" t="s">
        <v>55</v>
      </c>
      <c r="C4089" t="s">
        <v>4324</v>
      </c>
      <c r="D4089" t="s">
        <v>2552</v>
      </c>
      <c r="E4089" t="s">
        <v>78</v>
      </c>
      <c r="F4089" t="s">
        <v>252</v>
      </c>
      <c r="G4089">
        <v>7.0269000000000004</v>
      </c>
      <c r="H4089">
        <v>-74.697500000000005</v>
      </c>
      <c r="I4089" t="s">
        <v>4325</v>
      </c>
      <c r="J4089">
        <v>11</v>
      </c>
      <c r="M4089">
        <v>115</v>
      </c>
      <c r="N4089">
        <v>27</v>
      </c>
      <c r="O4089">
        <v>16</v>
      </c>
      <c r="P4089">
        <v>32</v>
      </c>
      <c r="Q4089">
        <v>21</v>
      </c>
      <c r="R4089">
        <v>13</v>
      </c>
    </row>
    <row r="4090" spans="1:18" x14ac:dyDescent="0.25">
      <c r="A4090" t="s">
        <v>4381</v>
      </c>
      <c r="B4090" t="s">
        <v>55</v>
      </c>
      <c r="C4090" t="s">
        <v>4324</v>
      </c>
      <c r="D4090" t="s">
        <v>2552</v>
      </c>
      <c r="E4090" t="s">
        <v>78</v>
      </c>
      <c r="F4090" t="s">
        <v>252</v>
      </c>
      <c r="G4090">
        <v>7.0269000000000004</v>
      </c>
      <c r="H4090">
        <v>-74.697500000000005</v>
      </c>
      <c r="I4090" t="s">
        <v>4325</v>
      </c>
      <c r="J4090">
        <v>11</v>
      </c>
      <c r="M4090">
        <v>114</v>
      </c>
      <c r="N4090">
        <v>12</v>
      </c>
      <c r="O4090">
        <v>30</v>
      </c>
      <c r="P4090">
        <v>28</v>
      </c>
      <c r="Q4090">
        <v>21</v>
      </c>
      <c r="R4090">
        <v>24</v>
      </c>
    </row>
    <row r="4091" spans="1:18" x14ac:dyDescent="0.25">
      <c r="A4091" t="s">
        <v>4382</v>
      </c>
      <c r="B4091" t="s">
        <v>55</v>
      </c>
      <c r="C4091" t="s">
        <v>4324</v>
      </c>
      <c r="D4091" t="s">
        <v>2552</v>
      </c>
      <c r="E4091" t="s">
        <v>78</v>
      </c>
      <c r="F4091" t="s">
        <v>252</v>
      </c>
      <c r="G4091">
        <v>7.0269000000000004</v>
      </c>
      <c r="H4091">
        <v>-74.697500000000005</v>
      </c>
      <c r="I4091" t="s">
        <v>4325</v>
      </c>
      <c r="J4091">
        <v>11</v>
      </c>
      <c r="M4091">
        <v>108</v>
      </c>
      <c r="N4091">
        <v>20</v>
      </c>
      <c r="O4091">
        <v>20</v>
      </c>
      <c r="P4091">
        <v>18</v>
      </c>
      <c r="Q4091">
        <v>22</v>
      </c>
      <c r="R4091">
        <v>42</v>
      </c>
    </row>
    <row r="4092" spans="1:18" x14ac:dyDescent="0.25">
      <c r="A4092" t="s">
        <v>4383</v>
      </c>
      <c r="B4092" t="s">
        <v>55</v>
      </c>
      <c r="C4092" t="s">
        <v>4324</v>
      </c>
      <c r="D4092" t="s">
        <v>2552</v>
      </c>
      <c r="E4092" t="s">
        <v>78</v>
      </c>
      <c r="F4092" t="s">
        <v>252</v>
      </c>
      <c r="G4092">
        <v>7.0269000000000004</v>
      </c>
      <c r="H4092">
        <v>-74.697500000000005</v>
      </c>
      <c r="I4092" t="s">
        <v>4325</v>
      </c>
      <c r="J4092">
        <v>11</v>
      </c>
      <c r="M4092">
        <v>99</v>
      </c>
      <c r="N4092">
        <v>12</v>
      </c>
      <c r="O4092">
        <v>34</v>
      </c>
      <c r="P4092">
        <v>10</v>
      </c>
      <c r="Q4092">
        <v>21</v>
      </c>
      <c r="R4092">
        <v>25</v>
      </c>
    </row>
    <row r="4093" spans="1:18" x14ac:dyDescent="0.25">
      <c r="A4093" t="s">
        <v>4384</v>
      </c>
      <c r="B4093" t="s">
        <v>55</v>
      </c>
      <c r="C4093" t="s">
        <v>4385</v>
      </c>
      <c r="D4093" t="s">
        <v>2917</v>
      </c>
      <c r="E4093" t="s">
        <v>78</v>
      </c>
      <c r="F4093" t="s">
        <v>252</v>
      </c>
      <c r="G4093">
        <v>7.2432999999999996</v>
      </c>
      <c r="H4093">
        <v>-76.436099999999996</v>
      </c>
      <c r="I4093" t="s">
        <v>4386</v>
      </c>
      <c r="J4093">
        <v>11</v>
      </c>
      <c r="M4093">
        <v>242</v>
      </c>
      <c r="N4093">
        <v>54</v>
      </c>
      <c r="O4093">
        <v>32</v>
      </c>
      <c r="P4093">
        <v>60</v>
      </c>
      <c r="Q4093">
        <v>47</v>
      </c>
      <c r="R4093">
        <v>53</v>
      </c>
    </row>
    <row r="4094" spans="1:18" x14ac:dyDescent="0.25">
      <c r="A4094" t="s">
        <v>4387</v>
      </c>
      <c r="B4094" t="s">
        <v>55</v>
      </c>
      <c r="C4094" t="s">
        <v>4385</v>
      </c>
      <c r="D4094" t="s">
        <v>2917</v>
      </c>
      <c r="E4094" t="s">
        <v>78</v>
      </c>
      <c r="F4094" t="s">
        <v>252</v>
      </c>
      <c r="G4094">
        <v>7.2432999999999996</v>
      </c>
      <c r="H4094">
        <v>-76.436099999999996</v>
      </c>
      <c r="I4094" t="s">
        <v>4386</v>
      </c>
      <c r="J4094">
        <v>11</v>
      </c>
      <c r="M4094">
        <v>241</v>
      </c>
      <c r="N4094">
        <v>61</v>
      </c>
      <c r="O4094">
        <v>30</v>
      </c>
      <c r="P4094">
        <v>62</v>
      </c>
      <c r="Q4094">
        <v>40</v>
      </c>
      <c r="R4094">
        <v>49</v>
      </c>
    </row>
    <row r="4095" spans="1:18" x14ac:dyDescent="0.25">
      <c r="A4095" t="s">
        <v>4388</v>
      </c>
      <c r="B4095" t="s">
        <v>55</v>
      </c>
      <c r="C4095" t="s">
        <v>4385</v>
      </c>
      <c r="D4095" t="s">
        <v>2917</v>
      </c>
      <c r="E4095" t="s">
        <v>78</v>
      </c>
      <c r="F4095" t="s">
        <v>252</v>
      </c>
      <c r="G4095">
        <v>7.2432999999999996</v>
      </c>
      <c r="H4095">
        <v>-76.436099999999996</v>
      </c>
      <c r="I4095" t="s">
        <v>4386</v>
      </c>
      <c r="J4095">
        <v>11</v>
      </c>
      <c r="M4095">
        <v>238</v>
      </c>
      <c r="N4095">
        <v>56</v>
      </c>
      <c r="O4095">
        <v>38</v>
      </c>
      <c r="P4095">
        <v>50</v>
      </c>
      <c r="Q4095">
        <v>41</v>
      </c>
      <c r="R4095">
        <v>64</v>
      </c>
    </row>
    <row r="4096" spans="1:18" x14ac:dyDescent="0.25">
      <c r="A4096" t="s">
        <v>4389</v>
      </c>
      <c r="B4096" t="s">
        <v>55</v>
      </c>
      <c r="C4096" t="s">
        <v>4385</v>
      </c>
      <c r="D4096" t="s">
        <v>2917</v>
      </c>
      <c r="E4096" t="s">
        <v>78</v>
      </c>
      <c r="F4096" t="s">
        <v>252</v>
      </c>
      <c r="G4096">
        <v>7.2432999999999996</v>
      </c>
      <c r="H4096">
        <v>-76.436099999999996</v>
      </c>
      <c r="I4096" t="s">
        <v>4386</v>
      </c>
      <c r="J4096">
        <v>11</v>
      </c>
      <c r="M4096">
        <v>235</v>
      </c>
      <c r="N4096">
        <v>59</v>
      </c>
      <c r="O4096">
        <v>30</v>
      </c>
      <c r="P4096">
        <v>54</v>
      </c>
      <c r="Q4096">
        <v>43</v>
      </c>
      <c r="R4096">
        <v>55</v>
      </c>
    </row>
    <row r="4097" spans="1:18" x14ac:dyDescent="0.25">
      <c r="A4097" t="s">
        <v>4390</v>
      </c>
      <c r="B4097" t="s">
        <v>55</v>
      </c>
      <c r="C4097" t="s">
        <v>4385</v>
      </c>
      <c r="D4097" t="s">
        <v>2917</v>
      </c>
      <c r="E4097" t="s">
        <v>78</v>
      </c>
      <c r="F4097" t="s">
        <v>252</v>
      </c>
      <c r="G4097">
        <v>7.2432999999999996</v>
      </c>
      <c r="H4097">
        <v>-76.436099999999996</v>
      </c>
      <c r="I4097" t="s">
        <v>4386</v>
      </c>
      <c r="J4097">
        <v>11</v>
      </c>
      <c r="M4097">
        <v>220</v>
      </c>
      <c r="N4097">
        <v>63</v>
      </c>
      <c r="O4097">
        <v>24</v>
      </c>
      <c r="P4097">
        <v>48</v>
      </c>
      <c r="Q4097">
        <v>38</v>
      </c>
      <c r="R4097">
        <v>51</v>
      </c>
    </row>
    <row r="4098" spans="1:18" x14ac:dyDescent="0.25">
      <c r="A4098" t="s">
        <v>4391</v>
      </c>
      <c r="B4098" t="s">
        <v>55</v>
      </c>
      <c r="C4098" t="s">
        <v>4385</v>
      </c>
      <c r="D4098" t="s">
        <v>2917</v>
      </c>
      <c r="E4098" t="s">
        <v>78</v>
      </c>
      <c r="F4098" t="s">
        <v>252</v>
      </c>
      <c r="G4098">
        <v>7.2432999999999996</v>
      </c>
      <c r="H4098">
        <v>-76.436099999999996</v>
      </c>
      <c r="I4098" t="s">
        <v>4386</v>
      </c>
      <c r="J4098">
        <v>11</v>
      </c>
      <c r="M4098">
        <v>216</v>
      </c>
      <c r="N4098">
        <v>46</v>
      </c>
      <c r="O4098">
        <v>34</v>
      </c>
      <c r="P4098">
        <v>64</v>
      </c>
      <c r="Q4098">
        <v>29</v>
      </c>
      <c r="R4098">
        <v>42</v>
      </c>
    </row>
    <row r="4099" spans="1:18" x14ac:dyDescent="0.25">
      <c r="A4099" t="s">
        <v>4392</v>
      </c>
      <c r="B4099" t="s">
        <v>55</v>
      </c>
      <c r="C4099" t="s">
        <v>4385</v>
      </c>
      <c r="D4099" t="s">
        <v>2917</v>
      </c>
      <c r="E4099" t="s">
        <v>78</v>
      </c>
      <c r="F4099" t="s">
        <v>252</v>
      </c>
      <c r="G4099">
        <v>7.2432999999999996</v>
      </c>
      <c r="H4099">
        <v>-76.436099999999996</v>
      </c>
      <c r="I4099" t="s">
        <v>4386</v>
      </c>
      <c r="J4099">
        <v>11</v>
      </c>
      <c r="M4099">
        <v>214</v>
      </c>
      <c r="N4099">
        <v>41</v>
      </c>
      <c r="O4099">
        <v>28</v>
      </c>
      <c r="P4099">
        <v>62</v>
      </c>
      <c r="Q4099">
        <v>36</v>
      </c>
      <c r="R4099">
        <v>53</v>
      </c>
    </row>
    <row r="4100" spans="1:18" x14ac:dyDescent="0.25">
      <c r="A4100" t="s">
        <v>4393</v>
      </c>
      <c r="B4100" t="s">
        <v>55</v>
      </c>
      <c r="C4100" t="s">
        <v>4385</v>
      </c>
      <c r="D4100" t="s">
        <v>2917</v>
      </c>
      <c r="E4100" t="s">
        <v>78</v>
      </c>
      <c r="F4100" t="s">
        <v>252</v>
      </c>
      <c r="G4100">
        <v>7.2432999999999996</v>
      </c>
      <c r="H4100">
        <v>-76.436099999999996</v>
      </c>
      <c r="I4100" t="s">
        <v>4386</v>
      </c>
      <c r="J4100">
        <v>11</v>
      </c>
      <c r="M4100">
        <v>212</v>
      </c>
      <c r="N4100">
        <v>46</v>
      </c>
      <c r="O4100">
        <v>32</v>
      </c>
      <c r="P4100">
        <v>56</v>
      </c>
      <c r="Q4100">
        <v>31</v>
      </c>
      <c r="R4100">
        <v>55</v>
      </c>
    </row>
    <row r="4101" spans="1:18" x14ac:dyDescent="0.25">
      <c r="A4101" t="s">
        <v>4394</v>
      </c>
      <c r="B4101" t="s">
        <v>55</v>
      </c>
      <c r="C4101" t="s">
        <v>4385</v>
      </c>
      <c r="D4101" t="s">
        <v>2917</v>
      </c>
      <c r="E4101" t="s">
        <v>78</v>
      </c>
      <c r="F4101" t="s">
        <v>252</v>
      </c>
      <c r="G4101">
        <v>7.2432999999999996</v>
      </c>
      <c r="H4101">
        <v>-76.436099999999996</v>
      </c>
      <c r="I4101" t="s">
        <v>4386</v>
      </c>
      <c r="J4101">
        <v>11</v>
      </c>
      <c r="M4101">
        <v>211</v>
      </c>
      <c r="N4101">
        <v>54</v>
      </c>
      <c r="O4101">
        <v>24</v>
      </c>
      <c r="P4101">
        <v>50</v>
      </c>
      <c r="Q4101">
        <v>36</v>
      </c>
      <c r="R4101">
        <v>56</v>
      </c>
    </row>
    <row r="4102" spans="1:18" x14ac:dyDescent="0.25">
      <c r="A4102" t="s">
        <v>4395</v>
      </c>
      <c r="B4102" t="s">
        <v>55</v>
      </c>
      <c r="C4102" t="s">
        <v>4385</v>
      </c>
      <c r="D4102" t="s">
        <v>2917</v>
      </c>
      <c r="E4102" t="s">
        <v>78</v>
      </c>
      <c r="F4102" t="s">
        <v>252</v>
      </c>
      <c r="G4102">
        <v>7.2432999999999996</v>
      </c>
      <c r="H4102">
        <v>-76.436099999999996</v>
      </c>
      <c r="I4102" t="s">
        <v>4386</v>
      </c>
      <c r="J4102">
        <v>11</v>
      </c>
      <c r="M4102">
        <v>208</v>
      </c>
      <c r="N4102">
        <v>46</v>
      </c>
      <c r="O4102">
        <v>22</v>
      </c>
      <c r="P4102">
        <v>58</v>
      </c>
      <c r="Q4102">
        <v>36</v>
      </c>
      <c r="R4102">
        <v>53</v>
      </c>
    </row>
    <row r="4103" spans="1:18" x14ac:dyDescent="0.25">
      <c r="A4103" t="s">
        <v>4396</v>
      </c>
      <c r="B4103" t="s">
        <v>55</v>
      </c>
      <c r="C4103" t="s">
        <v>4385</v>
      </c>
      <c r="D4103" t="s">
        <v>2917</v>
      </c>
      <c r="E4103" t="s">
        <v>78</v>
      </c>
      <c r="F4103" t="s">
        <v>252</v>
      </c>
      <c r="G4103">
        <v>7.2432999999999996</v>
      </c>
      <c r="H4103">
        <v>-76.436099999999996</v>
      </c>
      <c r="I4103" t="s">
        <v>4386</v>
      </c>
      <c r="J4103">
        <v>11</v>
      </c>
      <c r="M4103">
        <v>202</v>
      </c>
      <c r="N4103">
        <v>51</v>
      </c>
      <c r="O4103">
        <v>26</v>
      </c>
      <c r="P4103">
        <v>56</v>
      </c>
      <c r="Q4103">
        <v>28</v>
      </c>
      <c r="R4103">
        <v>44</v>
      </c>
    </row>
    <row r="4104" spans="1:18" x14ac:dyDescent="0.25">
      <c r="A4104" t="s">
        <v>4397</v>
      </c>
      <c r="B4104" t="s">
        <v>55</v>
      </c>
      <c r="C4104" t="s">
        <v>4385</v>
      </c>
      <c r="D4104" t="s">
        <v>2917</v>
      </c>
      <c r="E4104" t="s">
        <v>78</v>
      </c>
      <c r="F4104" t="s">
        <v>252</v>
      </c>
      <c r="G4104">
        <v>7.2432999999999996</v>
      </c>
      <c r="H4104">
        <v>-76.436099999999996</v>
      </c>
      <c r="I4104" t="s">
        <v>4386</v>
      </c>
      <c r="J4104">
        <v>11</v>
      </c>
      <c r="M4104">
        <v>195</v>
      </c>
      <c r="N4104">
        <v>34</v>
      </c>
      <c r="O4104">
        <v>34</v>
      </c>
      <c r="P4104">
        <v>52</v>
      </c>
      <c r="Q4104">
        <v>34</v>
      </c>
      <c r="R4104">
        <v>44</v>
      </c>
    </row>
    <row r="4105" spans="1:18" x14ac:dyDescent="0.25">
      <c r="A4105" t="s">
        <v>4398</v>
      </c>
      <c r="B4105" t="s">
        <v>55</v>
      </c>
      <c r="C4105" t="s">
        <v>4385</v>
      </c>
      <c r="D4105" t="s">
        <v>2917</v>
      </c>
      <c r="E4105" t="s">
        <v>78</v>
      </c>
      <c r="F4105" t="s">
        <v>252</v>
      </c>
      <c r="G4105">
        <v>7.2432999999999996</v>
      </c>
      <c r="H4105">
        <v>-76.436099999999996</v>
      </c>
      <c r="I4105" t="s">
        <v>4386</v>
      </c>
      <c r="J4105">
        <v>11</v>
      </c>
      <c r="M4105">
        <v>195</v>
      </c>
      <c r="N4105">
        <v>49</v>
      </c>
      <c r="O4105">
        <v>26</v>
      </c>
      <c r="P4105">
        <v>52</v>
      </c>
      <c r="Q4105">
        <v>33</v>
      </c>
      <c r="R4105">
        <v>27</v>
      </c>
    </row>
    <row r="4106" spans="1:18" x14ac:dyDescent="0.25">
      <c r="A4106" t="s">
        <v>4399</v>
      </c>
      <c r="B4106" t="s">
        <v>55</v>
      </c>
      <c r="C4106" t="s">
        <v>4385</v>
      </c>
      <c r="D4106" t="s">
        <v>2917</v>
      </c>
      <c r="E4106" t="s">
        <v>78</v>
      </c>
      <c r="F4106" t="s">
        <v>252</v>
      </c>
      <c r="G4106">
        <v>7.2432999999999996</v>
      </c>
      <c r="H4106">
        <v>-76.436099999999996</v>
      </c>
      <c r="I4106" t="s">
        <v>4386</v>
      </c>
      <c r="J4106">
        <v>11</v>
      </c>
      <c r="M4106">
        <v>191</v>
      </c>
      <c r="N4106">
        <v>49</v>
      </c>
      <c r="O4106">
        <v>24</v>
      </c>
      <c r="P4106">
        <v>46</v>
      </c>
      <c r="Q4106">
        <v>33</v>
      </c>
      <c r="R4106">
        <v>42</v>
      </c>
    </row>
    <row r="4107" spans="1:18" x14ac:dyDescent="0.25">
      <c r="A4107" t="s">
        <v>4400</v>
      </c>
      <c r="B4107" t="s">
        <v>55</v>
      </c>
      <c r="C4107" t="s">
        <v>4385</v>
      </c>
      <c r="D4107" t="s">
        <v>2917</v>
      </c>
      <c r="E4107" t="s">
        <v>78</v>
      </c>
      <c r="F4107" t="s">
        <v>252</v>
      </c>
      <c r="G4107">
        <v>7.2432999999999996</v>
      </c>
      <c r="H4107">
        <v>-76.436099999999996</v>
      </c>
      <c r="I4107" t="s">
        <v>4386</v>
      </c>
      <c r="J4107">
        <v>11</v>
      </c>
      <c r="M4107">
        <v>186</v>
      </c>
      <c r="N4107">
        <v>37</v>
      </c>
      <c r="O4107">
        <v>38</v>
      </c>
      <c r="P4107">
        <v>46</v>
      </c>
      <c r="Q4107">
        <v>26</v>
      </c>
      <c r="R4107">
        <v>45</v>
      </c>
    </row>
    <row r="4108" spans="1:18" x14ac:dyDescent="0.25">
      <c r="A4108" t="s">
        <v>4401</v>
      </c>
      <c r="B4108" t="s">
        <v>55</v>
      </c>
      <c r="C4108" t="s">
        <v>4385</v>
      </c>
      <c r="D4108" t="s">
        <v>2917</v>
      </c>
      <c r="E4108" t="s">
        <v>78</v>
      </c>
      <c r="F4108" t="s">
        <v>252</v>
      </c>
      <c r="G4108">
        <v>7.2432999999999996</v>
      </c>
      <c r="H4108">
        <v>-76.436099999999996</v>
      </c>
      <c r="I4108" t="s">
        <v>4386</v>
      </c>
      <c r="J4108">
        <v>11</v>
      </c>
      <c r="M4108">
        <v>182</v>
      </c>
      <c r="N4108">
        <v>49</v>
      </c>
      <c r="O4108">
        <v>20</v>
      </c>
      <c r="P4108">
        <v>50</v>
      </c>
      <c r="Q4108">
        <v>24</v>
      </c>
      <c r="R4108">
        <v>44</v>
      </c>
    </row>
    <row r="4109" spans="1:18" x14ac:dyDescent="0.25">
      <c r="A4109" t="s">
        <v>4402</v>
      </c>
      <c r="B4109" t="s">
        <v>55</v>
      </c>
      <c r="C4109" t="s">
        <v>4385</v>
      </c>
      <c r="D4109" t="s">
        <v>2917</v>
      </c>
      <c r="E4109" t="s">
        <v>78</v>
      </c>
      <c r="F4109" t="s">
        <v>252</v>
      </c>
      <c r="G4109">
        <v>7.2432999999999996</v>
      </c>
      <c r="H4109">
        <v>-76.436099999999996</v>
      </c>
      <c r="I4109" t="s">
        <v>4386</v>
      </c>
      <c r="J4109">
        <v>11</v>
      </c>
      <c r="M4109">
        <v>179</v>
      </c>
      <c r="N4109">
        <v>41</v>
      </c>
      <c r="O4109">
        <v>30</v>
      </c>
      <c r="P4109">
        <v>44</v>
      </c>
      <c r="Q4109">
        <v>22</v>
      </c>
      <c r="R4109">
        <v>51</v>
      </c>
    </row>
    <row r="4110" spans="1:18" x14ac:dyDescent="0.25">
      <c r="A4110" t="s">
        <v>4403</v>
      </c>
      <c r="B4110" t="s">
        <v>55</v>
      </c>
      <c r="C4110" t="s">
        <v>4385</v>
      </c>
      <c r="D4110" t="s">
        <v>2917</v>
      </c>
      <c r="E4110" t="s">
        <v>78</v>
      </c>
      <c r="F4110" t="s">
        <v>252</v>
      </c>
      <c r="G4110">
        <v>7.2432999999999996</v>
      </c>
      <c r="H4110">
        <v>-76.436099999999996</v>
      </c>
      <c r="I4110" t="s">
        <v>4386</v>
      </c>
      <c r="J4110">
        <v>11</v>
      </c>
      <c r="M4110">
        <v>170</v>
      </c>
      <c r="N4110">
        <v>39</v>
      </c>
      <c r="O4110">
        <v>14</v>
      </c>
      <c r="P4110">
        <v>48</v>
      </c>
      <c r="Q4110">
        <v>34</v>
      </c>
      <c r="R4110">
        <v>36</v>
      </c>
    </row>
    <row r="4111" spans="1:18" x14ac:dyDescent="0.25">
      <c r="A4111" t="s">
        <v>4404</v>
      </c>
      <c r="B4111" t="s">
        <v>55</v>
      </c>
      <c r="C4111" t="s">
        <v>4385</v>
      </c>
      <c r="D4111" t="s">
        <v>2917</v>
      </c>
      <c r="E4111" t="s">
        <v>78</v>
      </c>
      <c r="F4111" t="s">
        <v>252</v>
      </c>
      <c r="G4111">
        <v>7.2432999999999996</v>
      </c>
      <c r="H4111">
        <v>-76.436099999999996</v>
      </c>
      <c r="I4111" t="s">
        <v>4386</v>
      </c>
      <c r="J4111">
        <v>11</v>
      </c>
      <c r="M4111">
        <v>159</v>
      </c>
      <c r="N4111">
        <v>34</v>
      </c>
      <c r="O4111">
        <v>24</v>
      </c>
      <c r="P4111">
        <v>40</v>
      </c>
      <c r="Q4111">
        <v>24</v>
      </c>
      <c r="R4111">
        <v>47</v>
      </c>
    </row>
    <row r="4112" spans="1:18" x14ac:dyDescent="0.25">
      <c r="A4112" t="s">
        <v>4405</v>
      </c>
      <c r="B4112" t="s">
        <v>55</v>
      </c>
      <c r="C4112" t="s">
        <v>4385</v>
      </c>
      <c r="D4112" t="s">
        <v>2917</v>
      </c>
      <c r="E4112" t="s">
        <v>78</v>
      </c>
      <c r="F4112" t="s">
        <v>252</v>
      </c>
      <c r="G4112">
        <v>7.2432999999999996</v>
      </c>
      <c r="H4112">
        <v>-76.436099999999996</v>
      </c>
      <c r="I4112" t="s">
        <v>4386</v>
      </c>
      <c r="J4112">
        <v>11</v>
      </c>
      <c r="M4112">
        <v>146</v>
      </c>
      <c r="N4112">
        <v>29</v>
      </c>
      <c r="O4112">
        <v>22</v>
      </c>
      <c r="P4112">
        <v>28</v>
      </c>
      <c r="Q4112">
        <v>29</v>
      </c>
      <c r="R4112">
        <v>53</v>
      </c>
    </row>
    <row r="4113" spans="1:18" x14ac:dyDescent="0.25">
      <c r="A4113" t="s">
        <v>4406</v>
      </c>
      <c r="B4113" t="s">
        <v>55</v>
      </c>
      <c r="C4113" t="s">
        <v>4385</v>
      </c>
      <c r="D4113" t="s">
        <v>2917</v>
      </c>
      <c r="E4113" t="s">
        <v>78</v>
      </c>
      <c r="F4113" t="s">
        <v>252</v>
      </c>
      <c r="G4113">
        <v>7.2432999999999996</v>
      </c>
      <c r="H4113">
        <v>-76.436099999999996</v>
      </c>
      <c r="I4113" t="s">
        <v>4386</v>
      </c>
      <c r="J4113">
        <v>11</v>
      </c>
      <c r="M4113">
        <v>133</v>
      </c>
      <c r="N4113">
        <v>15</v>
      </c>
      <c r="O4113">
        <v>24</v>
      </c>
      <c r="P4113">
        <v>32</v>
      </c>
      <c r="Q4113">
        <v>33</v>
      </c>
      <c r="R4113">
        <v>36</v>
      </c>
    </row>
    <row r="4114" spans="1:18" x14ac:dyDescent="0.25">
      <c r="A4114" t="s">
        <v>4407</v>
      </c>
      <c r="B4114" t="s">
        <v>55</v>
      </c>
      <c r="C4114" t="s">
        <v>4385</v>
      </c>
      <c r="D4114" t="s">
        <v>2917</v>
      </c>
      <c r="E4114" t="s">
        <v>78</v>
      </c>
      <c r="F4114" t="s">
        <v>252</v>
      </c>
      <c r="G4114">
        <v>7.2432999999999996</v>
      </c>
      <c r="H4114">
        <v>-76.436099999999996</v>
      </c>
      <c r="I4114" t="s">
        <v>4386</v>
      </c>
      <c r="J4114">
        <v>11</v>
      </c>
      <c r="M4114">
        <v>118</v>
      </c>
      <c r="N4114">
        <v>22</v>
      </c>
      <c r="O4114">
        <v>26</v>
      </c>
      <c r="P4114">
        <v>26</v>
      </c>
      <c r="Q4114">
        <v>21</v>
      </c>
      <c r="R4114">
        <v>24</v>
      </c>
    </row>
    <row r="4115" spans="1:18" x14ac:dyDescent="0.25">
      <c r="A4115" t="s">
        <v>4408</v>
      </c>
      <c r="B4115" t="s">
        <v>55</v>
      </c>
      <c r="C4115" t="s">
        <v>4385</v>
      </c>
      <c r="D4115" t="s">
        <v>2917</v>
      </c>
      <c r="E4115" t="s">
        <v>78</v>
      </c>
      <c r="F4115" t="s">
        <v>252</v>
      </c>
      <c r="G4115">
        <v>7.2432999999999996</v>
      </c>
      <c r="H4115">
        <v>-76.436099999999996</v>
      </c>
      <c r="I4115" t="s">
        <v>4386</v>
      </c>
      <c r="J4115">
        <v>11</v>
      </c>
      <c r="M4115">
        <v>117</v>
      </c>
      <c r="N4115">
        <v>27</v>
      </c>
      <c r="O4115">
        <v>16</v>
      </c>
      <c r="P4115">
        <v>26</v>
      </c>
      <c r="Q4115">
        <v>22</v>
      </c>
      <c r="R4115">
        <v>31</v>
      </c>
    </row>
    <row r="4116" spans="1:18" x14ac:dyDescent="0.25">
      <c r="A4116" t="s">
        <v>4409</v>
      </c>
      <c r="B4116" t="s">
        <v>55</v>
      </c>
      <c r="C4116" t="s">
        <v>4385</v>
      </c>
      <c r="D4116" t="s">
        <v>2917</v>
      </c>
      <c r="E4116" t="s">
        <v>78</v>
      </c>
      <c r="F4116" t="s">
        <v>252</v>
      </c>
      <c r="G4116">
        <v>7.2432999999999996</v>
      </c>
      <c r="H4116">
        <v>-76.436099999999996</v>
      </c>
      <c r="I4116" t="s">
        <v>4386</v>
      </c>
      <c r="J4116">
        <v>11</v>
      </c>
      <c r="M4116">
        <v>108</v>
      </c>
      <c r="N4116">
        <v>29</v>
      </c>
      <c r="O4116">
        <v>12</v>
      </c>
      <c r="P4116">
        <v>32</v>
      </c>
      <c r="Q4116">
        <v>21</v>
      </c>
      <c r="R4116">
        <v>0</v>
      </c>
    </row>
    <row r="4117" spans="1:18" x14ac:dyDescent="0.25">
      <c r="A4117" t="s">
        <v>4410</v>
      </c>
      <c r="B4117" t="s">
        <v>55</v>
      </c>
      <c r="C4117" t="s">
        <v>4411</v>
      </c>
      <c r="D4117" t="s">
        <v>4412</v>
      </c>
      <c r="E4117" t="s">
        <v>78</v>
      </c>
      <c r="F4117" t="s">
        <v>252</v>
      </c>
      <c r="G4117">
        <v>6.1882999999999999</v>
      </c>
      <c r="H4117">
        <v>-74.458470000000005</v>
      </c>
      <c r="I4117" t="s">
        <v>4413</v>
      </c>
      <c r="J4117">
        <v>11</v>
      </c>
      <c r="M4117">
        <v>226</v>
      </c>
      <c r="N4117">
        <v>54</v>
      </c>
      <c r="O4117">
        <v>34</v>
      </c>
      <c r="P4117">
        <v>60</v>
      </c>
      <c r="Q4117">
        <v>33</v>
      </c>
      <c r="R4117">
        <v>45</v>
      </c>
    </row>
    <row r="4118" spans="1:18" x14ac:dyDescent="0.25">
      <c r="A4118" t="s">
        <v>4414</v>
      </c>
      <c r="B4118" t="s">
        <v>55</v>
      </c>
      <c r="C4118" t="s">
        <v>4411</v>
      </c>
      <c r="D4118" t="s">
        <v>4412</v>
      </c>
      <c r="E4118" t="s">
        <v>78</v>
      </c>
      <c r="F4118" t="s">
        <v>252</v>
      </c>
      <c r="G4118">
        <v>6.1882999999999999</v>
      </c>
      <c r="H4118">
        <v>-74.458470000000005</v>
      </c>
      <c r="I4118" t="s">
        <v>4413</v>
      </c>
      <c r="J4118">
        <v>11</v>
      </c>
      <c r="M4118">
        <v>220</v>
      </c>
      <c r="N4118">
        <v>44</v>
      </c>
      <c r="O4118">
        <v>36</v>
      </c>
      <c r="P4118">
        <v>52</v>
      </c>
      <c r="Q4118">
        <v>43</v>
      </c>
      <c r="R4118">
        <v>47</v>
      </c>
    </row>
    <row r="4119" spans="1:18" x14ac:dyDescent="0.25">
      <c r="A4119" t="s">
        <v>4415</v>
      </c>
      <c r="B4119" t="s">
        <v>55</v>
      </c>
      <c r="C4119" t="s">
        <v>4411</v>
      </c>
      <c r="D4119" t="s">
        <v>4412</v>
      </c>
      <c r="E4119" t="s">
        <v>78</v>
      </c>
      <c r="F4119" t="s">
        <v>252</v>
      </c>
      <c r="G4119">
        <v>6.1882999999999999</v>
      </c>
      <c r="H4119">
        <v>-74.458470000000005</v>
      </c>
      <c r="I4119" t="s">
        <v>4413</v>
      </c>
      <c r="J4119">
        <v>11</v>
      </c>
      <c r="M4119">
        <v>214</v>
      </c>
      <c r="N4119">
        <v>56</v>
      </c>
      <c r="O4119">
        <v>38</v>
      </c>
      <c r="P4119">
        <v>40</v>
      </c>
      <c r="Q4119">
        <v>33</v>
      </c>
      <c r="R4119">
        <v>56</v>
      </c>
    </row>
    <row r="4120" spans="1:18" x14ac:dyDescent="0.25">
      <c r="A4120" t="s">
        <v>4416</v>
      </c>
      <c r="B4120" t="s">
        <v>55</v>
      </c>
      <c r="C4120" t="s">
        <v>4411</v>
      </c>
      <c r="D4120" t="s">
        <v>4412</v>
      </c>
      <c r="E4120" t="s">
        <v>78</v>
      </c>
      <c r="F4120" t="s">
        <v>252</v>
      </c>
      <c r="G4120">
        <v>6.1882999999999999</v>
      </c>
      <c r="H4120">
        <v>-74.458470000000005</v>
      </c>
      <c r="I4120" t="s">
        <v>4413</v>
      </c>
      <c r="J4120">
        <v>11</v>
      </c>
      <c r="M4120">
        <v>211</v>
      </c>
      <c r="N4120">
        <v>63</v>
      </c>
      <c r="O4120">
        <v>26</v>
      </c>
      <c r="P4120">
        <v>46</v>
      </c>
      <c r="Q4120">
        <v>31</v>
      </c>
      <c r="R4120">
        <v>49</v>
      </c>
    </row>
    <row r="4121" spans="1:18" x14ac:dyDescent="0.25">
      <c r="A4121" t="s">
        <v>4417</v>
      </c>
      <c r="B4121" t="s">
        <v>55</v>
      </c>
      <c r="C4121" t="s">
        <v>4411</v>
      </c>
      <c r="D4121" t="s">
        <v>4412</v>
      </c>
      <c r="E4121" t="s">
        <v>78</v>
      </c>
      <c r="F4121" t="s">
        <v>252</v>
      </c>
      <c r="G4121">
        <v>6.1882999999999999</v>
      </c>
      <c r="H4121">
        <v>-74.458470000000005</v>
      </c>
      <c r="I4121" t="s">
        <v>4413</v>
      </c>
      <c r="J4121">
        <v>11</v>
      </c>
      <c r="M4121">
        <v>210</v>
      </c>
      <c r="N4121">
        <v>54</v>
      </c>
      <c r="O4121">
        <v>30</v>
      </c>
      <c r="P4121">
        <v>54</v>
      </c>
      <c r="Q4121">
        <v>29</v>
      </c>
      <c r="R4121">
        <v>45</v>
      </c>
    </row>
    <row r="4122" spans="1:18" x14ac:dyDescent="0.25">
      <c r="A4122" t="s">
        <v>4418</v>
      </c>
      <c r="B4122" t="s">
        <v>55</v>
      </c>
      <c r="C4122" t="s">
        <v>4411</v>
      </c>
      <c r="D4122" t="s">
        <v>4412</v>
      </c>
      <c r="E4122" t="s">
        <v>78</v>
      </c>
      <c r="F4122" t="s">
        <v>252</v>
      </c>
      <c r="G4122">
        <v>6.1882999999999999</v>
      </c>
      <c r="H4122">
        <v>-74.458470000000005</v>
      </c>
      <c r="I4122" t="s">
        <v>4413</v>
      </c>
      <c r="J4122">
        <v>11</v>
      </c>
      <c r="M4122">
        <v>201</v>
      </c>
      <c r="N4122">
        <v>51</v>
      </c>
      <c r="O4122">
        <v>34</v>
      </c>
      <c r="P4122">
        <v>44</v>
      </c>
      <c r="Q4122">
        <v>29</v>
      </c>
      <c r="R4122">
        <v>47</v>
      </c>
    </row>
    <row r="4123" spans="1:18" x14ac:dyDescent="0.25">
      <c r="A4123" t="s">
        <v>4419</v>
      </c>
      <c r="B4123" t="s">
        <v>55</v>
      </c>
      <c r="C4123" t="s">
        <v>4411</v>
      </c>
      <c r="D4123" t="s">
        <v>4412</v>
      </c>
      <c r="E4123" t="s">
        <v>78</v>
      </c>
      <c r="F4123" t="s">
        <v>252</v>
      </c>
      <c r="G4123">
        <v>6.1882999999999999</v>
      </c>
      <c r="H4123">
        <v>-74.458470000000005</v>
      </c>
      <c r="I4123" t="s">
        <v>4413</v>
      </c>
      <c r="J4123">
        <v>11</v>
      </c>
      <c r="M4123">
        <v>195</v>
      </c>
      <c r="N4123">
        <v>39</v>
      </c>
      <c r="O4123">
        <v>36</v>
      </c>
      <c r="P4123">
        <v>54</v>
      </c>
      <c r="Q4123">
        <v>31</v>
      </c>
      <c r="R4123">
        <v>27</v>
      </c>
    </row>
    <row r="4124" spans="1:18" x14ac:dyDescent="0.25">
      <c r="A4124" t="s">
        <v>4420</v>
      </c>
      <c r="B4124" t="s">
        <v>55</v>
      </c>
      <c r="C4124" t="s">
        <v>4411</v>
      </c>
      <c r="D4124" t="s">
        <v>4412</v>
      </c>
      <c r="E4124" t="s">
        <v>78</v>
      </c>
      <c r="F4124" t="s">
        <v>252</v>
      </c>
      <c r="G4124">
        <v>6.1882999999999999</v>
      </c>
      <c r="H4124">
        <v>-74.458470000000005</v>
      </c>
      <c r="I4124" t="s">
        <v>4413</v>
      </c>
      <c r="J4124">
        <v>11</v>
      </c>
      <c r="M4124">
        <v>194</v>
      </c>
      <c r="N4124">
        <v>44</v>
      </c>
      <c r="O4124">
        <v>28</v>
      </c>
      <c r="P4124">
        <v>48</v>
      </c>
      <c r="Q4124">
        <v>33</v>
      </c>
      <c r="R4124">
        <v>47</v>
      </c>
    </row>
    <row r="4125" spans="1:18" x14ac:dyDescent="0.25">
      <c r="A4125" t="s">
        <v>4421</v>
      </c>
      <c r="B4125" t="s">
        <v>55</v>
      </c>
      <c r="C4125" t="s">
        <v>4411</v>
      </c>
      <c r="D4125" t="s">
        <v>4412</v>
      </c>
      <c r="E4125" t="s">
        <v>78</v>
      </c>
      <c r="F4125" t="s">
        <v>252</v>
      </c>
      <c r="G4125">
        <v>6.1882999999999999</v>
      </c>
      <c r="H4125">
        <v>-74.458470000000005</v>
      </c>
      <c r="I4125" t="s">
        <v>4413</v>
      </c>
      <c r="J4125">
        <v>11</v>
      </c>
      <c r="M4125">
        <v>189</v>
      </c>
      <c r="N4125">
        <v>44</v>
      </c>
      <c r="O4125">
        <v>24</v>
      </c>
      <c r="P4125">
        <v>48</v>
      </c>
      <c r="Q4125">
        <v>40</v>
      </c>
      <c r="R4125">
        <v>25</v>
      </c>
    </row>
    <row r="4126" spans="1:18" x14ac:dyDescent="0.25">
      <c r="A4126" t="s">
        <v>4422</v>
      </c>
      <c r="B4126" t="s">
        <v>55</v>
      </c>
      <c r="C4126" t="s">
        <v>4411</v>
      </c>
      <c r="D4126" t="s">
        <v>4412</v>
      </c>
      <c r="E4126" t="s">
        <v>78</v>
      </c>
      <c r="F4126" t="s">
        <v>252</v>
      </c>
      <c r="G4126">
        <v>6.1882999999999999</v>
      </c>
      <c r="H4126">
        <v>-74.458470000000005</v>
      </c>
      <c r="I4126" t="s">
        <v>4413</v>
      </c>
      <c r="J4126">
        <v>11</v>
      </c>
      <c r="M4126">
        <v>186</v>
      </c>
      <c r="N4126">
        <v>39</v>
      </c>
      <c r="O4126">
        <v>40</v>
      </c>
      <c r="P4126">
        <v>48</v>
      </c>
      <c r="Q4126">
        <v>24</v>
      </c>
      <c r="R4126">
        <v>29</v>
      </c>
    </row>
    <row r="4127" spans="1:18" x14ac:dyDescent="0.25">
      <c r="A4127" t="s">
        <v>4423</v>
      </c>
      <c r="B4127" t="s">
        <v>55</v>
      </c>
      <c r="C4127" t="s">
        <v>4411</v>
      </c>
      <c r="D4127" t="s">
        <v>4412</v>
      </c>
      <c r="E4127" t="s">
        <v>78</v>
      </c>
      <c r="F4127" t="s">
        <v>252</v>
      </c>
      <c r="G4127">
        <v>6.1882999999999999</v>
      </c>
      <c r="H4127">
        <v>-74.458470000000005</v>
      </c>
      <c r="I4127" t="s">
        <v>4413</v>
      </c>
      <c r="J4127">
        <v>11</v>
      </c>
      <c r="M4127">
        <v>178</v>
      </c>
      <c r="N4127">
        <v>22</v>
      </c>
      <c r="O4127">
        <v>30</v>
      </c>
      <c r="P4127">
        <v>52</v>
      </c>
      <c r="Q4127">
        <v>34</v>
      </c>
      <c r="R4127">
        <v>47</v>
      </c>
    </row>
    <row r="4128" spans="1:18" x14ac:dyDescent="0.25">
      <c r="A4128" t="s">
        <v>4424</v>
      </c>
      <c r="B4128" t="s">
        <v>55</v>
      </c>
      <c r="C4128" t="s">
        <v>4411</v>
      </c>
      <c r="D4128" t="s">
        <v>4412</v>
      </c>
      <c r="E4128" t="s">
        <v>78</v>
      </c>
      <c r="F4128" t="s">
        <v>252</v>
      </c>
      <c r="G4128">
        <v>6.1882999999999999</v>
      </c>
      <c r="H4128">
        <v>-74.458470000000005</v>
      </c>
      <c r="I4128" t="s">
        <v>4413</v>
      </c>
      <c r="J4128">
        <v>11</v>
      </c>
      <c r="M4128">
        <v>176</v>
      </c>
      <c r="N4128">
        <v>34</v>
      </c>
      <c r="O4128">
        <v>26</v>
      </c>
      <c r="P4128">
        <v>40</v>
      </c>
      <c r="Q4128">
        <v>33</v>
      </c>
      <c r="R4128">
        <v>58</v>
      </c>
    </row>
    <row r="4129" spans="1:18" x14ac:dyDescent="0.25">
      <c r="A4129" t="s">
        <v>4425</v>
      </c>
      <c r="B4129" t="s">
        <v>55</v>
      </c>
      <c r="C4129" t="s">
        <v>4411</v>
      </c>
      <c r="D4129" t="s">
        <v>4412</v>
      </c>
      <c r="E4129" t="s">
        <v>78</v>
      </c>
      <c r="F4129" t="s">
        <v>252</v>
      </c>
      <c r="G4129">
        <v>6.1882999999999999</v>
      </c>
      <c r="H4129">
        <v>-74.458470000000005</v>
      </c>
      <c r="I4129" t="s">
        <v>4413</v>
      </c>
      <c r="J4129">
        <v>11</v>
      </c>
      <c r="M4129">
        <v>175</v>
      </c>
      <c r="N4129">
        <v>51</v>
      </c>
      <c r="O4129">
        <v>26</v>
      </c>
      <c r="P4129">
        <v>48</v>
      </c>
      <c r="Q4129">
        <v>14</v>
      </c>
      <c r="R4129">
        <v>38</v>
      </c>
    </row>
    <row r="4130" spans="1:18" x14ac:dyDescent="0.25">
      <c r="A4130" t="s">
        <v>4426</v>
      </c>
      <c r="B4130" t="s">
        <v>55</v>
      </c>
      <c r="C4130" t="s">
        <v>4411</v>
      </c>
      <c r="D4130" t="s">
        <v>4412</v>
      </c>
      <c r="E4130" t="s">
        <v>78</v>
      </c>
      <c r="F4130" t="s">
        <v>252</v>
      </c>
      <c r="G4130">
        <v>6.1882999999999999</v>
      </c>
      <c r="H4130">
        <v>-74.458470000000005</v>
      </c>
      <c r="I4130" t="s">
        <v>4413</v>
      </c>
      <c r="J4130">
        <v>11</v>
      </c>
      <c r="M4130">
        <v>173</v>
      </c>
      <c r="N4130">
        <v>49</v>
      </c>
      <c r="O4130">
        <v>24</v>
      </c>
      <c r="P4130">
        <v>34</v>
      </c>
      <c r="Q4130">
        <v>28</v>
      </c>
      <c r="R4130">
        <v>47</v>
      </c>
    </row>
    <row r="4131" spans="1:18" x14ac:dyDescent="0.25">
      <c r="A4131" t="s">
        <v>4427</v>
      </c>
      <c r="B4131" t="s">
        <v>55</v>
      </c>
      <c r="C4131" t="s">
        <v>4411</v>
      </c>
      <c r="D4131" t="s">
        <v>4412</v>
      </c>
      <c r="E4131" t="s">
        <v>78</v>
      </c>
      <c r="F4131" t="s">
        <v>252</v>
      </c>
      <c r="G4131">
        <v>6.1882999999999999</v>
      </c>
      <c r="H4131">
        <v>-74.458470000000005</v>
      </c>
      <c r="I4131" t="s">
        <v>4413</v>
      </c>
      <c r="J4131">
        <v>11</v>
      </c>
      <c r="M4131">
        <v>172</v>
      </c>
      <c r="N4131">
        <v>32</v>
      </c>
      <c r="O4131">
        <v>26</v>
      </c>
      <c r="P4131">
        <v>46</v>
      </c>
      <c r="Q4131">
        <v>31</v>
      </c>
      <c r="R4131">
        <v>44</v>
      </c>
    </row>
    <row r="4132" spans="1:18" x14ac:dyDescent="0.25">
      <c r="A4132" t="s">
        <v>4428</v>
      </c>
      <c r="B4132" t="s">
        <v>55</v>
      </c>
      <c r="C4132" t="s">
        <v>4411</v>
      </c>
      <c r="D4132" t="s">
        <v>4412</v>
      </c>
      <c r="E4132" t="s">
        <v>78</v>
      </c>
      <c r="F4132" t="s">
        <v>252</v>
      </c>
      <c r="G4132">
        <v>6.1882999999999999</v>
      </c>
      <c r="H4132">
        <v>-74.458470000000005</v>
      </c>
      <c r="I4132" t="s">
        <v>4413</v>
      </c>
      <c r="J4132">
        <v>11</v>
      </c>
      <c r="M4132">
        <v>169</v>
      </c>
      <c r="N4132">
        <v>46</v>
      </c>
      <c r="O4132">
        <v>28</v>
      </c>
      <c r="P4132">
        <v>30</v>
      </c>
      <c r="Q4132">
        <v>28</v>
      </c>
      <c r="R4132">
        <v>44</v>
      </c>
    </row>
    <row r="4133" spans="1:18" x14ac:dyDescent="0.25">
      <c r="A4133" t="s">
        <v>4429</v>
      </c>
      <c r="B4133" t="s">
        <v>55</v>
      </c>
      <c r="C4133" t="s">
        <v>4411</v>
      </c>
      <c r="D4133" t="s">
        <v>4412</v>
      </c>
      <c r="E4133" t="s">
        <v>78</v>
      </c>
      <c r="F4133" t="s">
        <v>252</v>
      </c>
      <c r="G4133">
        <v>6.1882999999999999</v>
      </c>
      <c r="H4133">
        <v>-74.458470000000005</v>
      </c>
      <c r="I4133" t="s">
        <v>4413</v>
      </c>
      <c r="J4133">
        <v>11</v>
      </c>
      <c r="M4133">
        <v>164</v>
      </c>
      <c r="N4133">
        <v>44</v>
      </c>
      <c r="O4133">
        <v>28</v>
      </c>
      <c r="P4133">
        <v>28</v>
      </c>
      <c r="Q4133">
        <v>26</v>
      </c>
      <c r="R4133">
        <v>49</v>
      </c>
    </row>
    <row r="4134" spans="1:18" x14ac:dyDescent="0.25">
      <c r="A4134" t="s">
        <v>4430</v>
      </c>
      <c r="B4134" t="s">
        <v>55</v>
      </c>
      <c r="C4134" t="s">
        <v>4411</v>
      </c>
      <c r="D4134" t="s">
        <v>4412</v>
      </c>
      <c r="E4134" t="s">
        <v>78</v>
      </c>
      <c r="F4134" t="s">
        <v>252</v>
      </c>
      <c r="G4134">
        <v>6.1882999999999999</v>
      </c>
      <c r="H4134">
        <v>-74.458470000000005</v>
      </c>
      <c r="I4134" t="s">
        <v>4413</v>
      </c>
      <c r="J4134">
        <v>11</v>
      </c>
      <c r="M4134">
        <v>163</v>
      </c>
      <c r="N4134">
        <v>49</v>
      </c>
      <c r="O4134">
        <v>18</v>
      </c>
      <c r="P4134">
        <v>30</v>
      </c>
      <c r="Q4134">
        <v>34</v>
      </c>
      <c r="R4134">
        <v>31</v>
      </c>
    </row>
    <row r="4135" spans="1:18" x14ac:dyDescent="0.25">
      <c r="A4135" t="s">
        <v>4431</v>
      </c>
      <c r="B4135" t="s">
        <v>55</v>
      </c>
      <c r="C4135" t="s">
        <v>4411</v>
      </c>
      <c r="D4135" t="s">
        <v>4412</v>
      </c>
      <c r="E4135" t="s">
        <v>78</v>
      </c>
      <c r="F4135" t="s">
        <v>252</v>
      </c>
      <c r="G4135">
        <v>6.1882999999999999</v>
      </c>
      <c r="H4135">
        <v>-74.458470000000005</v>
      </c>
      <c r="I4135" t="s">
        <v>4413</v>
      </c>
      <c r="J4135">
        <v>11</v>
      </c>
      <c r="M4135">
        <v>162</v>
      </c>
      <c r="N4135">
        <v>39</v>
      </c>
      <c r="O4135">
        <v>28</v>
      </c>
      <c r="P4135">
        <v>30</v>
      </c>
      <c r="Q4135">
        <v>34</v>
      </c>
      <c r="R4135">
        <v>25</v>
      </c>
    </row>
    <row r="4136" spans="1:18" x14ac:dyDescent="0.25">
      <c r="A4136" t="s">
        <v>4432</v>
      </c>
      <c r="B4136" t="s">
        <v>55</v>
      </c>
      <c r="C4136" t="s">
        <v>4411</v>
      </c>
      <c r="D4136" t="s">
        <v>4412</v>
      </c>
      <c r="E4136" t="s">
        <v>78</v>
      </c>
      <c r="F4136" t="s">
        <v>252</v>
      </c>
      <c r="G4136">
        <v>6.1882999999999999</v>
      </c>
      <c r="H4136">
        <v>-74.458470000000005</v>
      </c>
      <c r="I4136" t="s">
        <v>4413</v>
      </c>
      <c r="J4136">
        <v>11</v>
      </c>
      <c r="M4136">
        <v>157</v>
      </c>
      <c r="N4136">
        <v>39</v>
      </c>
      <c r="O4136">
        <v>14</v>
      </c>
      <c r="P4136">
        <v>40</v>
      </c>
      <c r="Q4136">
        <v>29</v>
      </c>
      <c r="R4136">
        <v>40</v>
      </c>
    </row>
    <row r="4137" spans="1:18" x14ac:dyDescent="0.25">
      <c r="A4137" t="s">
        <v>4433</v>
      </c>
      <c r="B4137" t="s">
        <v>55</v>
      </c>
      <c r="C4137" t="s">
        <v>4411</v>
      </c>
      <c r="D4137" t="s">
        <v>4412</v>
      </c>
      <c r="E4137" t="s">
        <v>78</v>
      </c>
      <c r="F4137" t="s">
        <v>252</v>
      </c>
      <c r="G4137">
        <v>6.1882999999999999</v>
      </c>
      <c r="H4137">
        <v>-74.458470000000005</v>
      </c>
      <c r="I4137" t="s">
        <v>4413</v>
      </c>
      <c r="J4137">
        <v>11</v>
      </c>
      <c r="M4137">
        <v>155</v>
      </c>
      <c r="N4137">
        <v>41</v>
      </c>
      <c r="O4137">
        <v>24</v>
      </c>
      <c r="P4137">
        <v>28</v>
      </c>
      <c r="Q4137">
        <v>29</v>
      </c>
      <c r="R4137">
        <v>35</v>
      </c>
    </row>
    <row r="4138" spans="1:18" x14ac:dyDescent="0.25">
      <c r="A4138" t="s">
        <v>4434</v>
      </c>
      <c r="B4138" t="s">
        <v>55</v>
      </c>
      <c r="C4138" t="s">
        <v>4411</v>
      </c>
      <c r="D4138" t="s">
        <v>4412</v>
      </c>
      <c r="E4138" t="s">
        <v>78</v>
      </c>
      <c r="F4138" t="s">
        <v>252</v>
      </c>
      <c r="G4138">
        <v>6.1882999999999999</v>
      </c>
      <c r="H4138">
        <v>-74.458470000000005</v>
      </c>
      <c r="I4138" t="s">
        <v>4413</v>
      </c>
      <c r="J4138">
        <v>11</v>
      </c>
      <c r="M4138">
        <v>155</v>
      </c>
      <c r="N4138">
        <v>49</v>
      </c>
      <c r="O4138">
        <v>14</v>
      </c>
      <c r="P4138">
        <v>34</v>
      </c>
      <c r="Q4138">
        <v>26</v>
      </c>
      <c r="R4138">
        <v>35</v>
      </c>
    </row>
    <row r="4139" spans="1:18" x14ac:dyDescent="0.25">
      <c r="A4139" t="s">
        <v>4435</v>
      </c>
      <c r="B4139" t="s">
        <v>55</v>
      </c>
      <c r="C4139" t="s">
        <v>4411</v>
      </c>
      <c r="D4139" t="s">
        <v>4412</v>
      </c>
      <c r="E4139" t="s">
        <v>78</v>
      </c>
      <c r="F4139" t="s">
        <v>252</v>
      </c>
      <c r="G4139">
        <v>6.1882999999999999</v>
      </c>
      <c r="H4139">
        <v>-74.458470000000005</v>
      </c>
      <c r="I4139" t="s">
        <v>4413</v>
      </c>
      <c r="J4139">
        <v>11</v>
      </c>
      <c r="M4139">
        <v>153</v>
      </c>
      <c r="N4139">
        <v>44</v>
      </c>
      <c r="O4139">
        <v>26</v>
      </c>
      <c r="P4139">
        <v>28</v>
      </c>
      <c r="Q4139">
        <v>22</v>
      </c>
      <c r="R4139">
        <v>36</v>
      </c>
    </row>
    <row r="4140" spans="1:18" x14ac:dyDescent="0.25">
      <c r="A4140" t="s">
        <v>4436</v>
      </c>
      <c r="B4140" t="s">
        <v>55</v>
      </c>
      <c r="C4140" t="s">
        <v>4411</v>
      </c>
      <c r="D4140" t="s">
        <v>4412</v>
      </c>
      <c r="E4140" t="s">
        <v>78</v>
      </c>
      <c r="F4140" t="s">
        <v>252</v>
      </c>
      <c r="G4140">
        <v>6.1882999999999999</v>
      </c>
      <c r="H4140">
        <v>-74.458470000000005</v>
      </c>
      <c r="I4140" t="s">
        <v>4413</v>
      </c>
      <c r="J4140">
        <v>11</v>
      </c>
      <c r="M4140">
        <v>152</v>
      </c>
      <c r="N4140">
        <v>41</v>
      </c>
      <c r="O4140">
        <v>16</v>
      </c>
      <c r="P4140">
        <v>28</v>
      </c>
      <c r="Q4140">
        <v>29</v>
      </c>
      <c r="R4140">
        <v>51</v>
      </c>
    </row>
    <row r="4141" spans="1:18" x14ac:dyDescent="0.25">
      <c r="A4141" t="s">
        <v>4437</v>
      </c>
      <c r="B4141" t="s">
        <v>55</v>
      </c>
      <c r="C4141" t="s">
        <v>4411</v>
      </c>
      <c r="D4141" t="s">
        <v>4412</v>
      </c>
      <c r="E4141" t="s">
        <v>78</v>
      </c>
      <c r="F4141" t="s">
        <v>252</v>
      </c>
      <c r="G4141">
        <v>6.1882999999999999</v>
      </c>
      <c r="H4141">
        <v>-74.458470000000005</v>
      </c>
      <c r="I4141" t="s">
        <v>4413</v>
      </c>
      <c r="J4141">
        <v>11</v>
      </c>
      <c r="M4141">
        <v>146</v>
      </c>
      <c r="N4141">
        <v>32</v>
      </c>
      <c r="O4141">
        <v>26</v>
      </c>
      <c r="P4141">
        <v>34</v>
      </c>
      <c r="Q4141">
        <v>21</v>
      </c>
      <c r="R4141">
        <v>44</v>
      </c>
    </row>
    <row r="4142" spans="1:18" x14ac:dyDescent="0.25">
      <c r="A4142" t="s">
        <v>4438</v>
      </c>
      <c r="B4142" t="s">
        <v>55</v>
      </c>
      <c r="C4142" t="s">
        <v>4411</v>
      </c>
      <c r="D4142" t="s">
        <v>4412</v>
      </c>
      <c r="E4142" t="s">
        <v>78</v>
      </c>
      <c r="F4142" t="s">
        <v>252</v>
      </c>
      <c r="G4142">
        <v>6.1882999999999999</v>
      </c>
      <c r="H4142">
        <v>-74.458470000000005</v>
      </c>
      <c r="I4142" t="s">
        <v>4413</v>
      </c>
      <c r="J4142">
        <v>11</v>
      </c>
      <c r="M4142">
        <v>144</v>
      </c>
      <c r="N4142">
        <v>22</v>
      </c>
      <c r="O4142">
        <v>26</v>
      </c>
      <c r="P4142">
        <v>42</v>
      </c>
      <c r="Q4142">
        <v>21</v>
      </c>
      <c r="R4142">
        <v>42</v>
      </c>
    </row>
    <row r="4143" spans="1:18" x14ac:dyDescent="0.25">
      <c r="A4143" t="s">
        <v>4439</v>
      </c>
      <c r="B4143" t="s">
        <v>55</v>
      </c>
      <c r="C4143" t="s">
        <v>4411</v>
      </c>
      <c r="D4143" t="s">
        <v>4412</v>
      </c>
      <c r="E4143" t="s">
        <v>78</v>
      </c>
      <c r="F4143" t="s">
        <v>252</v>
      </c>
      <c r="G4143">
        <v>6.1882999999999999</v>
      </c>
      <c r="H4143">
        <v>-74.458470000000005</v>
      </c>
      <c r="I4143" t="s">
        <v>4413</v>
      </c>
      <c r="J4143">
        <v>11</v>
      </c>
      <c r="M4143">
        <v>138</v>
      </c>
      <c r="N4143">
        <v>39</v>
      </c>
      <c r="O4143">
        <v>26</v>
      </c>
      <c r="P4143">
        <v>22</v>
      </c>
      <c r="Q4143">
        <v>21</v>
      </c>
      <c r="R4143">
        <v>35</v>
      </c>
    </row>
    <row r="4144" spans="1:18" x14ac:dyDescent="0.25">
      <c r="A4144" t="s">
        <v>4440</v>
      </c>
      <c r="B4144" t="s">
        <v>55</v>
      </c>
      <c r="C4144" t="s">
        <v>4411</v>
      </c>
      <c r="D4144" t="s">
        <v>4412</v>
      </c>
      <c r="E4144" t="s">
        <v>78</v>
      </c>
      <c r="F4144" t="s">
        <v>252</v>
      </c>
      <c r="G4144">
        <v>6.1882999999999999</v>
      </c>
      <c r="H4144">
        <v>-74.458470000000005</v>
      </c>
      <c r="I4144" t="s">
        <v>4413</v>
      </c>
      <c r="J4144">
        <v>11</v>
      </c>
      <c r="M4144">
        <v>133</v>
      </c>
      <c r="N4144">
        <v>27</v>
      </c>
      <c r="O4144">
        <v>24</v>
      </c>
      <c r="P4144">
        <v>20</v>
      </c>
      <c r="Q4144">
        <v>34</v>
      </c>
      <c r="R4144">
        <v>29</v>
      </c>
    </row>
    <row r="4145" spans="1:18" x14ac:dyDescent="0.25">
      <c r="A4145" t="s">
        <v>4441</v>
      </c>
      <c r="B4145" t="s">
        <v>55</v>
      </c>
      <c r="C4145" t="s">
        <v>4411</v>
      </c>
      <c r="D4145" t="s">
        <v>4412</v>
      </c>
      <c r="E4145" t="s">
        <v>78</v>
      </c>
      <c r="F4145" t="s">
        <v>252</v>
      </c>
      <c r="G4145">
        <v>6.1882999999999999</v>
      </c>
      <c r="H4145">
        <v>-74.458470000000005</v>
      </c>
      <c r="I4145" t="s">
        <v>4413</v>
      </c>
      <c r="J4145">
        <v>11</v>
      </c>
      <c r="M4145">
        <v>130</v>
      </c>
      <c r="N4145">
        <v>24</v>
      </c>
      <c r="O4145">
        <v>30</v>
      </c>
      <c r="P4145">
        <v>24</v>
      </c>
      <c r="Q4145">
        <v>22</v>
      </c>
      <c r="R4145">
        <v>35</v>
      </c>
    </row>
    <row r="4146" spans="1:18" x14ac:dyDescent="0.25">
      <c r="A4146" t="s">
        <v>4442</v>
      </c>
      <c r="B4146" t="s">
        <v>55</v>
      </c>
      <c r="C4146" t="s">
        <v>4411</v>
      </c>
      <c r="D4146" t="s">
        <v>4412</v>
      </c>
      <c r="E4146" t="s">
        <v>78</v>
      </c>
      <c r="F4146" t="s">
        <v>252</v>
      </c>
      <c r="G4146">
        <v>6.1882999999999999</v>
      </c>
      <c r="H4146">
        <v>-74.458470000000005</v>
      </c>
      <c r="I4146" t="s">
        <v>4413</v>
      </c>
      <c r="J4146">
        <v>11</v>
      </c>
      <c r="M4146">
        <v>128</v>
      </c>
      <c r="N4146">
        <v>27</v>
      </c>
      <c r="O4146">
        <v>24</v>
      </c>
      <c r="P4146">
        <v>28</v>
      </c>
      <c r="Q4146">
        <v>22</v>
      </c>
      <c r="R4146">
        <v>29</v>
      </c>
    </row>
    <row r="4147" spans="1:18" x14ac:dyDescent="0.25">
      <c r="A4147" t="s">
        <v>4443</v>
      </c>
      <c r="B4147" t="s">
        <v>55</v>
      </c>
      <c r="C4147" t="s">
        <v>4411</v>
      </c>
      <c r="D4147" t="s">
        <v>4412</v>
      </c>
      <c r="E4147" t="s">
        <v>78</v>
      </c>
      <c r="F4147" t="s">
        <v>252</v>
      </c>
      <c r="G4147">
        <v>6.1882999999999999</v>
      </c>
      <c r="H4147">
        <v>-74.458470000000005</v>
      </c>
      <c r="I4147" t="s">
        <v>4413</v>
      </c>
      <c r="J4147">
        <v>11</v>
      </c>
      <c r="M4147">
        <v>124</v>
      </c>
      <c r="N4147">
        <v>27</v>
      </c>
      <c r="O4147">
        <v>26</v>
      </c>
      <c r="P4147">
        <v>22</v>
      </c>
      <c r="Q4147">
        <v>21</v>
      </c>
      <c r="R4147">
        <v>35</v>
      </c>
    </row>
    <row r="4148" spans="1:18" x14ac:dyDescent="0.25">
      <c r="A4148" t="s">
        <v>4444</v>
      </c>
      <c r="B4148" t="s">
        <v>55</v>
      </c>
      <c r="C4148" t="s">
        <v>4445</v>
      </c>
      <c r="D4148" t="s">
        <v>4412</v>
      </c>
      <c r="E4148" t="s">
        <v>78</v>
      </c>
      <c r="F4148" t="s">
        <v>252</v>
      </c>
      <c r="G4148">
        <v>6.1882999999999999</v>
      </c>
      <c r="H4148">
        <v>-74.458470000000005</v>
      </c>
      <c r="I4148" t="s">
        <v>4446</v>
      </c>
      <c r="J4148">
        <v>11</v>
      </c>
      <c r="M4148">
        <v>223</v>
      </c>
      <c r="N4148">
        <v>51</v>
      </c>
      <c r="O4148">
        <v>38</v>
      </c>
      <c r="P4148">
        <v>38</v>
      </c>
      <c r="Q4148">
        <v>41</v>
      </c>
      <c r="R4148">
        <v>73</v>
      </c>
    </row>
    <row r="4149" spans="1:18" x14ac:dyDescent="0.25">
      <c r="A4149" t="s">
        <v>4447</v>
      </c>
      <c r="B4149" t="s">
        <v>55</v>
      </c>
      <c r="C4149" t="s">
        <v>4445</v>
      </c>
      <c r="D4149" t="s">
        <v>4412</v>
      </c>
      <c r="E4149" t="s">
        <v>78</v>
      </c>
      <c r="F4149" t="s">
        <v>252</v>
      </c>
      <c r="G4149">
        <v>6.1882999999999999</v>
      </c>
      <c r="H4149">
        <v>-74.458470000000005</v>
      </c>
      <c r="I4149" t="s">
        <v>4446</v>
      </c>
      <c r="J4149">
        <v>11</v>
      </c>
      <c r="M4149">
        <v>214</v>
      </c>
      <c r="N4149">
        <v>56</v>
      </c>
      <c r="O4149">
        <v>30</v>
      </c>
      <c r="P4149">
        <v>50</v>
      </c>
      <c r="Q4149">
        <v>33</v>
      </c>
      <c r="R4149">
        <v>49</v>
      </c>
    </row>
    <row r="4150" spans="1:18" x14ac:dyDescent="0.25">
      <c r="A4150" t="s">
        <v>4448</v>
      </c>
      <c r="B4150" t="s">
        <v>55</v>
      </c>
      <c r="C4150" t="s">
        <v>4445</v>
      </c>
      <c r="D4150" t="s">
        <v>4412</v>
      </c>
      <c r="E4150" t="s">
        <v>78</v>
      </c>
      <c r="F4150" t="s">
        <v>252</v>
      </c>
      <c r="G4150">
        <v>6.1882999999999999</v>
      </c>
      <c r="H4150">
        <v>-74.458470000000005</v>
      </c>
      <c r="I4150" t="s">
        <v>4446</v>
      </c>
      <c r="J4150">
        <v>11</v>
      </c>
      <c r="M4150">
        <v>202</v>
      </c>
      <c r="N4150">
        <v>44</v>
      </c>
      <c r="O4150">
        <v>28</v>
      </c>
      <c r="P4150">
        <v>54</v>
      </c>
      <c r="Q4150">
        <v>36</v>
      </c>
      <c r="R4150">
        <v>40</v>
      </c>
    </row>
    <row r="4151" spans="1:18" x14ac:dyDescent="0.25">
      <c r="A4151" t="s">
        <v>4449</v>
      </c>
      <c r="B4151" t="s">
        <v>55</v>
      </c>
      <c r="C4151" t="s">
        <v>4445</v>
      </c>
      <c r="D4151" t="s">
        <v>4412</v>
      </c>
      <c r="E4151" t="s">
        <v>78</v>
      </c>
      <c r="F4151" t="s">
        <v>252</v>
      </c>
      <c r="G4151">
        <v>6.1882999999999999</v>
      </c>
      <c r="H4151">
        <v>-74.458470000000005</v>
      </c>
      <c r="I4151" t="s">
        <v>4446</v>
      </c>
      <c r="J4151">
        <v>11</v>
      </c>
      <c r="M4151">
        <v>186</v>
      </c>
      <c r="N4151">
        <v>46</v>
      </c>
      <c r="O4151">
        <v>24</v>
      </c>
      <c r="P4151">
        <v>52</v>
      </c>
      <c r="Q4151">
        <v>28</v>
      </c>
      <c r="R4151">
        <v>35</v>
      </c>
    </row>
    <row r="4152" spans="1:18" x14ac:dyDescent="0.25">
      <c r="A4152" t="s">
        <v>4450</v>
      </c>
      <c r="B4152" t="s">
        <v>55</v>
      </c>
      <c r="C4152" t="s">
        <v>4445</v>
      </c>
      <c r="D4152" t="s">
        <v>4412</v>
      </c>
      <c r="E4152" t="s">
        <v>78</v>
      </c>
      <c r="F4152" t="s">
        <v>252</v>
      </c>
      <c r="G4152">
        <v>6.1882999999999999</v>
      </c>
      <c r="H4152">
        <v>-74.458470000000005</v>
      </c>
      <c r="I4152" t="s">
        <v>4446</v>
      </c>
      <c r="J4152">
        <v>11</v>
      </c>
      <c r="M4152">
        <v>167</v>
      </c>
      <c r="N4152">
        <v>49</v>
      </c>
      <c r="O4152">
        <v>18</v>
      </c>
      <c r="P4152">
        <v>40</v>
      </c>
      <c r="Q4152">
        <v>26</v>
      </c>
      <c r="R4152">
        <v>36</v>
      </c>
    </row>
    <row r="4153" spans="1:18" x14ac:dyDescent="0.25">
      <c r="A4153" t="s">
        <v>4451</v>
      </c>
      <c r="B4153" t="s">
        <v>55</v>
      </c>
      <c r="C4153" t="s">
        <v>4445</v>
      </c>
      <c r="D4153" t="s">
        <v>4412</v>
      </c>
      <c r="E4153" t="s">
        <v>78</v>
      </c>
      <c r="F4153" t="s">
        <v>252</v>
      </c>
      <c r="G4153">
        <v>6.1882999999999999</v>
      </c>
      <c r="H4153">
        <v>-74.458470000000005</v>
      </c>
      <c r="I4153" t="s">
        <v>4446</v>
      </c>
      <c r="J4153">
        <v>11</v>
      </c>
      <c r="M4153">
        <v>165</v>
      </c>
      <c r="N4153">
        <v>22</v>
      </c>
      <c r="O4153">
        <v>48</v>
      </c>
      <c r="P4153">
        <v>26</v>
      </c>
      <c r="Q4153">
        <v>36</v>
      </c>
      <c r="R4153">
        <v>33</v>
      </c>
    </row>
    <row r="4154" spans="1:18" x14ac:dyDescent="0.25">
      <c r="A4154" t="s">
        <v>4452</v>
      </c>
      <c r="B4154" t="s">
        <v>55</v>
      </c>
      <c r="C4154" t="s">
        <v>4445</v>
      </c>
      <c r="D4154" t="s">
        <v>4412</v>
      </c>
      <c r="E4154" t="s">
        <v>78</v>
      </c>
      <c r="F4154" t="s">
        <v>252</v>
      </c>
      <c r="G4154">
        <v>6.1882999999999999</v>
      </c>
      <c r="H4154">
        <v>-74.458470000000005</v>
      </c>
      <c r="I4154" t="s">
        <v>4446</v>
      </c>
      <c r="J4154">
        <v>11</v>
      </c>
      <c r="M4154">
        <v>158</v>
      </c>
      <c r="N4154">
        <v>37</v>
      </c>
      <c r="O4154">
        <v>38</v>
      </c>
      <c r="P4154">
        <v>38</v>
      </c>
      <c r="Q4154">
        <v>12</v>
      </c>
      <c r="R4154">
        <v>36</v>
      </c>
    </row>
    <row r="4155" spans="1:18" x14ac:dyDescent="0.25">
      <c r="A4155" t="s">
        <v>4453</v>
      </c>
      <c r="B4155" t="s">
        <v>55</v>
      </c>
      <c r="C4155" t="s">
        <v>4445</v>
      </c>
      <c r="D4155" t="s">
        <v>4412</v>
      </c>
      <c r="E4155" t="s">
        <v>78</v>
      </c>
      <c r="F4155" t="s">
        <v>252</v>
      </c>
      <c r="G4155">
        <v>6.1882999999999999</v>
      </c>
      <c r="H4155">
        <v>-74.458470000000005</v>
      </c>
      <c r="I4155" t="s">
        <v>4446</v>
      </c>
      <c r="J4155">
        <v>11</v>
      </c>
      <c r="M4155">
        <v>157</v>
      </c>
      <c r="N4155">
        <v>41</v>
      </c>
      <c r="O4155">
        <v>24</v>
      </c>
      <c r="P4155">
        <v>28</v>
      </c>
      <c r="Q4155">
        <v>33</v>
      </c>
      <c r="R4155">
        <v>29</v>
      </c>
    </row>
    <row r="4156" spans="1:18" x14ac:dyDescent="0.25">
      <c r="A4156" t="s">
        <v>4454</v>
      </c>
      <c r="B4156" t="s">
        <v>55</v>
      </c>
      <c r="C4156" t="s">
        <v>4445</v>
      </c>
      <c r="D4156" t="s">
        <v>4412</v>
      </c>
      <c r="E4156" t="s">
        <v>78</v>
      </c>
      <c r="F4156" t="s">
        <v>252</v>
      </c>
      <c r="G4156">
        <v>6.1882999999999999</v>
      </c>
      <c r="H4156">
        <v>-74.458470000000005</v>
      </c>
      <c r="I4156" t="s">
        <v>4446</v>
      </c>
      <c r="J4156">
        <v>11</v>
      </c>
      <c r="M4156">
        <v>155</v>
      </c>
      <c r="N4156">
        <v>49</v>
      </c>
      <c r="O4156">
        <v>32</v>
      </c>
      <c r="P4156">
        <v>28</v>
      </c>
      <c r="Q4156">
        <v>26</v>
      </c>
      <c r="R4156">
        <v>0</v>
      </c>
    </row>
    <row r="4157" spans="1:18" x14ac:dyDescent="0.25">
      <c r="A4157" t="s">
        <v>4455</v>
      </c>
      <c r="B4157" t="s">
        <v>55</v>
      </c>
      <c r="C4157" t="s">
        <v>4445</v>
      </c>
      <c r="D4157" t="s">
        <v>4412</v>
      </c>
      <c r="E4157" t="s">
        <v>78</v>
      </c>
      <c r="F4157" t="s">
        <v>252</v>
      </c>
      <c r="G4157">
        <v>6.1882999999999999</v>
      </c>
      <c r="H4157">
        <v>-74.458470000000005</v>
      </c>
      <c r="I4157" t="s">
        <v>4446</v>
      </c>
      <c r="J4157">
        <v>11</v>
      </c>
      <c r="M4157">
        <v>154</v>
      </c>
      <c r="N4157">
        <v>29</v>
      </c>
      <c r="O4157">
        <v>36</v>
      </c>
      <c r="P4157">
        <v>36</v>
      </c>
      <c r="Q4157">
        <v>24</v>
      </c>
      <c r="R4157">
        <v>25</v>
      </c>
    </row>
    <row r="4158" spans="1:18" x14ac:dyDescent="0.25">
      <c r="A4158" t="s">
        <v>4456</v>
      </c>
      <c r="B4158" t="s">
        <v>55</v>
      </c>
      <c r="C4158" t="s">
        <v>4445</v>
      </c>
      <c r="D4158" t="s">
        <v>4412</v>
      </c>
      <c r="E4158" t="s">
        <v>78</v>
      </c>
      <c r="F4158" t="s">
        <v>252</v>
      </c>
      <c r="G4158">
        <v>6.1882999999999999</v>
      </c>
      <c r="H4158">
        <v>-74.458470000000005</v>
      </c>
      <c r="I4158" t="s">
        <v>4446</v>
      </c>
      <c r="J4158">
        <v>11</v>
      </c>
      <c r="M4158">
        <v>154</v>
      </c>
      <c r="N4158">
        <v>44</v>
      </c>
      <c r="O4158">
        <v>32</v>
      </c>
      <c r="P4158">
        <v>16</v>
      </c>
      <c r="Q4158">
        <v>34</v>
      </c>
      <c r="R4158">
        <v>20</v>
      </c>
    </row>
    <row r="4159" spans="1:18" x14ac:dyDescent="0.25">
      <c r="A4159" t="s">
        <v>4457</v>
      </c>
      <c r="B4159" t="s">
        <v>55</v>
      </c>
      <c r="C4159" t="s">
        <v>4445</v>
      </c>
      <c r="D4159" t="s">
        <v>4412</v>
      </c>
      <c r="E4159" t="s">
        <v>78</v>
      </c>
      <c r="F4159" t="s">
        <v>252</v>
      </c>
      <c r="G4159">
        <v>6.1882999999999999</v>
      </c>
      <c r="H4159">
        <v>-74.458470000000005</v>
      </c>
      <c r="I4159" t="s">
        <v>4446</v>
      </c>
      <c r="J4159">
        <v>11</v>
      </c>
      <c r="M4159">
        <v>149</v>
      </c>
      <c r="N4159">
        <v>29</v>
      </c>
      <c r="O4159">
        <v>20</v>
      </c>
      <c r="P4159">
        <v>38</v>
      </c>
      <c r="Q4159">
        <v>33</v>
      </c>
      <c r="R4159">
        <v>27</v>
      </c>
    </row>
    <row r="4160" spans="1:18" x14ac:dyDescent="0.25">
      <c r="A4160" t="s">
        <v>4458</v>
      </c>
      <c r="B4160" t="s">
        <v>55</v>
      </c>
      <c r="C4160" t="s">
        <v>4445</v>
      </c>
      <c r="D4160" t="s">
        <v>4412</v>
      </c>
      <c r="E4160" t="s">
        <v>78</v>
      </c>
      <c r="F4160" t="s">
        <v>252</v>
      </c>
      <c r="G4160">
        <v>6.1882999999999999</v>
      </c>
      <c r="H4160">
        <v>-74.458470000000005</v>
      </c>
      <c r="I4160" t="s">
        <v>4446</v>
      </c>
      <c r="J4160">
        <v>11</v>
      </c>
      <c r="M4160">
        <v>148</v>
      </c>
      <c r="N4160">
        <v>29</v>
      </c>
      <c r="O4160">
        <v>28</v>
      </c>
      <c r="P4160">
        <v>30</v>
      </c>
      <c r="Q4160">
        <v>33</v>
      </c>
      <c r="R4160">
        <v>25</v>
      </c>
    </row>
    <row r="4161" spans="1:18" x14ac:dyDescent="0.25">
      <c r="A4161" t="s">
        <v>4459</v>
      </c>
      <c r="B4161" t="s">
        <v>55</v>
      </c>
      <c r="C4161" t="s">
        <v>4445</v>
      </c>
      <c r="D4161" t="s">
        <v>4412</v>
      </c>
      <c r="E4161" t="s">
        <v>78</v>
      </c>
      <c r="F4161" t="s">
        <v>252</v>
      </c>
      <c r="G4161">
        <v>6.1882999999999999</v>
      </c>
      <c r="H4161">
        <v>-74.458470000000005</v>
      </c>
      <c r="I4161" t="s">
        <v>4446</v>
      </c>
      <c r="J4161">
        <v>11</v>
      </c>
      <c r="M4161">
        <v>148</v>
      </c>
      <c r="N4161">
        <v>29</v>
      </c>
      <c r="O4161">
        <v>28</v>
      </c>
      <c r="P4161">
        <v>28</v>
      </c>
      <c r="Q4161">
        <v>33</v>
      </c>
      <c r="R4161">
        <v>31</v>
      </c>
    </row>
    <row r="4162" spans="1:18" x14ac:dyDescent="0.25">
      <c r="A4162" t="s">
        <v>4460</v>
      </c>
      <c r="B4162" t="s">
        <v>55</v>
      </c>
      <c r="C4162" t="s">
        <v>4445</v>
      </c>
      <c r="D4162" t="s">
        <v>4412</v>
      </c>
      <c r="E4162" t="s">
        <v>78</v>
      </c>
      <c r="F4162" t="s">
        <v>252</v>
      </c>
      <c r="G4162">
        <v>6.1882999999999999</v>
      </c>
      <c r="H4162">
        <v>-74.458470000000005</v>
      </c>
      <c r="I4162" t="s">
        <v>4446</v>
      </c>
      <c r="J4162">
        <v>11</v>
      </c>
      <c r="M4162">
        <v>148</v>
      </c>
      <c r="N4162">
        <v>49</v>
      </c>
      <c r="O4162">
        <v>20</v>
      </c>
      <c r="P4162">
        <v>24</v>
      </c>
      <c r="Q4162">
        <v>22</v>
      </c>
      <c r="R4162">
        <v>38</v>
      </c>
    </row>
    <row r="4163" spans="1:18" x14ac:dyDescent="0.25">
      <c r="A4163" t="s">
        <v>4461</v>
      </c>
      <c r="B4163" t="s">
        <v>55</v>
      </c>
      <c r="C4163" t="s">
        <v>4445</v>
      </c>
      <c r="D4163" t="s">
        <v>4412</v>
      </c>
      <c r="E4163" t="s">
        <v>78</v>
      </c>
      <c r="F4163" t="s">
        <v>252</v>
      </c>
      <c r="G4163">
        <v>6.1882999999999999</v>
      </c>
      <c r="H4163">
        <v>-74.458470000000005</v>
      </c>
      <c r="I4163" t="s">
        <v>4446</v>
      </c>
      <c r="J4163">
        <v>11</v>
      </c>
      <c r="M4163">
        <v>148</v>
      </c>
      <c r="N4163">
        <v>39</v>
      </c>
      <c r="O4163">
        <v>28</v>
      </c>
      <c r="P4163">
        <v>26</v>
      </c>
      <c r="Q4163">
        <v>28</v>
      </c>
      <c r="R4163">
        <v>22</v>
      </c>
    </row>
    <row r="4164" spans="1:18" x14ac:dyDescent="0.25">
      <c r="A4164" t="s">
        <v>4462</v>
      </c>
      <c r="B4164" t="s">
        <v>55</v>
      </c>
      <c r="C4164" t="s">
        <v>4445</v>
      </c>
      <c r="D4164" t="s">
        <v>4412</v>
      </c>
      <c r="E4164" t="s">
        <v>78</v>
      </c>
      <c r="F4164" t="s">
        <v>252</v>
      </c>
      <c r="G4164">
        <v>6.1882999999999999</v>
      </c>
      <c r="H4164">
        <v>-74.458470000000005</v>
      </c>
      <c r="I4164" t="s">
        <v>4446</v>
      </c>
      <c r="J4164">
        <v>11</v>
      </c>
      <c r="M4164">
        <v>144</v>
      </c>
      <c r="N4164">
        <v>44</v>
      </c>
      <c r="O4164">
        <v>22</v>
      </c>
      <c r="P4164">
        <v>30</v>
      </c>
      <c r="Q4164">
        <v>21</v>
      </c>
      <c r="R4164">
        <v>25</v>
      </c>
    </row>
    <row r="4165" spans="1:18" x14ac:dyDescent="0.25">
      <c r="A4165" t="s">
        <v>4463</v>
      </c>
      <c r="B4165" t="s">
        <v>55</v>
      </c>
      <c r="C4165" t="s">
        <v>4445</v>
      </c>
      <c r="D4165" t="s">
        <v>4412</v>
      </c>
      <c r="E4165" t="s">
        <v>78</v>
      </c>
      <c r="F4165" t="s">
        <v>252</v>
      </c>
      <c r="G4165">
        <v>6.1882999999999999</v>
      </c>
      <c r="H4165">
        <v>-74.458470000000005</v>
      </c>
      <c r="I4165" t="s">
        <v>4446</v>
      </c>
      <c r="J4165">
        <v>11</v>
      </c>
      <c r="M4165">
        <v>144</v>
      </c>
      <c r="N4165">
        <v>24</v>
      </c>
      <c r="O4165">
        <v>28</v>
      </c>
      <c r="P4165">
        <v>30</v>
      </c>
      <c r="Q4165">
        <v>33</v>
      </c>
      <c r="R4165">
        <v>29</v>
      </c>
    </row>
    <row r="4166" spans="1:18" x14ac:dyDescent="0.25">
      <c r="A4166" t="s">
        <v>4464</v>
      </c>
      <c r="B4166" t="s">
        <v>55</v>
      </c>
      <c r="C4166" t="s">
        <v>4445</v>
      </c>
      <c r="D4166" t="s">
        <v>4412</v>
      </c>
      <c r="E4166" t="s">
        <v>78</v>
      </c>
      <c r="F4166" t="s">
        <v>252</v>
      </c>
      <c r="G4166">
        <v>6.1882999999999999</v>
      </c>
      <c r="H4166">
        <v>-74.458470000000005</v>
      </c>
      <c r="I4166" t="s">
        <v>4446</v>
      </c>
      <c r="J4166">
        <v>11</v>
      </c>
      <c r="M4166">
        <v>144</v>
      </c>
      <c r="N4166">
        <v>29</v>
      </c>
      <c r="O4166">
        <v>32</v>
      </c>
      <c r="P4166">
        <v>26</v>
      </c>
      <c r="Q4166">
        <v>28</v>
      </c>
      <c r="R4166">
        <v>29</v>
      </c>
    </row>
    <row r="4167" spans="1:18" x14ac:dyDescent="0.25">
      <c r="A4167" t="s">
        <v>4465</v>
      </c>
      <c r="B4167" t="s">
        <v>55</v>
      </c>
      <c r="C4167" t="s">
        <v>4445</v>
      </c>
      <c r="D4167" t="s">
        <v>4412</v>
      </c>
      <c r="E4167" t="s">
        <v>78</v>
      </c>
      <c r="F4167" t="s">
        <v>252</v>
      </c>
      <c r="G4167">
        <v>6.1882999999999999</v>
      </c>
      <c r="H4167">
        <v>-74.458470000000005</v>
      </c>
      <c r="I4167" t="s">
        <v>4446</v>
      </c>
      <c r="J4167">
        <v>11</v>
      </c>
      <c r="M4167">
        <v>144</v>
      </c>
      <c r="N4167">
        <v>39</v>
      </c>
      <c r="O4167">
        <v>16</v>
      </c>
      <c r="P4167">
        <v>36</v>
      </c>
      <c r="Q4167">
        <v>21</v>
      </c>
      <c r="R4167">
        <v>38</v>
      </c>
    </row>
    <row r="4168" spans="1:18" x14ac:dyDescent="0.25">
      <c r="A4168" t="s">
        <v>4466</v>
      </c>
      <c r="B4168" t="s">
        <v>55</v>
      </c>
      <c r="C4168" t="s">
        <v>4445</v>
      </c>
      <c r="D4168" t="s">
        <v>4412</v>
      </c>
      <c r="E4168" t="s">
        <v>78</v>
      </c>
      <c r="F4168" t="s">
        <v>252</v>
      </c>
      <c r="G4168">
        <v>6.1882999999999999</v>
      </c>
      <c r="H4168">
        <v>-74.458470000000005</v>
      </c>
      <c r="I4168" t="s">
        <v>4446</v>
      </c>
      <c r="J4168">
        <v>11</v>
      </c>
      <c r="M4168">
        <v>144</v>
      </c>
      <c r="N4168">
        <v>41</v>
      </c>
      <c r="O4168">
        <v>30</v>
      </c>
      <c r="P4168">
        <v>18</v>
      </c>
      <c r="Q4168">
        <v>26</v>
      </c>
      <c r="R4168">
        <v>27</v>
      </c>
    </row>
    <row r="4169" spans="1:18" x14ac:dyDescent="0.25">
      <c r="A4169" t="s">
        <v>4467</v>
      </c>
      <c r="B4169" t="s">
        <v>55</v>
      </c>
      <c r="C4169" t="s">
        <v>4445</v>
      </c>
      <c r="D4169" t="s">
        <v>4412</v>
      </c>
      <c r="E4169" t="s">
        <v>78</v>
      </c>
      <c r="F4169" t="s">
        <v>252</v>
      </c>
      <c r="G4169">
        <v>6.1882999999999999</v>
      </c>
      <c r="H4169">
        <v>-74.458470000000005</v>
      </c>
      <c r="I4169" t="s">
        <v>4446</v>
      </c>
      <c r="J4169">
        <v>11</v>
      </c>
      <c r="M4169">
        <v>133</v>
      </c>
      <c r="N4169">
        <v>27</v>
      </c>
      <c r="O4169">
        <v>18</v>
      </c>
      <c r="P4169">
        <v>30</v>
      </c>
      <c r="Q4169">
        <v>28</v>
      </c>
      <c r="R4169">
        <v>38</v>
      </c>
    </row>
    <row r="4170" spans="1:18" x14ac:dyDescent="0.25">
      <c r="A4170" t="s">
        <v>4468</v>
      </c>
      <c r="B4170" t="s">
        <v>55</v>
      </c>
      <c r="C4170" t="s">
        <v>4445</v>
      </c>
      <c r="D4170" t="s">
        <v>4412</v>
      </c>
      <c r="E4170" t="s">
        <v>78</v>
      </c>
      <c r="F4170" t="s">
        <v>252</v>
      </c>
      <c r="G4170">
        <v>6.1882999999999999</v>
      </c>
      <c r="H4170">
        <v>-74.458470000000005</v>
      </c>
      <c r="I4170" t="s">
        <v>4446</v>
      </c>
      <c r="J4170">
        <v>11</v>
      </c>
      <c r="M4170">
        <v>121</v>
      </c>
      <c r="N4170">
        <v>24</v>
      </c>
      <c r="O4170">
        <v>30</v>
      </c>
      <c r="P4170">
        <v>20</v>
      </c>
      <c r="Q4170">
        <v>21</v>
      </c>
      <c r="R4170">
        <v>29</v>
      </c>
    </row>
    <row r="4171" spans="1:18" x14ac:dyDescent="0.25">
      <c r="A4171" t="s">
        <v>4469</v>
      </c>
      <c r="B4171" t="s">
        <v>55</v>
      </c>
      <c r="C4171" t="s">
        <v>4445</v>
      </c>
      <c r="D4171" t="s">
        <v>4412</v>
      </c>
      <c r="E4171" t="s">
        <v>78</v>
      </c>
      <c r="F4171" t="s">
        <v>252</v>
      </c>
      <c r="G4171">
        <v>6.1882999999999999</v>
      </c>
      <c r="H4171">
        <v>-74.458470000000005</v>
      </c>
      <c r="I4171" t="s">
        <v>4446</v>
      </c>
      <c r="J4171">
        <v>11</v>
      </c>
      <c r="M4171">
        <v>118</v>
      </c>
      <c r="N4171">
        <v>27</v>
      </c>
      <c r="O4171">
        <v>18</v>
      </c>
      <c r="P4171">
        <v>30</v>
      </c>
      <c r="Q4171">
        <v>19</v>
      </c>
      <c r="R4171">
        <v>25</v>
      </c>
    </row>
    <row r="4172" spans="1:18" x14ac:dyDescent="0.25">
      <c r="A4172" t="s">
        <v>4470</v>
      </c>
      <c r="B4172" t="s">
        <v>55</v>
      </c>
      <c r="C4172" t="s">
        <v>4471</v>
      </c>
      <c r="D4172" t="s">
        <v>2491</v>
      </c>
      <c r="E4172" t="s">
        <v>78</v>
      </c>
      <c r="F4172" t="s">
        <v>252</v>
      </c>
      <c r="G4172">
        <v>6.2186000000000003</v>
      </c>
      <c r="H4172">
        <v>-75.241699999999994</v>
      </c>
      <c r="I4172" t="s">
        <v>4472</v>
      </c>
      <c r="J4172">
        <v>11</v>
      </c>
      <c r="M4172">
        <v>206</v>
      </c>
      <c r="N4172">
        <v>59</v>
      </c>
      <c r="O4172">
        <v>24</v>
      </c>
      <c r="P4172">
        <v>46</v>
      </c>
      <c r="Q4172">
        <v>22</v>
      </c>
      <c r="R4172">
        <v>82</v>
      </c>
    </row>
    <row r="4173" spans="1:18" x14ac:dyDescent="0.25">
      <c r="A4173" t="s">
        <v>4473</v>
      </c>
      <c r="B4173" t="s">
        <v>55</v>
      </c>
      <c r="C4173" t="s">
        <v>4471</v>
      </c>
      <c r="D4173" t="s">
        <v>2491</v>
      </c>
      <c r="E4173" t="s">
        <v>78</v>
      </c>
      <c r="F4173" t="s">
        <v>252</v>
      </c>
      <c r="G4173">
        <v>6.2186000000000003</v>
      </c>
      <c r="H4173">
        <v>-75.241699999999994</v>
      </c>
      <c r="I4173" t="s">
        <v>4472</v>
      </c>
      <c r="J4173">
        <v>11</v>
      </c>
      <c r="M4173">
        <v>204</v>
      </c>
      <c r="N4173">
        <v>51</v>
      </c>
      <c r="O4173">
        <v>24</v>
      </c>
      <c r="P4173">
        <v>50</v>
      </c>
      <c r="Q4173">
        <v>36</v>
      </c>
      <c r="R4173">
        <v>47</v>
      </c>
    </row>
    <row r="4174" spans="1:18" x14ac:dyDescent="0.25">
      <c r="A4174" t="s">
        <v>4474</v>
      </c>
      <c r="B4174" t="s">
        <v>55</v>
      </c>
      <c r="C4174" t="s">
        <v>4471</v>
      </c>
      <c r="D4174" t="s">
        <v>2491</v>
      </c>
      <c r="E4174" t="s">
        <v>78</v>
      </c>
      <c r="F4174" t="s">
        <v>252</v>
      </c>
      <c r="G4174">
        <v>6.2186000000000003</v>
      </c>
      <c r="H4174">
        <v>-75.241699999999994</v>
      </c>
      <c r="I4174" t="s">
        <v>4472</v>
      </c>
      <c r="J4174">
        <v>11</v>
      </c>
      <c r="M4174">
        <v>204</v>
      </c>
      <c r="N4174">
        <v>49</v>
      </c>
      <c r="O4174">
        <v>28</v>
      </c>
      <c r="P4174">
        <v>42</v>
      </c>
      <c r="Q4174">
        <v>41</v>
      </c>
      <c r="R4174">
        <v>51</v>
      </c>
    </row>
    <row r="4175" spans="1:18" x14ac:dyDescent="0.25">
      <c r="A4175" t="s">
        <v>4475</v>
      </c>
      <c r="B4175" t="s">
        <v>55</v>
      </c>
      <c r="C4175" t="s">
        <v>4471</v>
      </c>
      <c r="D4175" t="s">
        <v>2491</v>
      </c>
      <c r="E4175" t="s">
        <v>78</v>
      </c>
      <c r="F4175" t="s">
        <v>252</v>
      </c>
      <c r="G4175">
        <v>6.2186000000000003</v>
      </c>
      <c r="H4175">
        <v>-75.241699999999994</v>
      </c>
      <c r="I4175" t="s">
        <v>4472</v>
      </c>
      <c r="J4175">
        <v>11</v>
      </c>
      <c r="M4175">
        <v>203</v>
      </c>
      <c r="N4175">
        <v>49</v>
      </c>
      <c r="O4175">
        <v>22</v>
      </c>
      <c r="P4175">
        <v>60</v>
      </c>
      <c r="Q4175">
        <v>31</v>
      </c>
      <c r="R4175">
        <v>42</v>
      </c>
    </row>
    <row r="4176" spans="1:18" x14ac:dyDescent="0.25">
      <c r="A4176" t="s">
        <v>4476</v>
      </c>
      <c r="B4176" t="s">
        <v>55</v>
      </c>
      <c r="C4176" t="s">
        <v>4471</v>
      </c>
      <c r="D4176" t="s">
        <v>2491</v>
      </c>
      <c r="E4176" t="s">
        <v>78</v>
      </c>
      <c r="F4176" t="s">
        <v>252</v>
      </c>
      <c r="G4176">
        <v>6.2186000000000003</v>
      </c>
      <c r="H4176">
        <v>-75.241699999999994</v>
      </c>
      <c r="I4176" t="s">
        <v>4472</v>
      </c>
      <c r="J4176">
        <v>11</v>
      </c>
      <c r="M4176">
        <v>201</v>
      </c>
      <c r="N4176">
        <v>56</v>
      </c>
      <c r="O4176">
        <v>10</v>
      </c>
      <c r="P4176">
        <v>50</v>
      </c>
      <c r="Q4176">
        <v>38</v>
      </c>
      <c r="R4176">
        <v>60</v>
      </c>
    </row>
    <row r="4177" spans="1:18" x14ac:dyDescent="0.25">
      <c r="A4177" t="s">
        <v>4477</v>
      </c>
      <c r="B4177" t="s">
        <v>55</v>
      </c>
      <c r="C4177" t="s">
        <v>4471</v>
      </c>
      <c r="D4177" t="s">
        <v>2491</v>
      </c>
      <c r="E4177" t="s">
        <v>78</v>
      </c>
      <c r="F4177" t="s">
        <v>252</v>
      </c>
      <c r="G4177">
        <v>6.2186000000000003</v>
      </c>
      <c r="H4177">
        <v>-75.241699999999994</v>
      </c>
      <c r="I4177" t="s">
        <v>4472</v>
      </c>
      <c r="J4177">
        <v>11</v>
      </c>
      <c r="M4177">
        <v>197</v>
      </c>
      <c r="N4177">
        <v>41</v>
      </c>
      <c r="O4177">
        <v>26</v>
      </c>
      <c r="P4177">
        <v>58</v>
      </c>
      <c r="Q4177">
        <v>28</v>
      </c>
      <c r="R4177">
        <v>53</v>
      </c>
    </row>
    <row r="4178" spans="1:18" x14ac:dyDescent="0.25">
      <c r="A4178" t="s">
        <v>4478</v>
      </c>
      <c r="B4178" t="s">
        <v>55</v>
      </c>
      <c r="C4178" t="s">
        <v>4471</v>
      </c>
      <c r="D4178" t="s">
        <v>2491</v>
      </c>
      <c r="E4178" t="s">
        <v>78</v>
      </c>
      <c r="F4178" t="s">
        <v>252</v>
      </c>
      <c r="G4178">
        <v>6.2186000000000003</v>
      </c>
      <c r="H4178">
        <v>-75.241699999999994</v>
      </c>
      <c r="I4178" t="s">
        <v>4472</v>
      </c>
      <c r="J4178">
        <v>11</v>
      </c>
      <c r="M4178">
        <v>183</v>
      </c>
      <c r="N4178">
        <v>44</v>
      </c>
      <c r="O4178">
        <v>26</v>
      </c>
      <c r="P4178">
        <v>54</v>
      </c>
      <c r="Q4178">
        <v>24</v>
      </c>
      <c r="R4178">
        <v>33</v>
      </c>
    </row>
    <row r="4179" spans="1:18" x14ac:dyDescent="0.25">
      <c r="A4179" t="s">
        <v>4479</v>
      </c>
      <c r="B4179" t="s">
        <v>55</v>
      </c>
      <c r="C4179" t="s">
        <v>4471</v>
      </c>
      <c r="D4179" t="s">
        <v>2491</v>
      </c>
      <c r="E4179" t="s">
        <v>78</v>
      </c>
      <c r="F4179" t="s">
        <v>252</v>
      </c>
      <c r="G4179">
        <v>6.2186000000000003</v>
      </c>
      <c r="H4179">
        <v>-75.241699999999994</v>
      </c>
      <c r="I4179" t="s">
        <v>4472</v>
      </c>
      <c r="J4179">
        <v>11</v>
      </c>
      <c r="M4179">
        <v>169</v>
      </c>
      <c r="N4179">
        <v>41</v>
      </c>
      <c r="O4179">
        <v>28</v>
      </c>
      <c r="P4179">
        <v>44</v>
      </c>
      <c r="Q4179">
        <v>24</v>
      </c>
      <c r="R4179">
        <v>25</v>
      </c>
    </row>
    <row r="4180" spans="1:18" x14ac:dyDescent="0.25">
      <c r="A4180" t="s">
        <v>4480</v>
      </c>
      <c r="B4180" t="s">
        <v>55</v>
      </c>
      <c r="C4180" t="s">
        <v>4471</v>
      </c>
      <c r="D4180" t="s">
        <v>2491</v>
      </c>
      <c r="E4180" t="s">
        <v>78</v>
      </c>
      <c r="F4180" t="s">
        <v>252</v>
      </c>
      <c r="G4180">
        <v>6.2186000000000003</v>
      </c>
      <c r="H4180">
        <v>-75.241699999999994</v>
      </c>
      <c r="I4180" t="s">
        <v>4472</v>
      </c>
      <c r="J4180">
        <v>11</v>
      </c>
      <c r="M4180">
        <v>164</v>
      </c>
      <c r="N4180">
        <v>39</v>
      </c>
      <c r="O4180">
        <v>16</v>
      </c>
      <c r="P4180">
        <v>50</v>
      </c>
      <c r="Q4180">
        <v>24</v>
      </c>
      <c r="R4180">
        <v>40</v>
      </c>
    </row>
    <row r="4181" spans="1:18" x14ac:dyDescent="0.25">
      <c r="A4181" t="s">
        <v>4481</v>
      </c>
      <c r="B4181" t="s">
        <v>55</v>
      </c>
      <c r="C4181" t="s">
        <v>4471</v>
      </c>
      <c r="D4181" t="s">
        <v>2491</v>
      </c>
      <c r="E4181" t="s">
        <v>78</v>
      </c>
      <c r="F4181" t="s">
        <v>252</v>
      </c>
      <c r="G4181">
        <v>6.2186000000000003</v>
      </c>
      <c r="H4181">
        <v>-75.241699999999994</v>
      </c>
      <c r="I4181" t="s">
        <v>4472</v>
      </c>
      <c r="J4181">
        <v>11</v>
      </c>
      <c r="M4181">
        <v>160</v>
      </c>
      <c r="N4181">
        <v>41</v>
      </c>
      <c r="O4181">
        <v>34</v>
      </c>
      <c r="P4181">
        <v>28</v>
      </c>
      <c r="Q4181">
        <v>28</v>
      </c>
      <c r="R4181">
        <v>24</v>
      </c>
    </row>
    <row r="4182" spans="1:18" x14ac:dyDescent="0.25">
      <c r="A4182" t="s">
        <v>4482</v>
      </c>
      <c r="B4182" t="s">
        <v>55</v>
      </c>
      <c r="C4182" t="s">
        <v>4471</v>
      </c>
      <c r="D4182" t="s">
        <v>2491</v>
      </c>
      <c r="E4182" t="s">
        <v>78</v>
      </c>
      <c r="F4182" t="s">
        <v>252</v>
      </c>
      <c r="G4182">
        <v>6.2186000000000003</v>
      </c>
      <c r="H4182">
        <v>-75.241699999999994</v>
      </c>
      <c r="I4182" t="s">
        <v>4472</v>
      </c>
      <c r="J4182">
        <v>11</v>
      </c>
      <c r="M4182">
        <v>160</v>
      </c>
      <c r="N4182">
        <v>34</v>
      </c>
      <c r="O4182">
        <v>24</v>
      </c>
      <c r="P4182">
        <v>38</v>
      </c>
      <c r="Q4182">
        <v>31</v>
      </c>
      <c r="R4182">
        <v>35</v>
      </c>
    </row>
    <row r="4183" spans="1:18" x14ac:dyDescent="0.25">
      <c r="A4183" t="s">
        <v>4483</v>
      </c>
      <c r="B4183" t="s">
        <v>55</v>
      </c>
      <c r="C4183" t="s">
        <v>4471</v>
      </c>
      <c r="D4183" t="s">
        <v>2491</v>
      </c>
      <c r="E4183" t="s">
        <v>78</v>
      </c>
      <c r="F4183" t="s">
        <v>252</v>
      </c>
      <c r="G4183">
        <v>6.2186000000000003</v>
      </c>
      <c r="H4183">
        <v>-75.241699999999994</v>
      </c>
      <c r="I4183" t="s">
        <v>4472</v>
      </c>
      <c r="J4183">
        <v>11</v>
      </c>
      <c r="M4183">
        <v>159</v>
      </c>
      <c r="N4183">
        <v>32</v>
      </c>
      <c r="O4183">
        <v>22</v>
      </c>
      <c r="P4183">
        <v>38</v>
      </c>
      <c r="Q4183">
        <v>29</v>
      </c>
      <c r="R4183">
        <v>49</v>
      </c>
    </row>
    <row r="4184" spans="1:18" x14ac:dyDescent="0.25">
      <c r="A4184" t="s">
        <v>4484</v>
      </c>
      <c r="B4184" t="s">
        <v>55</v>
      </c>
      <c r="C4184" t="s">
        <v>4471</v>
      </c>
      <c r="D4184" t="s">
        <v>2491</v>
      </c>
      <c r="E4184" t="s">
        <v>78</v>
      </c>
      <c r="F4184" t="s">
        <v>252</v>
      </c>
      <c r="G4184">
        <v>6.2186000000000003</v>
      </c>
      <c r="H4184">
        <v>-75.241699999999994</v>
      </c>
      <c r="I4184" t="s">
        <v>4472</v>
      </c>
      <c r="J4184">
        <v>11</v>
      </c>
      <c r="M4184">
        <v>158</v>
      </c>
      <c r="N4184">
        <v>44</v>
      </c>
      <c r="O4184">
        <v>28</v>
      </c>
      <c r="P4184">
        <v>34</v>
      </c>
      <c r="Q4184">
        <v>17</v>
      </c>
      <c r="R4184">
        <v>42</v>
      </c>
    </row>
    <row r="4185" spans="1:18" x14ac:dyDescent="0.25">
      <c r="A4185" t="s">
        <v>4485</v>
      </c>
      <c r="B4185" t="s">
        <v>55</v>
      </c>
      <c r="C4185" t="s">
        <v>4471</v>
      </c>
      <c r="D4185" t="s">
        <v>2491</v>
      </c>
      <c r="E4185" t="s">
        <v>78</v>
      </c>
      <c r="F4185" t="s">
        <v>252</v>
      </c>
      <c r="G4185">
        <v>6.2186000000000003</v>
      </c>
      <c r="H4185">
        <v>-75.241699999999994</v>
      </c>
      <c r="I4185" t="s">
        <v>4472</v>
      </c>
      <c r="J4185">
        <v>11</v>
      </c>
      <c r="M4185">
        <v>154</v>
      </c>
      <c r="N4185">
        <v>29</v>
      </c>
      <c r="O4185">
        <v>34</v>
      </c>
      <c r="P4185">
        <v>40</v>
      </c>
      <c r="Q4185">
        <v>21</v>
      </c>
      <c r="R4185">
        <v>29</v>
      </c>
    </row>
    <row r="4186" spans="1:18" x14ac:dyDescent="0.25">
      <c r="A4186" t="s">
        <v>4486</v>
      </c>
      <c r="B4186" t="s">
        <v>55</v>
      </c>
      <c r="C4186" t="s">
        <v>4471</v>
      </c>
      <c r="D4186" t="s">
        <v>2491</v>
      </c>
      <c r="E4186" t="s">
        <v>78</v>
      </c>
      <c r="F4186" t="s">
        <v>252</v>
      </c>
      <c r="G4186">
        <v>6.2186000000000003</v>
      </c>
      <c r="H4186">
        <v>-75.241699999999994</v>
      </c>
      <c r="I4186" t="s">
        <v>4472</v>
      </c>
      <c r="J4186">
        <v>11</v>
      </c>
      <c r="M4186">
        <v>152</v>
      </c>
      <c r="N4186">
        <v>44</v>
      </c>
      <c r="O4186">
        <v>20</v>
      </c>
      <c r="P4186">
        <v>28</v>
      </c>
      <c r="Q4186">
        <v>28</v>
      </c>
      <c r="R4186">
        <v>36</v>
      </c>
    </row>
    <row r="4187" spans="1:18" x14ac:dyDescent="0.25">
      <c r="A4187" t="s">
        <v>4487</v>
      </c>
      <c r="B4187" t="s">
        <v>55</v>
      </c>
      <c r="C4187" t="s">
        <v>4471</v>
      </c>
      <c r="D4187" t="s">
        <v>2491</v>
      </c>
      <c r="E4187" t="s">
        <v>78</v>
      </c>
      <c r="F4187" t="s">
        <v>252</v>
      </c>
      <c r="G4187">
        <v>6.2186000000000003</v>
      </c>
      <c r="H4187">
        <v>-75.241699999999994</v>
      </c>
      <c r="I4187" t="s">
        <v>4472</v>
      </c>
      <c r="J4187">
        <v>11</v>
      </c>
      <c r="M4187">
        <v>152</v>
      </c>
      <c r="N4187">
        <v>37</v>
      </c>
      <c r="O4187">
        <v>16</v>
      </c>
      <c r="P4187">
        <v>38</v>
      </c>
      <c r="Q4187">
        <v>31</v>
      </c>
      <c r="R4187">
        <v>29</v>
      </c>
    </row>
    <row r="4188" spans="1:18" x14ac:dyDescent="0.25">
      <c r="A4188" t="s">
        <v>4488</v>
      </c>
      <c r="B4188" t="s">
        <v>55</v>
      </c>
      <c r="C4188" t="s">
        <v>4471</v>
      </c>
      <c r="D4188" t="s">
        <v>2491</v>
      </c>
      <c r="E4188" t="s">
        <v>78</v>
      </c>
      <c r="F4188" t="s">
        <v>252</v>
      </c>
      <c r="G4188">
        <v>6.2186000000000003</v>
      </c>
      <c r="H4188">
        <v>-75.241699999999994</v>
      </c>
      <c r="I4188" t="s">
        <v>4472</v>
      </c>
      <c r="J4188">
        <v>11</v>
      </c>
      <c r="M4188">
        <v>148</v>
      </c>
      <c r="N4188">
        <v>29</v>
      </c>
      <c r="O4188">
        <v>22</v>
      </c>
      <c r="P4188">
        <v>36</v>
      </c>
      <c r="Q4188">
        <v>28</v>
      </c>
      <c r="R4188">
        <v>40</v>
      </c>
    </row>
    <row r="4189" spans="1:18" x14ac:dyDescent="0.25">
      <c r="A4189" t="s">
        <v>4489</v>
      </c>
      <c r="B4189" t="s">
        <v>55</v>
      </c>
      <c r="C4189" t="s">
        <v>4471</v>
      </c>
      <c r="D4189" t="s">
        <v>2491</v>
      </c>
      <c r="E4189" t="s">
        <v>78</v>
      </c>
      <c r="F4189" t="s">
        <v>252</v>
      </c>
      <c r="G4189">
        <v>6.2186000000000003</v>
      </c>
      <c r="H4189">
        <v>-75.241699999999994</v>
      </c>
      <c r="I4189" t="s">
        <v>4472</v>
      </c>
      <c r="J4189">
        <v>11</v>
      </c>
      <c r="M4189">
        <v>145</v>
      </c>
      <c r="N4189">
        <v>29</v>
      </c>
      <c r="O4189">
        <v>28</v>
      </c>
      <c r="P4189">
        <v>32</v>
      </c>
      <c r="Q4189">
        <v>26</v>
      </c>
      <c r="R4189">
        <v>31</v>
      </c>
    </row>
    <row r="4190" spans="1:18" x14ac:dyDescent="0.25">
      <c r="A4190" t="s">
        <v>4490</v>
      </c>
      <c r="B4190" t="s">
        <v>55</v>
      </c>
      <c r="C4190" t="s">
        <v>4471</v>
      </c>
      <c r="D4190" t="s">
        <v>2491</v>
      </c>
      <c r="E4190" t="s">
        <v>78</v>
      </c>
      <c r="F4190" t="s">
        <v>252</v>
      </c>
      <c r="G4190">
        <v>6.2186000000000003</v>
      </c>
      <c r="H4190">
        <v>-75.241699999999994</v>
      </c>
      <c r="I4190" t="s">
        <v>4472</v>
      </c>
      <c r="J4190">
        <v>11</v>
      </c>
      <c r="M4190">
        <v>138</v>
      </c>
      <c r="N4190">
        <v>27</v>
      </c>
      <c r="O4190">
        <v>20</v>
      </c>
      <c r="P4190">
        <v>36</v>
      </c>
      <c r="Q4190">
        <v>26</v>
      </c>
      <c r="R4190">
        <v>33</v>
      </c>
    </row>
    <row r="4191" spans="1:18" x14ac:dyDescent="0.25">
      <c r="A4191" t="s">
        <v>4491</v>
      </c>
      <c r="B4191" t="s">
        <v>55</v>
      </c>
      <c r="C4191" t="s">
        <v>4471</v>
      </c>
      <c r="D4191" t="s">
        <v>2491</v>
      </c>
      <c r="E4191" t="s">
        <v>78</v>
      </c>
      <c r="F4191" t="s">
        <v>252</v>
      </c>
      <c r="G4191">
        <v>6.2186000000000003</v>
      </c>
      <c r="H4191">
        <v>-75.241699999999994</v>
      </c>
      <c r="I4191" t="s">
        <v>4472</v>
      </c>
      <c r="J4191">
        <v>11</v>
      </c>
      <c r="M4191">
        <v>137</v>
      </c>
      <c r="N4191">
        <v>37</v>
      </c>
      <c r="O4191">
        <v>14</v>
      </c>
      <c r="P4191">
        <v>34</v>
      </c>
      <c r="Q4191">
        <v>22</v>
      </c>
      <c r="R4191">
        <v>36</v>
      </c>
    </row>
    <row r="4192" spans="1:18" x14ac:dyDescent="0.25">
      <c r="A4192" t="s">
        <v>4492</v>
      </c>
      <c r="B4192" t="s">
        <v>55</v>
      </c>
      <c r="C4192" t="s">
        <v>4471</v>
      </c>
      <c r="D4192" t="s">
        <v>2491</v>
      </c>
      <c r="E4192" t="s">
        <v>78</v>
      </c>
      <c r="F4192" t="s">
        <v>252</v>
      </c>
      <c r="G4192">
        <v>6.2186000000000003</v>
      </c>
      <c r="H4192">
        <v>-75.241699999999994</v>
      </c>
      <c r="I4192" t="s">
        <v>4472</v>
      </c>
      <c r="J4192">
        <v>11</v>
      </c>
      <c r="M4192">
        <v>134</v>
      </c>
      <c r="N4192">
        <v>39</v>
      </c>
      <c r="O4192">
        <v>24</v>
      </c>
      <c r="P4192">
        <v>28</v>
      </c>
      <c r="Q4192">
        <v>21</v>
      </c>
      <c r="R4192">
        <v>15</v>
      </c>
    </row>
    <row r="4193" spans="1:18" x14ac:dyDescent="0.25">
      <c r="A4193" t="s">
        <v>4493</v>
      </c>
      <c r="B4193" t="s">
        <v>55</v>
      </c>
      <c r="C4193" t="s">
        <v>4471</v>
      </c>
      <c r="D4193" t="s">
        <v>2491</v>
      </c>
      <c r="E4193" t="s">
        <v>78</v>
      </c>
      <c r="F4193" t="s">
        <v>252</v>
      </c>
      <c r="G4193">
        <v>6.2186000000000003</v>
      </c>
      <c r="H4193">
        <v>-75.241699999999994</v>
      </c>
      <c r="I4193" t="s">
        <v>4472</v>
      </c>
      <c r="J4193">
        <v>11</v>
      </c>
      <c r="M4193">
        <v>133</v>
      </c>
      <c r="N4193">
        <v>39</v>
      </c>
      <c r="O4193">
        <v>16</v>
      </c>
      <c r="P4193">
        <v>18</v>
      </c>
      <c r="Q4193">
        <v>26</v>
      </c>
      <c r="R4193">
        <v>49</v>
      </c>
    </row>
    <row r="4194" spans="1:18" x14ac:dyDescent="0.25">
      <c r="A4194" t="s">
        <v>4494</v>
      </c>
      <c r="B4194" t="s">
        <v>55</v>
      </c>
      <c r="C4194" t="s">
        <v>4471</v>
      </c>
      <c r="D4194" t="s">
        <v>2491</v>
      </c>
      <c r="E4194" t="s">
        <v>78</v>
      </c>
      <c r="F4194" t="s">
        <v>252</v>
      </c>
      <c r="G4194">
        <v>6.2186000000000003</v>
      </c>
      <c r="H4194">
        <v>-75.241699999999994</v>
      </c>
      <c r="I4194" t="s">
        <v>4472</v>
      </c>
      <c r="J4194">
        <v>11</v>
      </c>
      <c r="M4194">
        <v>132</v>
      </c>
      <c r="N4194">
        <v>34</v>
      </c>
      <c r="O4194">
        <v>24</v>
      </c>
      <c r="P4194">
        <v>28</v>
      </c>
      <c r="Q4194">
        <v>24</v>
      </c>
      <c r="R4194">
        <v>13</v>
      </c>
    </row>
  </sheetData>
  <autoFilter ref="A14:R4194" xr:uid="{00000000-0001-0000-01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53"/>
  <sheetViews>
    <sheetView showGridLines="0" tabSelected="1" zoomScale="85" zoomScaleNormal="85" workbookViewId="0">
      <selection activeCell="G6" sqref="G6"/>
    </sheetView>
  </sheetViews>
  <sheetFormatPr baseColWidth="10" defaultColWidth="9.140625" defaultRowHeight="15" x14ac:dyDescent="0.25"/>
  <cols>
    <col min="1" max="1" width="3" customWidth="1"/>
    <col min="2" max="2" width="26" customWidth="1"/>
    <col min="3" max="3" width="19.140625" bestFit="1" customWidth="1"/>
    <col min="4" max="4" width="14" customWidth="1"/>
    <col min="5" max="5" width="20" customWidth="1"/>
    <col min="6" max="6" width="16" customWidth="1"/>
    <col min="7" max="7" width="18" customWidth="1"/>
    <col min="8" max="8" width="4" customWidth="1"/>
  </cols>
  <sheetData>
    <row r="2" spans="2:3" ht="18.75" x14ac:dyDescent="0.3">
      <c r="B2" s="1" t="s">
        <v>4495</v>
      </c>
    </row>
    <row r="4" spans="2:3" x14ac:dyDescent="0.25">
      <c r="B4" s="3" t="s">
        <v>4496</v>
      </c>
    </row>
    <row r="5" spans="2:3" x14ac:dyDescent="0.25">
      <c r="B5" s="4" t="s">
        <v>4497</v>
      </c>
      <c r="C5" s="10">
        <f>COUNT('2_Datos'!$M$15:$M$60000)</f>
        <v>4180</v>
      </c>
    </row>
    <row r="6" spans="2:3" x14ac:dyDescent="0.25">
      <c r="B6" s="4" t="s">
        <v>4498</v>
      </c>
      <c r="C6" s="11">
        <f>AVERAGE('2_Datos'!$M$15:$M$60000)</f>
        <v>191.51401913875603</v>
      </c>
    </row>
    <row r="7" spans="2:3" x14ac:dyDescent="0.25">
      <c r="B7" s="4" t="s">
        <v>4679</v>
      </c>
      <c r="C7" s="11">
        <f>MODE('2_Datos'!$M$15:$M$60000)</f>
        <v>165</v>
      </c>
    </row>
    <row r="8" spans="2:3" x14ac:dyDescent="0.25">
      <c r="B8" s="4" t="s">
        <v>45</v>
      </c>
      <c r="C8" s="11">
        <f>MEDIAN('2_Datos'!$M$15:$M$60000)</f>
        <v>183</v>
      </c>
    </row>
    <row r="9" spans="2:3" x14ac:dyDescent="0.25">
      <c r="B9" s="4" t="s">
        <v>48</v>
      </c>
      <c r="C9" s="11">
        <f>MIN('2_Datos'!$M$15:$M$60000)</f>
        <v>40</v>
      </c>
    </row>
    <row r="10" spans="2:3" x14ac:dyDescent="0.25">
      <c r="B10" s="4" t="s">
        <v>4676</v>
      </c>
      <c r="C10" s="11">
        <f>_xlfn.PERCENTILE.INC('2_Datos'!$M$15:$M$60000,0.25)</f>
        <v>153</v>
      </c>
    </row>
    <row r="11" spans="2:3" x14ac:dyDescent="0.25">
      <c r="B11" s="4" t="s">
        <v>4677</v>
      </c>
      <c r="C11" s="11">
        <f>_xlfn.PERCENTILE.INC('2_Datos'!$M$15:$M$60000,0.75)</f>
        <v>221.4</v>
      </c>
    </row>
    <row r="12" spans="2:3" x14ac:dyDescent="0.25">
      <c r="B12" s="4" t="s">
        <v>49</v>
      </c>
      <c r="C12" s="11">
        <f>MAX('2_Datos'!$M$15:$M$60000)</f>
        <v>439.7</v>
      </c>
    </row>
    <row r="13" spans="2:3" x14ac:dyDescent="0.25">
      <c r="B13" s="4" t="s">
        <v>4678</v>
      </c>
      <c r="C13" s="11">
        <f>C12-C9</f>
        <v>399.7</v>
      </c>
    </row>
    <row r="14" spans="2:3" x14ac:dyDescent="0.25">
      <c r="B14" s="4" t="s">
        <v>4499</v>
      </c>
      <c r="C14" s="11">
        <f>VAR('2_Datos'!$M$15:$M$60000)</f>
        <v>2937.4654411290658</v>
      </c>
    </row>
    <row r="15" spans="2:3" x14ac:dyDescent="0.25">
      <c r="B15" s="4" t="s">
        <v>4500</v>
      </c>
      <c r="C15" s="11">
        <f>STDEV('2_Datos'!$M$15:$M$60000)</f>
        <v>54.198389654389786</v>
      </c>
    </row>
    <row r="16" spans="2:3" x14ac:dyDescent="0.25">
      <c r="B16" s="4" t="s">
        <v>4680</v>
      </c>
      <c r="C16" s="11">
        <f>(C15/C6)*100</f>
        <v>28.299959396247587</v>
      </c>
    </row>
    <row r="18" spans="2:7" x14ac:dyDescent="0.25">
      <c r="B18" t="s">
        <v>4501</v>
      </c>
    </row>
    <row r="19" spans="2:7" x14ac:dyDescent="0.25">
      <c r="B19" s="3" t="s">
        <v>4502</v>
      </c>
    </row>
    <row r="20" spans="2:7" ht="30" x14ac:dyDescent="0.25">
      <c r="B20" s="12" t="s">
        <v>4503</v>
      </c>
      <c r="C20" s="12" t="s">
        <v>4504</v>
      </c>
      <c r="D20" s="12" t="s">
        <v>4505</v>
      </c>
      <c r="E20" s="12" t="s">
        <v>4506</v>
      </c>
      <c r="F20" s="12" t="s">
        <v>4507</v>
      </c>
      <c r="G20" s="12" t="s">
        <v>4508</v>
      </c>
    </row>
    <row r="21" spans="2:7" x14ac:dyDescent="0.25">
      <c r="B21">
        <v>0</v>
      </c>
      <c r="C21">
        <v>25</v>
      </c>
      <c r="D21">
        <f>(B21+C21)/2</f>
        <v>12.5</v>
      </c>
      <c r="E21">
        <f>COUNTIF('2_Datos'!$M$15:$M$60000,"&lt;="&amp;C21)</f>
        <v>0</v>
      </c>
      <c r="F21" s="13">
        <f t="shared" ref="F21:F38" si="0">E21/$C$5</f>
        <v>0</v>
      </c>
      <c r="G21" s="14">
        <f>NORMDIST(D21,$C$6,$C$15,FALSE)*$C$5*25</f>
        <v>3.2892083316189749</v>
      </c>
    </row>
    <row r="22" spans="2:7" x14ac:dyDescent="0.25">
      <c r="B22">
        <v>25</v>
      </c>
      <c r="C22">
        <v>50</v>
      </c>
      <c r="D22">
        <f>(B22+C22)/2</f>
        <v>37.5</v>
      </c>
      <c r="E22">
        <f>COUNTIFS('2_Datos'!$M$15:$M$60000,"&gt;"&amp;B22,'2_Datos'!$M$15:$M$60000,"&lt;="&amp;C22)</f>
        <v>4</v>
      </c>
      <c r="F22" s="13">
        <f t="shared" si="0"/>
        <v>9.5693779904306223E-4</v>
      </c>
      <c r="G22" s="14">
        <f>NORMDIST(D22,$C$6,$C$15,FALSE)*$C$5*25</f>
        <v>13.569222382082824</v>
      </c>
    </row>
    <row r="23" spans="2:7" x14ac:dyDescent="0.25">
      <c r="B23">
        <v>50</v>
      </c>
      <c r="C23">
        <v>75</v>
      </c>
      <c r="D23">
        <f>(B23+C23)/2</f>
        <v>62.5</v>
      </c>
      <c r="E23">
        <f>COUNTIFS('2_Datos'!$M$15:$M$60000,"&gt;"&amp;B23,'2_Datos'!$M$15:$M$60000,"&lt;="&amp;C23)</f>
        <v>29</v>
      </c>
      <c r="F23" s="13">
        <f t="shared" si="0"/>
        <v>6.9377990430622011E-3</v>
      </c>
      <c r="G23" s="14">
        <f>NORMDIST(D23,$C$6,$C$15,FALSE)*$C$5*25</f>
        <v>45.249560992608515</v>
      </c>
    </row>
    <row r="24" spans="2:7" x14ac:dyDescent="0.25">
      <c r="B24">
        <v>75</v>
      </c>
      <c r="C24">
        <v>100</v>
      </c>
      <c r="D24">
        <f>(B24+C24)/2</f>
        <v>87.5</v>
      </c>
      <c r="E24">
        <f>COUNTIFS('2_Datos'!$M$15:$M$60000,"&gt;"&amp;B24,'2_Datos'!$M$15:$M$60000,"&lt;="&amp;C24)</f>
        <v>51</v>
      </c>
      <c r="F24" s="13">
        <f t="shared" si="0"/>
        <v>1.2200956937799042E-2</v>
      </c>
      <c r="G24" s="14">
        <f>NORMDIST(D24,$C$6,$C$15,FALSE)*$C$5*25</f>
        <v>121.97465874310831</v>
      </c>
    </row>
    <row r="25" spans="2:7" x14ac:dyDescent="0.25">
      <c r="B25">
        <v>100</v>
      </c>
      <c r="C25">
        <v>125</v>
      </c>
      <c r="D25">
        <f>(B25+C25)/2</f>
        <v>112.5</v>
      </c>
      <c r="E25">
        <f>COUNTIFS('2_Datos'!$M$15:$M$60000,"&gt;"&amp;B25,'2_Datos'!$M$15:$M$60000,"&lt;="&amp;C25)</f>
        <v>193</v>
      </c>
      <c r="F25" s="13">
        <f t="shared" si="0"/>
        <v>4.6172248803827753E-2</v>
      </c>
      <c r="G25" s="14">
        <f>NORMDIST(D25,$C$6,$C$15,FALSE)*$C$5*25</f>
        <v>265.77901344880945</v>
      </c>
    </row>
    <row r="26" spans="2:7" x14ac:dyDescent="0.25">
      <c r="B26">
        <v>125</v>
      </c>
      <c r="C26">
        <v>150</v>
      </c>
      <c r="D26">
        <f>(B26+C26)/2</f>
        <v>137.5</v>
      </c>
      <c r="E26">
        <f>COUNTIFS('2_Datos'!$M$15:$M$60000,"&gt;"&amp;B26,'2_Datos'!$M$15:$M$60000,"&lt;="&amp;C26)</f>
        <v>678</v>
      </c>
      <c r="F26" s="13">
        <f t="shared" si="0"/>
        <v>0.16220095693779904</v>
      </c>
      <c r="G26" s="14">
        <f>NORMDIST(D26,$C$6,$C$15,FALSE)*$C$5*25</f>
        <v>468.13120323929604</v>
      </c>
    </row>
    <row r="27" spans="2:7" x14ac:dyDescent="0.25">
      <c r="B27">
        <v>150</v>
      </c>
      <c r="C27">
        <v>175</v>
      </c>
      <c r="D27">
        <f>(B27+C27)/2</f>
        <v>162.5</v>
      </c>
      <c r="E27">
        <f>COUNTIFS('2_Datos'!$M$15:$M$60000,"&gt;"&amp;B27,'2_Datos'!$M$15:$M$60000,"&lt;="&amp;C27)</f>
        <v>873</v>
      </c>
      <c r="F27" s="13">
        <f t="shared" si="0"/>
        <v>0.20885167464114832</v>
      </c>
      <c r="G27" s="14">
        <f>NORMDIST(D27,$C$6,$C$15,FALSE)*$C$5*25</f>
        <v>666.5156120412928</v>
      </c>
    </row>
    <row r="28" spans="2:7" x14ac:dyDescent="0.25">
      <c r="B28">
        <v>175</v>
      </c>
      <c r="C28">
        <v>200</v>
      </c>
      <c r="D28">
        <f>(B28+C28)/2</f>
        <v>187.5</v>
      </c>
      <c r="E28">
        <f>COUNTIFS('2_Datos'!$M$15:$M$60000,"&gt;"&amp;B28,'2_Datos'!$M$15:$M$60000,"&lt;="&amp;C28)</f>
        <v>798</v>
      </c>
      <c r="F28" s="13">
        <f t="shared" si="0"/>
        <v>0.19090909090909092</v>
      </c>
      <c r="G28" s="14">
        <f>NORMDIST(D28,$C$6,$C$15,FALSE)*$C$5*25</f>
        <v>767.09454557145727</v>
      </c>
    </row>
    <row r="29" spans="2:7" x14ac:dyDescent="0.25">
      <c r="B29">
        <v>200</v>
      </c>
      <c r="C29">
        <v>225</v>
      </c>
      <c r="D29">
        <f>(B29+C29)/2</f>
        <v>212.5</v>
      </c>
      <c r="E29">
        <f>COUNTIFS('2_Datos'!$M$15:$M$60000,"&gt;"&amp;B29,'2_Datos'!$M$15:$M$60000,"&lt;="&amp;C29)</f>
        <v>587</v>
      </c>
      <c r="F29" s="13">
        <f t="shared" si="0"/>
        <v>0.14043062200956938</v>
      </c>
      <c r="G29" s="14">
        <f>NORMDIST(D29,$C$6,$C$15,FALSE)*$C$5*25</f>
        <v>713.64675363287074</v>
      </c>
    </row>
    <row r="30" spans="2:7" x14ac:dyDescent="0.25">
      <c r="B30">
        <v>225</v>
      </c>
      <c r="C30">
        <v>250</v>
      </c>
      <c r="D30">
        <f>(B30+C30)/2</f>
        <v>237.5</v>
      </c>
      <c r="E30">
        <f>COUNTIFS('2_Datos'!$M$15:$M$60000,"&gt;"&amp;B30,'2_Datos'!$M$15:$M$60000,"&lt;="&amp;C30)</f>
        <v>392</v>
      </c>
      <c r="F30" s="13">
        <f t="shared" si="0"/>
        <v>9.3779904306220102E-2</v>
      </c>
      <c r="G30" s="14">
        <f>NORMDIST(D30,$C$6,$C$15,FALSE)*$C$5*25</f>
        <v>536.67767048538735</v>
      </c>
    </row>
    <row r="31" spans="2:7" x14ac:dyDescent="0.25">
      <c r="B31">
        <v>250</v>
      </c>
      <c r="C31">
        <v>275</v>
      </c>
      <c r="D31">
        <f>(B31+C31)/2</f>
        <v>262.5</v>
      </c>
      <c r="E31">
        <f>COUNTIFS('2_Datos'!$M$15:$M$60000,"&gt;"&amp;B31,'2_Datos'!$M$15:$M$60000,"&lt;="&amp;C31)</f>
        <v>258</v>
      </c>
      <c r="F31" s="13">
        <f t="shared" si="0"/>
        <v>6.1722488038277512E-2</v>
      </c>
      <c r="G31" s="14">
        <f>NORMDIST(D31,$C$6,$C$15,FALSE)*$C$5*25</f>
        <v>326.24178834911328</v>
      </c>
    </row>
    <row r="32" spans="2:7" x14ac:dyDescent="0.25">
      <c r="B32">
        <v>275</v>
      </c>
      <c r="C32">
        <v>300</v>
      </c>
      <c r="D32">
        <f>(B32+C32)/2</f>
        <v>287.5</v>
      </c>
      <c r="E32">
        <f>COUNTIFS('2_Datos'!$M$15:$M$60000,"&gt;"&amp;B32,'2_Datos'!$M$15:$M$60000,"&lt;="&amp;C32)</f>
        <v>128</v>
      </c>
      <c r="F32" s="13">
        <f t="shared" si="0"/>
        <v>3.0622009569377991E-2</v>
      </c>
      <c r="G32" s="14">
        <f>NORMDIST(D32,$C$6,$C$15,FALSE)*$C$5*25</f>
        <v>160.31032103673704</v>
      </c>
    </row>
    <row r="33" spans="2:7" x14ac:dyDescent="0.25">
      <c r="B33">
        <v>300</v>
      </c>
      <c r="C33">
        <v>325</v>
      </c>
      <c r="D33">
        <f>(B33+C33)/2</f>
        <v>312.5</v>
      </c>
      <c r="E33">
        <f>COUNTIFS('2_Datos'!$M$15:$M$60000,"&gt;"&amp;B33,'2_Datos'!$M$15:$M$60000,"&lt;="&amp;C33)</f>
        <v>105</v>
      </c>
      <c r="F33" s="13">
        <f t="shared" si="0"/>
        <v>2.5119617224880382E-2</v>
      </c>
      <c r="G33" s="14">
        <f>NORMDIST(D33,$C$6,$C$15,FALSE)*$C$5*25</f>
        <v>63.67650380572892</v>
      </c>
    </row>
    <row r="34" spans="2:7" x14ac:dyDescent="0.25">
      <c r="B34">
        <v>325</v>
      </c>
      <c r="C34">
        <v>350</v>
      </c>
      <c r="D34">
        <f>(B34+C34)/2</f>
        <v>337.5</v>
      </c>
      <c r="E34">
        <f>COUNTIFS('2_Datos'!$M$15:$M$60000,"&gt;"&amp;B34,'2_Datos'!$M$15:$M$60000,"&lt;="&amp;C34)</f>
        <v>48</v>
      </c>
      <c r="F34" s="13">
        <f t="shared" si="0"/>
        <v>1.1483253588516746E-2</v>
      </c>
      <c r="G34" s="14">
        <f>NORMDIST(D34,$C$6,$C$15,FALSE)*$C$5*25</f>
        <v>20.445266139143587</v>
      </c>
    </row>
    <row r="35" spans="2:7" x14ac:dyDescent="0.25">
      <c r="B35">
        <v>350</v>
      </c>
      <c r="C35">
        <v>375</v>
      </c>
      <c r="D35">
        <f>(B35+C35)/2</f>
        <v>362.5</v>
      </c>
      <c r="E35">
        <f>COUNTIFS('2_Datos'!$M$15:$M$60000,"&gt;"&amp;B35,'2_Datos'!$M$15:$M$60000,"&lt;="&amp;C35)</f>
        <v>16</v>
      </c>
      <c r="F35" s="13">
        <f t="shared" si="0"/>
        <v>3.8277511961722489E-3</v>
      </c>
      <c r="G35" s="14">
        <f>NORMDIST(D35,$C$6,$C$15,FALSE)*$C$5*25</f>
        <v>5.3064265574776943</v>
      </c>
    </row>
    <row r="36" spans="2:7" x14ac:dyDescent="0.25">
      <c r="B36">
        <v>375</v>
      </c>
      <c r="C36">
        <v>400</v>
      </c>
      <c r="D36">
        <f>(B36+C36)/2</f>
        <v>387.5</v>
      </c>
      <c r="E36">
        <f>COUNTIFS('2_Datos'!$M$15:$M$60000,"&gt;"&amp;B36,'2_Datos'!$M$15:$M$60000,"&lt;="&amp;C36)</f>
        <v>14</v>
      </c>
      <c r="F36" s="13">
        <f t="shared" si="0"/>
        <v>3.3492822966507177E-3</v>
      </c>
      <c r="G36" s="14">
        <f>NORMDIST(D36,$C$6,$C$15,FALSE)*$C$5*25</f>
        <v>1.1132876186378562</v>
      </c>
    </row>
    <row r="37" spans="2:7" x14ac:dyDescent="0.25">
      <c r="B37">
        <v>400</v>
      </c>
      <c r="C37">
        <v>425</v>
      </c>
      <c r="D37">
        <f>(B37+C37)/2</f>
        <v>412.5</v>
      </c>
      <c r="E37">
        <f>COUNTIFS('2_Datos'!$M$15:$M$60000,"&gt;"&amp;B37,'2_Datos'!$M$15:$M$60000,"&lt;="&amp;C37)</f>
        <v>4</v>
      </c>
      <c r="F37" s="13">
        <f t="shared" si="0"/>
        <v>9.5693779904306223E-4</v>
      </c>
      <c r="G37" s="14">
        <f>NORMDIST(D37,$C$6,$C$15,FALSE)*$C$5*25</f>
        <v>0.18880280056511073</v>
      </c>
    </row>
    <row r="38" spans="2:7" x14ac:dyDescent="0.25">
      <c r="B38">
        <v>425</v>
      </c>
      <c r="C38">
        <v>450</v>
      </c>
      <c r="D38">
        <f>(B38+C38)/2</f>
        <v>437.5</v>
      </c>
      <c r="E38">
        <f>COUNTIFS('2_Datos'!$M$15:$M$60000,"&gt;"&amp;B38,'2_Datos'!$M$15:$M$60000,"&lt;="&amp;C38)</f>
        <v>2</v>
      </c>
      <c r="F38" s="13">
        <f t="shared" si="0"/>
        <v>4.7846889952153111E-4</v>
      </c>
      <c r="G38" s="14">
        <f>NORMDIST(D38,$C$6,$C$15,FALSE)*$C$5*25</f>
        <v>2.5882445998379758E-2</v>
      </c>
    </row>
    <row r="39" spans="2:7" x14ac:dyDescent="0.25">
      <c r="B39" s="15" t="s">
        <v>4509</v>
      </c>
      <c r="E39" s="4">
        <f>SUM(E21:E38)</f>
        <v>4180</v>
      </c>
      <c r="F39" s="16">
        <f>SUM(F21:F38)</f>
        <v>1.0000000000000002</v>
      </c>
      <c r="G39" s="17">
        <f>SUM(G21:G38)</f>
        <v>4179.2357276219345</v>
      </c>
    </row>
    <row r="41" spans="2:7" x14ac:dyDescent="0.25">
      <c r="B41" s="3" t="s">
        <v>4510</v>
      </c>
    </row>
    <row r="42" spans="2:7" x14ac:dyDescent="0.25">
      <c r="B42" s="7" t="s">
        <v>4511</v>
      </c>
      <c r="C42" s="7" t="s">
        <v>4512</v>
      </c>
      <c r="D42" s="7" t="s">
        <v>4506</v>
      </c>
      <c r="E42" s="7" t="s">
        <v>4513</v>
      </c>
    </row>
    <row r="43" spans="2:7" x14ac:dyDescent="0.25">
      <c r="B43" t="s">
        <v>4514</v>
      </c>
      <c r="C43" s="13">
        <f>NORMDIST(150,$C$6,$C$15,TRUE)</f>
        <v>0.221848840612865</v>
      </c>
      <c r="D43" s="13">
        <f>COUNTIF('2_Datos'!$M$15:$M$60000,"&lt;=150")/$C$5</f>
        <v>0.2284688995215311</v>
      </c>
      <c r="E43" s="13">
        <f>D43-C43</f>
        <v>6.6200589086660988E-3</v>
      </c>
    </row>
    <row r="44" spans="2:7" x14ac:dyDescent="0.25">
      <c r="B44" t="s">
        <v>4515</v>
      </c>
      <c r="C44" s="13">
        <f>NORMDIST(250,$C$6,$C$15,TRUE)-NORMDIST(150,$C$6,$C$15,TRUE)</f>
        <v>0.63788163398511077</v>
      </c>
      <c r="D44" s="13">
        <f>COUNTIFS('2_Datos'!$M$15:$M$60000,"&gt;150",'2_Datos'!$M$15:$M$60000,"&lt;=250")/$C$5</f>
        <v>0.63397129186602874</v>
      </c>
      <c r="E44" s="13">
        <f>D44-C44</f>
        <v>-3.9103421190820331E-3</v>
      </c>
    </row>
    <row r="45" spans="2:7" x14ac:dyDescent="0.25">
      <c r="B45" t="s">
        <v>4516</v>
      </c>
      <c r="C45" s="13">
        <f>1-NORMDIST(250,$C$6,$C$15,TRUE)</f>
        <v>0.1402695254020242</v>
      </c>
      <c r="D45" s="13">
        <f>COUNTIF('2_Datos'!$M$15:$M$60000,"&gt;250")/$C$5</f>
        <v>0.13755980861244019</v>
      </c>
      <c r="E45" s="13">
        <f>D45-C45</f>
        <v>-2.7097167895840102E-3</v>
      </c>
    </row>
    <row r="46" spans="2:7" x14ac:dyDescent="0.25">
      <c r="B46" t="s">
        <v>4517</v>
      </c>
      <c r="C46" s="13">
        <f>1-NORMDIST(300,$C$6,$C$15,TRUE)</f>
        <v>2.2661417908541703E-2</v>
      </c>
      <c r="D46" s="13">
        <f>COUNTIF('2_Datos'!$M$15:$M$60000,"&gt;300")/$C$5</f>
        <v>4.5215311004784688E-2</v>
      </c>
      <c r="E46" s="13">
        <f>D46-C46</f>
        <v>2.2553893096242984E-2</v>
      </c>
    </row>
    <row r="47" spans="2:7" x14ac:dyDescent="0.25">
      <c r="B47" t="s">
        <v>4518</v>
      </c>
      <c r="C47" s="13">
        <f>1-NORMDIST(350,$C$6,$C$15,TRUE)</f>
        <v>1.7268111699360045E-3</v>
      </c>
      <c r="D47" s="13">
        <f>COUNTIF('2_Datos'!$M$15:$M$60000,"&gt;350")/$C$5</f>
        <v>8.6124401913875593E-3</v>
      </c>
      <c r="E47" s="13">
        <f>D47-C47</f>
        <v>6.8856290214515548E-3</v>
      </c>
    </row>
    <row r="49" spans="2:5" x14ac:dyDescent="0.25">
      <c r="B49" s="3" t="s">
        <v>4519</v>
      </c>
    </row>
    <row r="50" spans="2:5" x14ac:dyDescent="0.25">
      <c r="B50" s="7" t="s">
        <v>4520</v>
      </c>
      <c r="C50" s="7" t="s">
        <v>4521</v>
      </c>
      <c r="D50" s="7" t="s">
        <v>4522</v>
      </c>
      <c r="E50" s="7" t="s">
        <v>4513</v>
      </c>
    </row>
    <row r="51" spans="2:5" x14ac:dyDescent="0.25">
      <c r="B51" t="s">
        <v>4523</v>
      </c>
      <c r="C51" s="13">
        <f>COUNTIFS('2_Datos'!$M$15:$M$60000,"&gt;"&amp;($C$6-1*$C$15),'2_Datos'!$M$15:$M$60000,"&lt;="&amp;($C$6+1*$C$15))/$C$5</f>
        <v>0.72200956937799043</v>
      </c>
      <c r="D51" s="13">
        <v>0.68269999999999997</v>
      </c>
      <c r="E51" s="13">
        <f>C51-D51</f>
        <v>3.9309569377990461E-2</v>
      </c>
    </row>
    <row r="52" spans="2:5" x14ac:dyDescent="0.25">
      <c r="B52" t="s">
        <v>4524</v>
      </c>
      <c r="C52" s="13">
        <f>COUNTIFS('2_Datos'!$M$15:$M$60000,"&gt;"&amp;($C$6-2*$C$15),'2_Datos'!$M$15:$M$60000,"&lt;="&amp;($C$6+2*$C$15))/$C$5</f>
        <v>0.94354066985645935</v>
      </c>
      <c r="D52" s="13">
        <v>0.95450000000000002</v>
      </c>
      <c r="E52" s="13">
        <f>C52-D52</f>
        <v>-1.0959330143540669E-2</v>
      </c>
    </row>
    <row r="53" spans="2:5" x14ac:dyDescent="0.25">
      <c r="B53" t="s">
        <v>4525</v>
      </c>
      <c r="C53" s="13">
        <f>COUNTIFS('2_Datos'!$M$15:$M$60000,"&gt;"&amp;($C$6-3*$C$15),'2_Datos'!$M$15:$M$60000,"&lt;="&amp;($C$6+3*$C$15))/$C$5</f>
        <v>0.99210526315789471</v>
      </c>
      <c r="D53" s="13">
        <v>0.99729999999999996</v>
      </c>
      <c r="E53" s="13">
        <f>C53-D53</f>
        <v>-5.194736842105252E-3</v>
      </c>
    </row>
  </sheetData>
  <pageMargins left="0.75" right="0.75" top="1" bottom="1" header="0.5" footer="0.5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5"/>
  <sheetViews>
    <sheetView showGridLines="0" workbookViewId="0">
      <pane ySplit="4" topLeftCell="A5" activePane="bottomLeft" state="frozen"/>
      <selection pane="bottomLeft" activeCell="D6" sqref="D6"/>
    </sheetView>
  </sheetViews>
  <sheetFormatPr baseColWidth="10" defaultColWidth="9.140625" defaultRowHeight="15" x14ac:dyDescent="0.25"/>
  <cols>
    <col min="1" max="1" width="34" customWidth="1"/>
    <col min="2" max="2" width="15" customWidth="1"/>
    <col min="3" max="3" width="16" customWidth="1"/>
    <col min="4" max="4" width="13" customWidth="1"/>
    <col min="5" max="5" width="30" customWidth="1"/>
    <col min="6" max="7" width="11" customWidth="1"/>
    <col min="8" max="8" width="18" customWidth="1"/>
    <col min="9" max="9" width="14" customWidth="1"/>
    <col min="10" max="10" width="16" customWidth="1"/>
    <col min="11" max="11" width="34" customWidth="1"/>
  </cols>
  <sheetData>
    <row r="1" spans="1:11" ht="18.75" x14ac:dyDescent="0.3">
      <c r="A1" s="1" t="s">
        <v>4526</v>
      </c>
    </row>
    <row r="2" spans="1:11" x14ac:dyDescent="0.25">
      <c r="A2" s="6" t="s">
        <v>4527</v>
      </c>
    </row>
    <row r="4" spans="1:11" x14ac:dyDescent="0.25">
      <c r="A4" s="7" t="s">
        <v>59</v>
      </c>
      <c r="B4" s="7" t="s">
        <v>58</v>
      </c>
      <c r="C4" s="7" t="s">
        <v>60</v>
      </c>
      <c r="D4" s="7" t="s">
        <v>61</v>
      </c>
      <c r="E4" s="7" t="s">
        <v>62</v>
      </c>
      <c r="F4" s="7" t="s">
        <v>63</v>
      </c>
      <c r="G4" s="7" t="s">
        <v>64</v>
      </c>
      <c r="H4" s="7" t="s">
        <v>4528</v>
      </c>
      <c r="I4" s="7" t="s">
        <v>4529</v>
      </c>
      <c r="J4" s="7" t="s">
        <v>4530</v>
      </c>
      <c r="K4" s="7" t="s">
        <v>4531</v>
      </c>
    </row>
    <row r="5" spans="1:11" x14ac:dyDescent="0.25">
      <c r="A5" t="s">
        <v>76</v>
      </c>
      <c r="B5" t="s">
        <v>51</v>
      </c>
      <c r="C5" t="s">
        <v>77</v>
      </c>
      <c r="D5" t="s">
        <v>78</v>
      </c>
      <c r="E5" t="s">
        <v>79</v>
      </c>
      <c r="F5">
        <v>6.2675000000000001</v>
      </c>
      <c r="G5">
        <v>-75.568600000000004</v>
      </c>
      <c r="H5" t="s">
        <v>4532</v>
      </c>
      <c r="I5">
        <v>165</v>
      </c>
      <c r="J5">
        <v>292.58</v>
      </c>
      <c r="K5" t="s">
        <v>76</v>
      </c>
    </row>
    <row r="6" spans="1:11" x14ac:dyDescent="0.25">
      <c r="A6" t="s">
        <v>251</v>
      </c>
      <c r="B6" t="s">
        <v>52</v>
      </c>
      <c r="C6" t="s">
        <v>52</v>
      </c>
      <c r="D6" t="s">
        <v>78</v>
      </c>
      <c r="E6" t="s">
        <v>252</v>
      </c>
      <c r="F6">
        <v>6.1700511999999996</v>
      </c>
      <c r="G6">
        <v>-75.5922482</v>
      </c>
      <c r="H6" t="s">
        <v>4532</v>
      </c>
      <c r="I6">
        <v>69</v>
      </c>
      <c r="J6">
        <v>210.22</v>
      </c>
      <c r="K6" t="s">
        <v>4533</v>
      </c>
    </row>
    <row r="7" spans="1:11" x14ac:dyDescent="0.25">
      <c r="A7" t="s">
        <v>322</v>
      </c>
      <c r="B7" t="s">
        <v>52</v>
      </c>
      <c r="C7" t="s">
        <v>52</v>
      </c>
      <c r="D7" t="s">
        <v>78</v>
      </c>
      <c r="E7" t="s">
        <v>252</v>
      </c>
      <c r="F7">
        <v>6.1534646999999998</v>
      </c>
      <c r="G7">
        <v>-75.584702699999994</v>
      </c>
      <c r="H7" t="s">
        <v>4532</v>
      </c>
      <c r="I7">
        <v>72</v>
      </c>
      <c r="J7">
        <v>184.86</v>
      </c>
      <c r="K7" t="s">
        <v>4534</v>
      </c>
    </row>
    <row r="8" spans="1:11" x14ac:dyDescent="0.25">
      <c r="A8" t="s">
        <v>395</v>
      </c>
      <c r="B8" t="s">
        <v>52</v>
      </c>
      <c r="C8" t="s">
        <v>52</v>
      </c>
      <c r="D8" t="s">
        <v>78</v>
      </c>
      <c r="E8" t="s">
        <v>252</v>
      </c>
      <c r="F8">
        <v>6.1679396000000004</v>
      </c>
      <c r="G8">
        <v>-75.578613000000004</v>
      </c>
      <c r="H8" t="s">
        <v>4532</v>
      </c>
      <c r="I8">
        <v>13</v>
      </c>
      <c r="J8">
        <v>228.69</v>
      </c>
      <c r="K8" t="s">
        <v>4535</v>
      </c>
    </row>
    <row r="9" spans="1:11" x14ac:dyDescent="0.25">
      <c r="A9" t="s">
        <v>409</v>
      </c>
      <c r="B9" t="s">
        <v>52</v>
      </c>
      <c r="C9" t="s">
        <v>52</v>
      </c>
      <c r="D9" t="s">
        <v>78</v>
      </c>
      <c r="E9" t="s">
        <v>252</v>
      </c>
      <c r="F9">
        <v>6.1715726000000002</v>
      </c>
      <c r="G9">
        <v>-75.590899399999998</v>
      </c>
      <c r="H9" t="s">
        <v>4532</v>
      </c>
      <c r="I9">
        <v>91</v>
      </c>
      <c r="J9">
        <v>210.1</v>
      </c>
      <c r="K9" t="s">
        <v>4536</v>
      </c>
    </row>
    <row r="10" spans="1:11" x14ac:dyDescent="0.25">
      <c r="A10" t="s">
        <v>501</v>
      </c>
      <c r="B10" t="s">
        <v>52</v>
      </c>
      <c r="C10" t="s">
        <v>52</v>
      </c>
      <c r="D10" t="s">
        <v>78</v>
      </c>
      <c r="E10" t="s">
        <v>252</v>
      </c>
      <c r="F10">
        <v>6.1726758999999998</v>
      </c>
      <c r="G10">
        <v>-75.581229500000006</v>
      </c>
      <c r="H10" t="s">
        <v>4532</v>
      </c>
      <c r="I10">
        <v>49</v>
      </c>
      <c r="J10">
        <v>197.67</v>
      </c>
      <c r="K10" t="s">
        <v>4537</v>
      </c>
    </row>
    <row r="11" spans="1:11" x14ac:dyDescent="0.25">
      <c r="A11" t="s">
        <v>551</v>
      </c>
      <c r="B11" t="s">
        <v>52</v>
      </c>
      <c r="C11" t="s">
        <v>52</v>
      </c>
      <c r="D11" t="s">
        <v>78</v>
      </c>
      <c r="E11" t="s">
        <v>252</v>
      </c>
      <c r="F11">
        <v>6.1619843000000003</v>
      </c>
      <c r="G11">
        <v>-75.593804000000006</v>
      </c>
      <c r="H11" t="s">
        <v>4532</v>
      </c>
      <c r="I11">
        <v>139</v>
      </c>
      <c r="J11">
        <v>227.03</v>
      </c>
      <c r="K11" t="s">
        <v>4538</v>
      </c>
    </row>
    <row r="12" spans="1:11" x14ac:dyDescent="0.25">
      <c r="A12" t="s">
        <v>691</v>
      </c>
      <c r="B12" t="s">
        <v>52</v>
      </c>
      <c r="C12" t="s">
        <v>52</v>
      </c>
      <c r="D12" t="s">
        <v>78</v>
      </c>
      <c r="E12" t="s">
        <v>252</v>
      </c>
      <c r="F12">
        <v>6.1512748999999998</v>
      </c>
      <c r="G12">
        <v>-75.536050799999998</v>
      </c>
      <c r="H12" t="s">
        <v>4532</v>
      </c>
      <c r="I12">
        <v>40</v>
      </c>
      <c r="J12">
        <v>195.75</v>
      </c>
      <c r="K12" t="s">
        <v>4539</v>
      </c>
    </row>
    <row r="13" spans="1:11" x14ac:dyDescent="0.25">
      <c r="A13" t="s">
        <v>732</v>
      </c>
      <c r="B13" t="s">
        <v>52</v>
      </c>
      <c r="C13" t="s">
        <v>52</v>
      </c>
      <c r="D13" t="s">
        <v>78</v>
      </c>
      <c r="E13" t="s">
        <v>252</v>
      </c>
      <c r="F13">
        <v>6.1632490000000004</v>
      </c>
      <c r="G13">
        <v>-75.594163600000002</v>
      </c>
      <c r="H13" t="s">
        <v>4532</v>
      </c>
      <c r="I13">
        <v>97</v>
      </c>
      <c r="J13">
        <v>210.12</v>
      </c>
      <c r="K13" t="s">
        <v>4540</v>
      </c>
    </row>
    <row r="14" spans="1:11" x14ac:dyDescent="0.25">
      <c r="A14" t="s">
        <v>830</v>
      </c>
      <c r="B14" t="s">
        <v>52</v>
      </c>
      <c r="C14" t="s">
        <v>52</v>
      </c>
      <c r="D14" t="s">
        <v>78</v>
      </c>
      <c r="E14" t="s">
        <v>252</v>
      </c>
      <c r="F14">
        <v>6.1702636999999996</v>
      </c>
      <c r="G14">
        <v>-75.589518400000003</v>
      </c>
      <c r="H14" t="s">
        <v>4532</v>
      </c>
      <c r="I14">
        <v>98</v>
      </c>
      <c r="J14">
        <v>207.18</v>
      </c>
      <c r="K14" t="s">
        <v>4541</v>
      </c>
    </row>
    <row r="15" spans="1:11" x14ac:dyDescent="0.25">
      <c r="A15" t="s">
        <v>929</v>
      </c>
      <c r="B15" t="s">
        <v>52</v>
      </c>
      <c r="C15" t="s">
        <v>52</v>
      </c>
      <c r="D15" t="s">
        <v>78</v>
      </c>
      <c r="E15" t="s">
        <v>252</v>
      </c>
      <c r="F15">
        <v>6.1869357999999997</v>
      </c>
      <c r="G15">
        <v>-75.489992200000003</v>
      </c>
      <c r="H15" t="s">
        <v>4532</v>
      </c>
      <c r="I15">
        <v>17</v>
      </c>
      <c r="J15">
        <v>253.29</v>
      </c>
      <c r="K15" t="s">
        <v>4542</v>
      </c>
    </row>
    <row r="16" spans="1:11" x14ac:dyDescent="0.25">
      <c r="A16" t="s">
        <v>947</v>
      </c>
      <c r="B16" t="s">
        <v>52</v>
      </c>
      <c r="C16" t="s">
        <v>52</v>
      </c>
      <c r="D16" t="s">
        <v>78</v>
      </c>
      <c r="E16" t="s">
        <v>252</v>
      </c>
      <c r="F16">
        <v>6.1709288999999998</v>
      </c>
      <c r="G16">
        <v>-75.577122299999999</v>
      </c>
      <c r="H16" t="s">
        <v>4532</v>
      </c>
      <c r="I16">
        <v>21</v>
      </c>
      <c r="J16">
        <v>234.33</v>
      </c>
      <c r="K16" t="s">
        <v>4543</v>
      </c>
    </row>
    <row r="17" spans="1:11" x14ac:dyDescent="0.25">
      <c r="A17" t="s">
        <v>969</v>
      </c>
      <c r="B17" t="s">
        <v>52</v>
      </c>
      <c r="C17" t="s">
        <v>52</v>
      </c>
      <c r="D17" t="s">
        <v>78</v>
      </c>
      <c r="E17" t="s">
        <v>252</v>
      </c>
      <c r="F17">
        <v>6.1670337999999996</v>
      </c>
      <c r="G17">
        <v>-75.581835699999999</v>
      </c>
      <c r="H17" t="s">
        <v>4532</v>
      </c>
      <c r="I17">
        <v>147</v>
      </c>
      <c r="J17">
        <v>212.19</v>
      </c>
      <c r="K17" t="s">
        <v>4544</v>
      </c>
    </row>
    <row r="18" spans="1:11" x14ac:dyDescent="0.25">
      <c r="A18" t="s">
        <v>1117</v>
      </c>
      <c r="B18" t="s">
        <v>52</v>
      </c>
      <c r="C18" t="s">
        <v>52</v>
      </c>
      <c r="D18" t="s">
        <v>78</v>
      </c>
      <c r="E18" t="s">
        <v>252</v>
      </c>
      <c r="F18">
        <v>6.1534946000000001</v>
      </c>
      <c r="G18">
        <v>-75.578234300000005</v>
      </c>
      <c r="H18" t="s">
        <v>4532</v>
      </c>
      <c r="I18">
        <v>53</v>
      </c>
      <c r="J18">
        <v>184.75</v>
      </c>
      <c r="K18" t="s">
        <v>4545</v>
      </c>
    </row>
    <row r="19" spans="1:11" x14ac:dyDescent="0.25">
      <c r="A19" t="s">
        <v>1171</v>
      </c>
      <c r="B19" t="s">
        <v>52</v>
      </c>
      <c r="C19" t="s">
        <v>52</v>
      </c>
      <c r="D19" t="s">
        <v>78</v>
      </c>
      <c r="E19" t="s">
        <v>252</v>
      </c>
      <c r="F19">
        <v>6.1667839000000004</v>
      </c>
      <c r="G19">
        <v>-75.578844900000007</v>
      </c>
      <c r="H19" t="s">
        <v>4532</v>
      </c>
      <c r="I19">
        <v>32</v>
      </c>
      <c r="J19">
        <v>214.75</v>
      </c>
      <c r="K19" t="s">
        <v>4546</v>
      </c>
    </row>
    <row r="20" spans="1:11" x14ac:dyDescent="0.25">
      <c r="A20" t="s">
        <v>1204</v>
      </c>
      <c r="B20" t="s">
        <v>53</v>
      </c>
      <c r="C20" t="s">
        <v>54</v>
      </c>
      <c r="D20" t="s">
        <v>78</v>
      </c>
      <c r="E20" t="s">
        <v>252</v>
      </c>
      <c r="F20" s="18">
        <v>5.9349648928189396</v>
      </c>
      <c r="G20" s="18">
        <v>-75.544226928060198</v>
      </c>
      <c r="H20" t="s">
        <v>4547</v>
      </c>
      <c r="I20">
        <v>22</v>
      </c>
      <c r="J20">
        <v>222.5</v>
      </c>
      <c r="K20" t="s">
        <v>4548</v>
      </c>
    </row>
    <row r="21" spans="1:11" x14ac:dyDescent="0.25">
      <c r="A21" t="s">
        <v>1228</v>
      </c>
      <c r="B21" t="s">
        <v>54</v>
      </c>
      <c r="C21" t="s">
        <v>54</v>
      </c>
      <c r="D21" t="s">
        <v>78</v>
      </c>
      <c r="E21" t="s">
        <v>252</v>
      </c>
      <c r="F21">
        <v>6.1870305510000003</v>
      </c>
      <c r="G21">
        <v>-75.379665900000006</v>
      </c>
      <c r="H21" t="s">
        <v>4547</v>
      </c>
      <c r="I21">
        <v>34</v>
      </c>
      <c r="J21">
        <v>232.59</v>
      </c>
      <c r="K21" t="s">
        <v>4549</v>
      </c>
    </row>
    <row r="22" spans="1:11" x14ac:dyDescent="0.25">
      <c r="A22" t="s">
        <v>1263</v>
      </c>
      <c r="B22" t="s">
        <v>54</v>
      </c>
      <c r="C22" t="s">
        <v>54</v>
      </c>
      <c r="D22" t="s">
        <v>78</v>
      </c>
      <c r="E22" t="s">
        <v>252</v>
      </c>
      <c r="F22">
        <v>6.1434174590000001</v>
      </c>
      <c r="G22">
        <v>-75.448793670000001</v>
      </c>
      <c r="H22" t="s">
        <v>4547</v>
      </c>
      <c r="I22">
        <v>28</v>
      </c>
      <c r="J22">
        <v>180.35</v>
      </c>
      <c r="K22" t="s">
        <v>4550</v>
      </c>
    </row>
    <row r="23" spans="1:11" x14ac:dyDescent="0.25">
      <c r="A23" t="s">
        <v>1292</v>
      </c>
      <c r="B23" t="s">
        <v>54</v>
      </c>
      <c r="C23" t="s">
        <v>54</v>
      </c>
      <c r="D23" t="s">
        <v>78</v>
      </c>
      <c r="E23" t="s">
        <v>252</v>
      </c>
      <c r="F23">
        <v>6.078672536</v>
      </c>
      <c r="G23">
        <v>-75.423748340000003</v>
      </c>
      <c r="H23" t="s">
        <v>4547</v>
      </c>
      <c r="I23">
        <v>17</v>
      </c>
      <c r="J23">
        <v>237.65</v>
      </c>
      <c r="K23" t="s">
        <v>4551</v>
      </c>
    </row>
    <row r="24" spans="1:11" x14ac:dyDescent="0.25">
      <c r="A24" t="s">
        <v>1310</v>
      </c>
      <c r="B24" t="s">
        <v>54</v>
      </c>
      <c r="C24" t="s">
        <v>54</v>
      </c>
      <c r="D24" t="s">
        <v>78</v>
      </c>
      <c r="E24" t="s">
        <v>252</v>
      </c>
      <c r="F24">
        <v>6.1526388550000002</v>
      </c>
      <c r="G24">
        <v>-75.407184900000004</v>
      </c>
      <c r="H24" t="s">
        <v>4547</v>
      </c>
      <c r="I24">
        <v>41</v>
      </c>
      <c r="J24">
        <v>207.36</v>
      </c>
      <c r="K24" t="s">
        <v>4552</v>
      </c>
    </row>
    <row r="25" spans="1:11" x14ac:dyDescent="0.25">
      <c r="A25" t="s">
        <v>1352</v>
      </c>
      <c r="B25" t="s">
        <v>54</v>
      </c>
      <c r="C25" t="s">
        <v>54</v>
      </c>
      <c r="D25" t="s">
        <v>78</v>
      </c>
      <c r="E25" t="s">
        <v>252</v>
      </c>
      <c r="F25">
        <v>6.118188913</v>
      </c>
      <c r="G25">
        <v>-75.445617319999997</v>
      </c>
      <c r="H25" t="s">
        <v>4547</v>
      </c>
      <c r="I25">
        <v>22</v>
      </c>
      <c r="J25">
        <v>144.80000000000001</v>
      </c>
      <c r="K25" t="s">
        <v>4553</v>
      </c>
    </row>
    <row r="26" spans="1:11" x14ac:dyDescent="0.25">
      <c r="A26" t="s">
        <v>1375</v>
      </c>
      <c r="B26" t="s">
        <v>54</v>
      </c>
      <c r="C26" t="s">
        <v>54</v>
      </c>
      <c r="D26" t="s">
        <v>78</v>
      </c>
      <c r="E26" t="s">
        <v>252</v>
      </c>
      <c r="F26">
        <v>6.1077652450000004</v>
      </c>
      <c r="G26">
        <v>-75.421613620000002</v>
      </c>
      <c r="H26" t="s">
        <v>4547</v>
      </c>
      <c r="I26">
        <v>55</v>
      </c>
      <c r="J26">
        <v>220.67</v>
      </c>
      <c r="K26" t="s">
        <v>4554</v>
      </c>
    </row>
    <row r="27" spans="1:11" x14ac:dyDescent="0.25">
      <c r="A27" t="s">
        <v>1431</v>
      </c>
      <c r="B27" t="s">
        <v>54</v>
      </c>
      <c r="C27" t="s">
        <v>54</v>
      </c>
      <c r="D27" t="s">
        <v>78</v>
      </c>
      <c r="E27" t="s">
        <v>252</v>
      </c>
      <c r="F27">
        <v>6.1729109280000003</v>
      </c>
      <c r="G27">
        <v>-75.454852819999999</v>
      </c>
      <c r="H27" t="s">
        <v>4547</v>
      </c>
      <c r="I27">
        <v>13</v>
      </c>
      <c r="J27">
        <v>220.35</v>
      </c>
      <c r="K27" t="s">
        <v>4555</v>
      </c>
    </row>
    <row r="28" spans="1:11" x14ac:dyDescent="0.25">
      <c r="A28" t="s">
        <v>1445</v>
      </c>
      <c r="B28" t="s">
        <v>54</v>
      </c>
      <c r="C28" t="s">
        <v>54</v>
      </c>
      <c r="D28" t="s">
        <v>78</v>
      </c>
      <c r="E28" t="s">
        <v>252</v>
      </c>
      <c r="F28">
        <v>6.2457440420000001</v>
      </c>
      <c r="G28">
        <v>-75.56097862</v>
      </c>
      <c r="H28" t="s">
        <v>4547</v>
      </c>
      <c r="I28">
        <v>38</v>
      </c>
      <c r="J28">
        <v>220.52</v>
      </c>
      <c r="K28" t="s">
        <v>4556</v>
      </c>
    </row>
    <row r="29" spans="1:11" x14ac:dyDescent="0.25">
      <c r="A29" t="s">
        <v>1484</v>
      </c>
      <c r="B29" t="s">
        <v>54</v>
      </c>
      <c r="C29" t="s">
        <v>54</v>
      </c>
      <c r="D29" t="s">
        <v>78</v>
      </c>
      <c r="E29" t="s">
        <v>252</v>
      </c>
      <c r="F29">
        <v>6.2068839230000004</v>
      </c>
      <c r="G29">
        <v>-75.439671200000006</v>
      </c>
      <c r="H29" t="s">
        <v>4547</v>
      </c>
      <c r="I29">
        <v>21</v>
      </c>
      <c r="J29">
        <v>196.93</v>
      </c>
      <c r="K29" t="s">
        <v>4557</v>
      </c>
    </row>
    <row r="30" spans="1:11" x14ac:dyDescent="0.25">
      <c r="A30" t="s">
        <v>1506</v>
      </c>
      <c r="B30" t="s">
        <v>54</v>
      </c>
      <c r="C30" t="s">
        <v>54</v>
      </c>
      <c r="D30" t="s">
        <v>78</v>
      </c>
      <c r="E30" t="s">
        <v>252</v>
      </c>
      <c r="F30">
        <v>6.1794996270000002</v>
      </c>
      <c r="G30">
        <v>-75.393816209999997</v>
      </c>
      <c r="H30" t="s">
        <v>4547</v>
      </c>
      <c r="I30">
        <v>52</v>
      </c>
      <c r="J30">
        <v>183.84</v>
      </c>
      <c r="K30" t="s">
        <v>4558</v>
      </c>
    </row>
    <row r="31" spans="1:11" x14ac:dyDescent="0.25">
      <c r="A31" t="s">
        <v>1559</v>
      </c>
      <c r="B31" t="s">
        <v>54</v>
      </c>
      <c r="C31" t="s">
        <v>54</v>
      </c>
      <c r="D31" t="s">
        <v>78</v>
      </c>
      <c r="E31" t="s">
        <v>252</v>
      </c>
      <c r="F31">
        <v>6.19834627</v>
      </c>
      <c r="G31">
        <v>-75.367765059999996</v>
      </c>
      <c r="H31" t="s">
        <v>4547</v>
      </c>
      <c r="I31">
        <v>33</v>
      </c>
      <c r="J31">
        <v>175.42</v>
      </c>
      <c r="K31" t="s">
        <v>4559</v>
      </c>
    </row>
    <row r="32" spans="1:11" x14ac:dyDescent="0.25">
      <c r="A32" t="s">
        <v>1593</v>
      </c>
      <c r="B32" t="s">
        <v>54</v>
      </c>
      <c r="C32" t="s">
        <v>54</v>
      </c>
      <c r="D32" t="s">
        <v>78</v>
      </c>
      <c r="E32" t="s">
        <v>252</v>
      </c>
      <c r="F32">
        <v>6.1451063279999998</v>
      </c>
      <c r="G32">
        <v>-75.374013840000003</v>
      </c>
      <c r="H32" t="s">
        <v>4547</v>
      </c>
      <c r="I32">
        <v>96</v>
      </c>
      <c r="J32">
        <v>263.70999999999998</v>
      </c>
      <c r="K32" t="s">
        <v>4560</v>
      </c>
    </row>
    <row r="33" spans="1:11" x14ac:dyDescent="0.25">
      <c r="A33" t="s">
        <v>1691</v>
      </c>
      <c r="B33" t="s">
        <v>55</v>
      </c>
      <c r="C33" t="s">
        <v>1692</v>
      </c>
      <c r="D33" t="s">
        <v>78</v>
      </c>
      <c r="E33" t="s">
        <v>252</v>
      </c>
      <c r="F33">
        <v>8.0944000000000003</v>
      </c>
      <c r="G33">
        <v>-74.7761</v>
      </c>
      <c r="H33" t="s">
        <v>4547</v>
      </c>
      <c r="I33">
        <v>35</v>
      </c>
      <c r="J33">
        <v>138.09</v>
      </c>
      <c r="K33" t="s">
        <v>4561</v>
      </c>
    </row>
    <row r="34" spans="1:11" x14ac:dyDescent="0.25">
      <c r="A34" t="s">
        <v>1729</v>
      </c>
      <c r="B34" t="s">
        <v>55</v>
      </c>
      <c r="C34" t="s">
        <v>1730</v>
      </c>
      <c r="D34" t="s">
        <v>78</v>
      </c>
      <c r="E34" t="s">
        <v>252</v>
      </c>
      <c r="F34">
        <v>7.0735999999999999</v>
      </c>
      <c r="G34">
        <v>-75.148099999999999</v>
      </c>
      <c r="H34" t="s">
        <v>4547</v>
      </c>
      <c r="I34">
        <v>28</v>
      </c>
      <c r="J34">
        <v>180.21</v>
      </c>
      <c r="K34" t="s">
        <v>4562</v>
      </c>
    </row>
    <row r="35" spans="1:11" x14ac:dyDescent="0.25">
      <c r="A35" t="s">
        <v>1759</v>
      </c>
      <c r="B35" t="s">
        <v>55</v>
      </c>
      <c r="C35" t="s">
        <v>1760</v>
      </c>
      <c r="D35" t="s">
        <v>78</v>
      </c>
      <c r="E35" t="s">
        <v>252</v>
      </c>
      <c r="F35">
        <v>6.4913999999999996</v>
      </c>
      <c r="G35">
        <v>-74.405799999999999</v>
      </c>
      <c r="H35" t="s">
        <v>4547</v>
      </c>
      <c r="I35">
        <v>34</v>
      </c>
      <c r="J35">
        <v>134.5</v>
      </c>
      <c r="K35" t="s">
        <v>4563</v>
      </c>
    </row>
    <row r="36" spans="1:11" x14ac:dyDescent="0.25">
      <c r="A36" t="s">
        <v>1796</v>
      </c>
      <c r="B36" t="s">
        <v>55</v>
      </c>
      <c r="C36" t="s">
        <v>1797</v>
      </c>
      <c r="D36" t="s">
        <v>78</v>
      </c>
      <c r="E36" t="s">
        <v>252</v>
      </c>
      <c r="F36">
        <v>7.1108000000000002</v>
      </c>
      <c r="G36">
        <v>-75.551100000000005</v>
      </c>
      <c r="H36" t="s">
        <v>4547</v>
      </c>
      <c r="I36">
        <v>33</v>
      </c>
      <c r="J36">
        <v>166.61</v>
      </c>
      <c r="K36" t="s">
        <v>4564</v>
      </c>
    </row>
    <row r="37" spans="1:11" x14ac:dyDescent="0.25">
      <c r="A37" t="s">
        <v>1832</v>
      </c>
      <c r="B37" t="s">
        <v>55</v>
      </c>
      <c r="C37" t="s">
        <v>1833</v>
      </c>
      <c r="D37" t="s">
        <v>78</v>
      </c>
      <c r="E37" t="s">
        <v>252</v>
      </c>
      <c r="F37">
        <v>6.3457999999999997</v>
      </c>
      <c r="G37">
        <v>-75.856899999999996</v>
      </c>
      <c r="H37" t="s">
        <v>4547</v>
      </c>
      <c r="I37">
        <v>31</v>
      </c>
      <c r="J37">
        <v>155.87</v>
      </c>
      <c r="K37" t="s">
        <v>4565</v>
      </c>
    </row>
    <row r="38" spans="1:11" x14ac:dyDescent="0.25">
      <c r="A38" t="s">
        <v>1866</v>
      </c>
      <c r="B38" t="s">
        <v>55</v>
      </c>
      <c r="C38" t="s">
        <v>1867</v>
      </c>
      <c r="D38" t="s">
        <v>78</v>
      </c>
      <c r="E38" t="s">
        <v>252</v>
      </c>
      <c r="F38">
        <v>8.2750000000000004</v>
      </c>
      <c r="G38">
        <v>-76.369</v>
      </c>
      <c r="H38" t="s">
        <v>4547</v>
      </c>
      <c r="I38">
        <v>46</v>
      </c>
      <c r="J38">
        <v>187.33</v>
      </c>
      <c r="K38" t="s">
        <v>4566</v>
      </c>
    </row>
    <row r="39" spans="1:11" x14ac:dyDescent="0.25">
      <c r="A39" t="s">
        <v>1915</v>
      </c>
      <c r="B39" t="s">
        <v>55</v>
      </c>
      <c r="C39" t="s">
        <v>1916</v>
      </c>
      <c r="D39" t="s">
        <v>78</v>
      </c>
      <c r="E39" t="s">
        <v>252</v>
      </c>
      <c r="F39">
        <v>6.5986000000000002</v>
      </c>
      <c r="G39">
        <v>-75.011899999999997</v>
      </c>
      <c r="H39" t="s">
        <v>4547</v>
      </c>
      <c r="I39">
        <v>35</v>
      </c>
      <c r="J39">
        <v>171.17</v>
      </c>
      <c r="K39" t="s">
        <v>4567</v>
      </c>
    </row>
    <row r="40" spans="1:11" x14ac:dyDescent="0.25">
      <c r="A40" t="s">
        <v>1953</v>
      </c>
      <c r="B40" t="s">
        <v>55</v>
      </c>
      <c r="C40" t="s">
        <v>1954</v>
      </c>
      <c r="D40" t="s">
        <v>78</v>
      </c>
      <c r="E40" t="s">
        <v>252</v>
      </c>
      <c r="F40">
        <v>6.7725</v>
      </c>
      <c r="G40">
        <v>-74.798100000000005</v>
      </c>
      <c r="H40" t="s">
        <v>4547</v>
      </c>
      <c r="I40">
        <v>34</v>
      </c>
      <c r="J40">
        <v>199.06</v>
      </c>
      <c r="K40" t="s">
        <v>4568</v>
      </c>
    </row>
    <row r="41" spans="1:11" x14ac:dyDescent="0.25">
      <c r="A41" t="s">
        <v>1990</v>
      </c>
      <c r="B41" t="s">
        <v>55</v>
      </c>
      <c r="C41" t="s">
        <v>1991</v>
      </c>
      <c r="D41" t="s">
        <v>78</v>
      </c>
      <c r="E41" t="s">
        <v>252</v>
      </c>
      <c r="F41">
        <v>5.9264000000000001</v>
      </c>
      <c r="G41">
        <v>-75.674199999999999</v>
      </c>
      <c r="H41" t="s">
        <v>4547</v>
      </c>
      <c r="I41">
        <v>46</v>
      </c>
      <c r="J41">
        <v>174.17</v>
      </c>
      <c r="K41" t="s">
        <v>4569</v>
      </c>
    </row>
    <row r="42" spans="1:11" x14ac:dyDescent="0.25">
      <c r="A42" t="s">
        <v>2039</v>
      </c>
      <c r="B42" t="s">
        <v>55</v>
      </c>
      <c r="C42" t="s">
        <v>2040</v>
      </c>
      <c r="D42" t="s">
        <v>78</v>
      </c>
      <c r="E42" t="s">
        <v>252</v>
      </c>
      <c r="F42">
        <v>6.5541999999999998</v>
      </c>
      <c r="G42">
        <v>-74.786100000000005</v>
      </c>
      <c r="H42" t="s">
        <v>4547</v>
      </c>
      <c r="I42">
        <v>38</v>
      </c>
      <c r="J42">
        <v>232</v>
      </c>
      <c r="K42" t="s">
        <v>4570</v>
      </c>
    </row>
    <row r="43" spans="1:11" x14ac:dyDescent="0.25">
      <c r="A43" t="s">
        <v>2080</v>
      </c>
      <c r="B43" t="s">
        <v>55</v>
      </c>
      <c r="C43" t="s">
        <v>2081</v>
      </c>
      <c r="D43" t="s">
        <v>78</v>
      </c>
      <c r="E43" t="s">
        <v>252</v>
      </c>
      <c r="F43">
        <v>6.8483000000000001</v>
      </c>
      <c r="G43">
        <v>-75.681700000000006</v>
      </c>
      <c r="H43" t="s">
        <v>4547</v>
      </c>
      <c r="I43">
        <v>36</v>
      </c>
      <c r="J43">
        <v>172.81</v>
      </c>
      <c r="K43" t="s">
        <v>4571</v>
      </c>
    </row>
    <row r="44" spans="1:11" x14ac:dyDescent="0.25">
      <c r="A44" t="s">
        <v>2119</v>
      </c>
      <c r="B44" t="s">
        <v>55</v>
      </c>
      <c r="C44" t="s">
        <v>2120</v>
      </c>
      <c r="D44" t="s">
        <v>78</v>
      </c>
      <c r="E44" t="s">
        <v>252</v>
      </c>
      <c r="F44">
        <v>6.4863999999999997</v>
      </c>
      <c r="G44">
        <v>-74.760000000000005</v>
      </c>
      <c r="H44" t="s">
        <v>4547</v>
      </c>
      <c r="I44">
        <v>26</v>
      </c>
      <c r="J44">
        <v>221.92</v>
      </c>
      <c r="K44" t="s">
        <v>4572</v>
      </c>
    </row>
    <row r="45" spans="1:11" x14ac:dyDescent="0.25">
      <c r="A45" t="s">
        <v>2148</v>
      </c>
      <c r="B45" t="s">
        <v>55</v>
      </c>
      <c r="C45" t="s">
        <v>2149</v>
      </c>
      <c r="D45" t="s">
        <v>78</v>
      </c>
      <c r="E45" t="s">
        <v>252</v>
      </c>
      <c r="F45">
        <v>7.5758000000000001</v>
      </c>
      <c r="G45">
        <v>-75.348600000000005</v>
      </c>
      <c r="H45" t="s">
        <v>4547</v>
      </c>
      <c r="I45">
        <v>57</v>
      </c>
      <c r="J45">
        <v>161.54</v>
      </c>
      <c r="K45" t="s">
        <v>4573</v>
      </c>
    </row>
    <row r="46" spans="1:11" x14ac:dyDescent="0.25">
      <c r="A46" t="s">
        <v>2208</v>
      </c>
      <c r="B46" t="s">
        <v>55</v>
      </c>
      <c r="C46" t="s">
        <v>2209</v>
      </c>
      <c r="D46" t="s">
        <v>78</v>
      </c>
      <c r="E46" t="s">
        <v>252</v>
      </c>
      <c r="F46">
        <v>5.8789999999999996</v>
      </c>
      <c r="G46">
        <v>-75.583299999999994</v>
      </c>
      <c r="H46" t="s">
        <v>4547</v>
      </c>
      <c r="I46">
        <v>51</v>
      </c>
      <c r="J46">
        <v>164.31</v>
      </c>
      <c r="K46" t="s">
        <v>4574</v>
      </c>
    </row>
    <row r="47" spans="1:11" x14ac:dyDescent="0.25">
      <c r="A47" t="s">
        <v>2262</v>
      </c>
      <c r="B47" t="s">
        <v>55</v>
      </c>
      <c r="C47" t="s">
        <v>2263</v>
      </c>
      <c r="D47" t="s">
        <v>78</v>
      </c>
      <c r="E47" t="s">
        <v>252</v>
      </c>
      <c r="F47">
        <v>8.8507999999999996</v>
      </c>
      <c r="G47">
        <v>-76.426699999999997</v>
      </c>
      <c r="H47" t="s">
        <v>4547</v>
      </c>
      <c r="I47">
        <v>54</v>
      </c>
      <c r="J47">
        <v>166.22</v>
      </c>
      <c r="K47" t="s">
        <v>4575</v>
      </c>
    </row>
    <row r="48" spans="1:11" x14ac:dyDescent="0.25">
      <c r="A48" t="s">
        <v>2319</v>
      </c>
      <c r="B48" t="s">
        <v>55</v>
      </c>
      <c r="C48" t="s">
        <v>2320</v>
      </c>
      <c r="D48" t="s">
        <v>78</v>
      </c>
      <c r="E48" t="s">
        <v>252</v>
      </c>
      <c r="F48">
        <v>7.7577999999999996</v>
      </c>
      <c r="G48">
        <v>-76.654700000000005</v>
      </c>
      <c r="H48" t="s">
        <v>4547</v>
      </c>
      <c r="I48">
        <v>44</v>
      </c>
      <c r="J48">
        <v>199.09</v>
      </c>
      <c r="K48" t="s">
        <v>4576</v>
      </c>
    </row>
    <row r="49" spans="1:11" x14ac:dyDescent="0.25">
      <c r="A49" t="s">
        <v>2366</v>
      </c>
      <c r="B49" t="s">
        <v>55</v>
      </c>
      <c r="C49" t="s">
        <v>2367</v>
      </c>
      <c r="D49" t="s">
        <v>78</v>
      </c>
      <c r="E49" t="s">
        <v>252</v>
      </c>
      <c r="F49">
        <v>6.5007999999999999</v>
      </c>
      <c r="G49">
        <v>-75.742800000000003</v>
      </c>
      <c r="H49" t="s">
        <v>4547</v>
      </c>
      <c r="I49">
        <v>36</v>
      </c>
      <c r="J49">
        <v>187.22</v>
      </c>
      <c r="K49" t="s">
        <v>4577</v>
      </c>
    </row>
    <row r="50" spans="1:11" x14ac:dyDescent="0.25">
      <c r="A50" t="s">
        <v>2405</v>
      </c>
      <c r="B50" t="s">
        <v>55</v>
      </c>
      <c r="C50" t="s">
        <v>2406</v>
      </c>
      <c r="D50" t="s">
        <v>78</v>
      </c>
      <c r="E50" t="s">
        <v>252</v>
      </c>
      <c r="F50">
        <v>7.6672000000000002</v>
      </c>
      <c r="G50">
        <v>-76.681100000000001</v>
      </c>
      <c r="H50" t="s">
        <v>4547</v>
      </c>
      <c r="I50">
        <v>30</v>
      </c>
      <c r="J50">
        <v>165</v>
      </c>
      <c r="K50" t="s">
        <v>4578</v>
      </c>
    </row>
    <row r="51" spans="1:11" x14ac:dyDescent="0.25">
      <c r="A51" t="s">
        <v>2438</v>
      </c>
      <c r="B51" t="s">
        <v>55</v>
      </c>
      <c r="C51" t="s">
        <v>2439</v>
      </c>
      <c r="D51" t="s">
        <v>78</v>
      </c>
      <c r="E51" t="s">
        <v>252</v>
      </c>
      <c r="F51">
        <v>5.5468999999999999</v>
      </c>
      <c r="G51">
        <v>-75.642499999999998</v>
      </c>
      <c r="H51" t="s">
        <v>4547</v>
      </c>
      <c r="I51">
        <v>26</v>
      </c>
      <c r="J51">
        <v>172.77</v>
      </c>
      <c r="K51" t="s">
        <v>4579</v>
      </c>
    </row>
    <row r="52" spans="1:11" x14ac:dyDescent="0.25">
      <c r="A52" t="s">
        <v>2467</v>
      </c>
      <c r="B52" t="s">
        <v>55</v>
      </c>
      <c r="C52" t="s">
        <v>2468</v>
      </c>
      <c r="D52" t="s">
        <v>78</v>
      </c>
      <c r="E52" t="s">
        <v>252</v>
      </c>
      <c r="F52">
        <v>5.6050000000000004</v>
      </c>
      <c r="G52">
        <v>-75.941299999999998</v>
      </c>
      <c r="H52" t="s">
        <v>4547</v>
      </c>
      <c r="I52">
        <v>21</v>
      </c>
      <c r="J52">
        <v>162.43</v>
      </c>
      <c r="K52" t="s">
        <v>4580</v>
      </c>
    </row>
    <row r="53" spans="1:11" x14ac:dyDescent="0.25">
      <c r="A53" t="s">
        <v>2490</v>
      </c>
      <c r="B53" t="s">
        <v>55</v>
      </c>
      <c r="C53" t="s">
        <v>2491</v>
      </c>
      <c r="D53" t="s">
        <v>78</v>
      </c>
      <c r="E53" t="s">
        <v>252</v>
      </c>
      <c r="F53">
        <v>6.2186000000000003</v>
      </c>
      <c r="G53">
        <v>-75.241699999999994</v>
      </c>
      <c r="H53" t="s">
        <v>4547</v>
      </c>
      <c r="I53">
        <v>32</v>
      </c>
      <c r="J53">
        <v>179.78</v>
      </c>
      <c r="K53" t="s">
        <v>4581</v>
      </c>
    </row>
    <row r="54" spans="1:11" x14ac:dyDescent="0.25">
      <c r="A54" t="s">
        <v>2525</v>
      </c>
      <c r="B54" t="s">
        <v>55</v>
      </c>
      <c r="C54" t="s">
        <v>2526</v>
      </c>
      <c r="D54" t="s">
        <v>78</v>
      </c>
      <c r="E54" t="s">
        <v>252</v>
      </c>
      <c r="F54">
        <v>7.0785999999999998</v>
      </c>
      <c r="G54">
        <v>-74.698300000000003</v>
      </c>
      <c r="H54" t="s">
        <v>4547</v>
      </c>
      <c r="I54">
        <v>23</v>
      </c>
      <c r="J54">
        <v>181.57</v>
      </c>
      <c r="K54" t="s">
        <v>4582</v>
      </c>
    </row>
    <row r="55" spans="1:11" x14ac:dyDescent="0.25">
      <c r="A55" t="s">
        <v>2551</v>
      </c>
      <c r="B55" t="s">
        <v>55</v>
      </c>
      <c r="C55" t="s">
        <v>2552</v>
      </c>
      <c r="D55" t="s">
        <v>78</v>
      </c>
      <c r="E55" t="s">
        <v>252</v>
      </c>
      <c r="F55">
        <v>7.0269000000000004</v>
      </c>
      <c r="G55">
        <v>-74.697500000000005</v>
      </c>
      <c r="H55" t="s">
        <v>4547</v>
      </c>
      <c r="I55">
        <v>27</v>
      </c>
      <c r="J55">
        <v>189.96</v>
      </c>
      <c r="K55" t="s">
        <v>4583</v>
      </c>
    </row>
    <row r="56" spans="1:11" x14ac:dyDescent="0.25">
      <c r="A56" t="s">
        <v>2581</v>
      </c>
      <c r="B56" t="s">
        <v>55</v>
      </c>
      <c r="C56" t="s">
        <v>2582</v>
      </c>
      <c r="D56" t="s">
        <v>78</v>
      </c>
      <c r="E56" t="s">
        <v>252</v>
      </c>
      <c r="F56">
        <v>6.9633000000000003</v>
      </c>
      <c r="G56">
        <v>-75.416899999999998</v>
      </c>
      <c r="H56" t="s">
        <v>4547</v>
      </c>
      <c r="I56">
        <v>30</v>
      </c>
      <c r="J56">
        <v>186.6</v>
      </c>
      <c r="K56" t="s">
        <v>4584</v>
      </c>
    </row>
    <row r="57" spans="1:11" x14ac:dyDescent="0.25">
      <c r="A57" t="s">
        <v>2614</v>
      </c>
      <c r="B57" t="s">
        <v>55</v>
      </c>
      <c r="C57" t="s">
        <v>2615</v>
      </c>
      <c r="D57" t="s">
        <v>78</v>
      </c>
      <c r="E57" t="s">
        <v>252</v>
      </c>
      <c r="F57">
        <v>6.6768999999999998</v>
      </c>
      <c r="G57">
        <v>-74.843599999999995</v>
      </c>
      <c r="H57" t="s">
        <v>4547</v>
      </c>
      <c r="I57">
        <v>20</v>
      </c>
      <c r="J57">
        <v>198.85</v>
      </c>
      <c r="K57" t="s">
        <v>4585</v>
      </c>
    </row>
    <row r="58" spans="1:11" x14ac:dyDescent="0.25">
      <c r="A58" t="s">
        <v>2637</v>
      </c>
      <c r="B58" t="s">
        <v>55</v>
      </c>
      <c r="C58" t="s">
        <v>2638</v>
      </c>
      <c r="D58" t="s">
        <v>78</v>
      </c>
      <c r="E58" t="s">
        <v>252</v>
      </c>
      <c r="F58">
        <v>7.0049999999999999</v>
      </c>
      <c r="G58">
        <v>-74.008300000000006</v>
      </c>
      <c r="H58" t="s">
        <v>4547</v>
      </c>
      <c r="I58">
        <v>70</v>
      </c>
      <c r="J58">
        <v>179.51</v>
      </c>
      <c r="K58" t="s">
        <v>4586</v>
      </c>
    </row>
    <row r="59" spans="1:11" x14ac:dyDescent="0.25">
      <c r="A59" t="s">
        <v>2710</v>
      </c>
      <c r="B59" t="s">
        <v>55</v>
      </c>
      <c r="C59" t="s">
        <v>2711</v>
      </c>
      <c r="D59" t="s">
        <v>78</v>
      </c>
      <c r="E59" t="s">
        <v>252</v>
      </c>
      <c r="F59">
        <v>7.4913999999999996</v>
      </c>
      <c r="G59">
        <v>-74.869200000000006</v>
      </c>
      <c r="H59" t="s">
        <v>4547</v>
      </c>
      <c r="I59">
        <v>30</v>
      </c>
      <c r="J59">
        <v>171</v>
      </c>
      <c r="K59" t="s">
        <v>4587</v>
      </c>
    </row>
    <row r="60" spans="1:11" x14ac:dyDescent="0.25">
      <c r="A60" t="s">
        <v>2743</v>
      </c>
      <c r="B60" t="s">
        <v>55</v>
      </c>
      <c r="C60" t="s">
        <v>2406</v>
      </c>
      <c r="D60" t="s">
        <v>78</v>
      </c>
      <c r="E60" t="s">
        <v>252</v>
      </c>
      <c r="F60">
        <v>7.6672000000000002</v>
      </c>
      <c r="G60">
        <v>-76.681100000000001</v>
      </c>
      <c r="H60" t="s">
        <v>4547</v>
      </c>
      <c r="I60">
        <v>31</v>
      </c>
      <c r="J60">
        <v>150.61000000000001</v>
      </c>
      <c r="K60" t="s">
        <v>4588</v>
      </c>
    </row>
    <row r="61" spans="1:11" x14ac:dyDescent="0.25">
      <c r="A61" t="s">
        <v>2776</v>
      </c>
      <c r="B61" t="s">
        <v>55</v>
      </c>
      <c r="C61" t="s">
        <v>2263</v>
      </c>
      <c r="D61" t="s">
        <v>78</v>
      </c>
      <c r="E61" t="s">
        <v>252</v>
      </c>
      <c r="F61">
        <v>8.8507999999999996</v>
      </c>
      <c r="G61">
        <v>-76.426699999999997</v>
      </c>
      <c r="H61" t="s">
        <v>4547</v>
      </c>
      <c r="I61">
        <v>40</v>
      </c>
      <c r="J61">
        <v>203.3</v>
      </c>
      <c r="K61" t="s">
        <v>4589</v>
      </c>
    </row>
    <row r="62" spans="1:11" x14ac:dyDescent="0.25">
      <c r="A62" t="s">
        <v>2818</v>
      </c>
      <c r="B62" t="s">
        <v>55</v>
      </c>
      <c r="C62" t="s">
        <v>2406</v>
      </c>
      <c r="D62" t="s">
        <v>78</v>
      </c>
      <c r="E62" t="s">
        <v>252</v>
      </c>
      <c r="F62">
        <v>7.6672000000000002</v>
      </c>
      <c r="G62">
        <v>-76.681100000000001</v>
      </c>
      <c r="H62" t="s">
        <v>4547</v>
      </c>
      <c r="I62">
        <v>47</v>
      </c>
      <c r="J62">
        <v>174.96</v>
      </c>
      <c r="K62" t="s">
        <v>4590</v>
      </c>
    </row>
    <row r="63" spans="1:11" x14ac:dyDescent="0.25">
      <c r="A63" t="s">
        <v>2867</v>
      </c>
      <c r="B63" t="s">
        <v>55</v>
      </c>
      <c r="C63" t="s">
        <v>2868</v>
      </c>
      <c r="D63" t="s">
        <v>78</v>
      </c>
      <c r="E63" t="s">
        <v>252</v>
      </c>
      <c r="F63">
        <v>7.0168999999999997</v>
      </c>
      <c r="G63">
        <v>-76.753600000000006</v>
      </c>
      <c r="H63" t="s">
        <v>4547</v>
      </c>
      <c r="I63">
        <v>46</v>
      </c>
      <c r="J63">
        <v>160.02000000000001</v>
      </c>
      <c r="K63" t="s">
        <v>4591</v>
      </c>
    </row>
    <row r="64" spans="1:11" x14ac:dyDescent="0.25">
      <c r="A64" t="s">
        <v>2916</v>
      </c>
      <c r="B64" t="s">
        <v>55</v>
      </c>
      <c r="C64" t="s">
        <v>2917</v>
      </c>
      <c r="D64" t="s">
        <v>78</v>
      </c>
      <c r="E64" t="s">
        <v>252</v>
      </c>
      <c r="F64">
        <v>7.2432999999999996</v>
      </c>
      <c r="G64">
        <v>-76.436099999999996</v>
      </c>
      <c r="H64" t="s">
        <v>4547</v>
      </c>
      <c r="I64">
        <v>55</v>
      </c>
      <c r="J64">
        <v>174.96</v>
      </c>
      <c r="K64" t="s">
        <v>4592</v>
      </c>
    </row>
    <row r="65" spans="1:11" x14ac:dyDescent="0.25">
      <c r="A65" t="s">
        <v>2974</v>
      </c>
      <c r="B65" t="s">
        <v>55</v>
      </c>
      <c r="C65" t="s">
        <v>2975</v>
      </c>
      <c r="D65" t="s">
        <v>78</v>
      </c>
      <c r="E65" t="s">
        <v>252</v>
      </c>
      <c r="F65">
        <v>6.9786000000000001</v>
      </c>
      <c r="G65">
        <v>-75.296099999999996</v>
      </c>
      <c r="H65" t="s">
        <v>4547</v>
      </c>
      <c r="I65">
        <v>26</v>
      </c>
      <c r="J65">
        <v>172.81</v>
      </c>
      <c r="K65" t="s">
        <v>4593</v>
      </c>
    </row>
    <row r="66" spans="1:11" x14ac:dyDescent="0.25">
      <c r="A66" t="s">
        <v>3003</v>
      </c>
      <c r="B66" t="s">
        <v>55</v>
      </c>
      <c r="C66" t="s">
        <v>3004</v>
      </c>
      <c r="D66" t="s">
        <v>78</v>
      </c>
      <c r="E66" t="s">
        <v>252</v>
      </c>
      <c r="F66">
        <v>5.9625000000000004</v>
      </c>
      <c r="G66">
        <v>-75.735799999999998</v>
      </c>
      <c r="H66" t="s">
        <v>4547</v>
      </c>
      <c r="I66">
        <v>19</v>
      </c>
      <c r="J66">
        <v>174.26</v>
      </c>
      <c r="K66" t="s">
        <v>4594</v>
      </c>
    </row>
    <row r="67" spans="1:11" x14ac:dyDescent="0.25">
      <c r="A67" t="s">
        <v>3025</v>
      </c>
      <c r="B67" t="s">
        <v>55</v>
      </c>
      <c r="C67" t="s">
        <v>3026</v>
      </c>
      <c r="D67" t="s">
        <v>78</v>
      </c>
      <c r="E67" t="s">
        <v>252</v>
      </c>
      <c r="F67">
        <v>6.0328999999999997</v>
      </c>
      <c r="G67">
        <v>-75.707999999999998</v>
      </c>
      <c r="H67" t="s">
        <v>4547</v>
      </c>
      <c r="I67">
        <v>32</v>
      </c>
      <c r="J67">
        <v>170.47</v>
      </c>
      <c r="K67" t="s">
        <v>4595</v>
      </c>
    </row>
    <row r="68" spans="1:11" x14ac:dyDescent="0.25">
      <c r="A68" t="s">
        <v>3059</v>
      </c>
      <c r="B68" t="s">
        <v>55</v>
      </c>
      <c r="C68" t="s">
        <v>3060</v>
      </c>
      <c r="D68" t="s">
        <v>78</v>
      </c>
      <c r="E68" t="s">
        <v>252</v>
      </c>
      <c r="F68">
        <v>6.6047000000000002</v>
      </c>
      <c r="G68">
        <v>-75.666399999999996</v>
      </c>
      <c r="H68" t="s">
        <v>4547</v>
      </c>
      <c r="I68">
        <v>28</v>
      </c>
      <c r="J68">
        <v>187</v>
      </c>
      <c r="K68" t="s">
        <v>4596</v>
      </c>
    </row>
    <row r="69" spans="1:11" x14ac:dyDescent="0.25">
      <c r="A69" t="s">
        <v>3090</v>
      </c>
      <c r="B69" t="s">
        <v>55</v>
      </c>
      <c r="C69" t="s">
        <v>3091</v>
      </c>
      <c r="D69" t="s">
        <v>78</v>
      </c>
      <c r="E69" t="s">
        <v>252</v>
      </c>
      <c r="F69">
        <v>7.1717000000000004</v>
      </c>
      <c r="G69">
        <v>-75.733599999999996</v>
      </c>
      <c r="H69" t="s">
        <v>4547</v>
      </c>
      <c r="I69">
        <v>24</v>
      </c>
      <c r="J69">
        <v>172.83</v>
      </c>
      <c r="K69" t="s">
        <v>4597</v>
      </c>
    </row>
    <row r="70" spans="1:11" x14ac:dyDescent="0.25">
      <c r="A70" t="s">
        <v>3117</v>
      </c>
      <c r="B70" t="s">
        <v>55</v>
      </c>
      <c r="C70" t="s">
        <v>2149</v>
      </c>
      <c r="D70" t="s">
        <v>78</v>
      </c>
      <c r="E70" t="s">
        <v>252</v>
      </c>
      <c r="F70">
        <v>7.5758000000000001</v>
      </c>
      <c r="G70">
        <v>-75.348600000000005</v>
      </c>
      <c r="H70" t="s">
        <v>4547</v>
      </c>
      <c r="I70">
        <v>20</v>
      </c>
      <c r="J70">
        <v>152.30000000000001</v>
      </c>
      <c r="K70" t="s">
        <v>4598</v>
      </c>
    </row>
    <row r="71" spans="1:11" x14ac:dyDescent="0.25">
      <c r="A71" t="s">
        <v>3139</v>
      </c>
      <c r="B71" t="s">
        <v>55</v>
      </c>
      <c r="C71" t="s">
        <v>3140</v>
      </c>
      <c r="D71" t="s">
        <v>78</v>
      </c>
      <c r="E71" t="s">
        <v>252</v>
      </c>
      <c r="F71">
        <v>6.9778000000000002</v>
      </c>
      <c r="G71">
        <v>-74.981200000000001</v>
      </c>
      <c r="H71" t="s">
        <v>4547</v>
      </c>
      <c r="I71">
        <v>57</v>
      </c>
      <c r="J71">
        <v>194.07</v>
      </c>
      <c r="K71" t="s">
        <v>4599</v>
      </c>
    </row>
    <row r="72" spans="1:11" x14ac:dyDescent="0.25">
      <c r="A72" t="s">
        <v>3198</v>
      </c>
      <c r="B72" t="s">
        <v>55</v>
      </c>
      <c r="C72" t="s">
        <v>3199</v>
      </c>
      <c r="D72" t="s">
        <v>78</v>
      </c>
      <c r="E72" t="s">
        <v>252</v>
      </c>
      <c r="F72">
        <v>6.3952999999999998</v>
      </c>
      <c r="G72">
        <v>-75.257499999999993</v>
      </c>
      <c r="H72" t="s">
        <v>4547</v>
      </c>
      <c r="I72">
        <v>29</v>
      </c>
      <c r="J72">
        <v>183.72</v>
      </c>
      <c r="K72" t="s">
        <v>4600</v>
      </c>
    </row>
    <row r="73" spans="1:11" x14ac:dyDescent="0.25">
      <c r="A73" t="s">
        <v>3230</v>
      </c>
      <c r="B73" t="s">
        <v>55</v>
      </c>
      <c r="C73" t="s">
        <v>3140</v>
      </c>
      <c r="D73" t="s">
        <v>78</v>
      </c>
      <c r="E73" t="s">
        <v>252</v>
      </c>
      <c r="F73">
        <v>6.9778000000000002</v>
      </c>
      <c r="G73">
        <v>-74.981200000000001</v>
      </c>
      <c r="H73" t="s">
        <v>4547</v>
      </c>
      <c r="I73">
        <v>39</v>
      </c>
      <c r="J73">
        <v>167.49</v>
      </c>
      <c r="K73" t="s">
        <v>4601</v>
      </c>
    </row>
    <row r="74" spans="1:11" x14ac:dyDescent="0.25">
      <c r="A74" t="s">
        <v>3270</v>
      </c>
      <c r="B74" t="s">
        <v>55</v>
      </c>
      <c r="C74" t="s">
        <v>3271</v>
      </c>
      <c r="D74" t="s">
        <v>78</v>
      </c>
      <c r="E74" t="s">
        <v>252</v>
      </c>
      <c r="F74">
        <v>6.9157999999999999</v>
      </c>
      <c r="G74">
        <v>-75.673900000000003</v>
      </c>
      <c r="H74" t="s">
        <v>4547</v>
      </c>
      <c r="I74">
        <v>21</v>
      </c>
      <c r="J74">
        <v>212.38</v>
      </c>
      <c r="K74" t="s">
        <v>4602</v>
      </c>
    </row>
    <row r="75" spans="1:11" x14ac:dyDescent="0.25">
      <c r="A75" t="s">
        <v>3294</v>
      </c>
      <c r="B75" t="s">
        <v>55</v>
      </c>
      <c r="C75" t="s">
        <v>3295</v>
      </c>
      <c r="D75" t="s">
        <v>78</v>
      </c>
      <c r="E75" t="s">
        <v>252</v>
      </c>
      <c r="F75">
        <v>6.6780999999999997</v>
      </c>
      <c r="G75">
        <v>-75.811400000000006</v>
      </c>
      <c r="H75" t="s">
        <v>4547</v>
      </c>
      <c r="I75">
        <v>34</v>
      </c>
      <c r="J75">
        <v>172.41</v>
      </c>
      <c r="K75" t="s">
        <v>4603</v>
      </c>
    </row>
    <row r="76" spans="1:11" x14ac:dyDescent="0.25">
      <c r="A76" t="s">
        <v>3331</v>
      </c>
      <c r="B76" t="s">
        <v>55</v>
      </c>
      <c r="C76" t="s">
        <v>3332</v>
      </c>
      <c r="D76" t="s">
        <v>78</v>
      </c>
      <c r="E76" t="s">
        <v>252</v>
      </c>
      <c r="F76">
        <v>6.1214000000000004</v>
      </c>
      <c r="G76">
        <v>-75.715900000000005</v>
      </c>
      <c r="H76" t="s">
        <v>4547</v>
      </c>
      <c r="I76">
        <v>96</v>
      </c>
      <c r="J76">
        <v>167.15</v>
      </c>
      <c r="K76" t="s">
        <v>4604</v>
      </c>
    </row>
    <row r="77" spans="1:11" x14ac:dyDescent="0.25">
      <c r="A77" t="s">
        <v>3431</v>
      </c>
      <c r="B77" t="s">
        <v>55</v>
      </c>
      <c r="C77" t="s">
        <v>3432</v>
      </c>
      <c r="D77" t="s">
        <v>78</v>
      </c>
      <c r="E77" t="s">
        <v>252</v>
      </c>
      <c r="F77">
        <v>6.4085999999999999</v>
      </c>
      <c r="G77">
        <v>-75.982799999999997</v>
      </c>
      <c r="H77" t="s">
        <v>4547</v>
      </c>
      <c r="I77">
        <v>23</v>
      </c>
      <c r="J77">
        <v>195.74</v>
      </c>
      <c r="K77" t="s">
        <v>4605</v>
      </c>
    </row>
    <row r="78" spans="1:11" x14ac:dyDescent="0.25">
      <c r="A78" t="s">
        <v>3457</v>
      </c>
      <c r="B78" t="s">
        <v>55</v>
      </c>
      <c r="C78" t="s">
        <v>3458</v>
      </c>
      <c r="D78" t="s">
        <v>78</v>
      </c>
      <c r="E78" t="s">
        <v>252</v>
      </c>
      <c r="F78">
        <v>8.7611000000000008</v>
      </c>
      <c r="G78">
        <v>-76.530299999999997</v>
      </c>
      <c r="H78" t="s">
        <v>4547</v>
      </c>
      <c r="I78">
        <v>85</v>
      </c>
      <c r="J78">
        <v>179.79</v>
      </c>
      <c r="K78" t="s">
        <v>4606</v>
      </c>
    </row>
    <row r="79" spans="1:11" x14ac:dyDescent="0.25">
      <c r="A79" t="s">
        <v>3545</v>
      </c>
      <c r="B79" t="s">
        <v>55</v>
      </c>
      <c r="C79" t="s">
        <v>3546</v>
      </c>
      <c r="D79" t="s">
        <v>78</v>
      </c>
      <c r="E79" t="s">
        <v>252</v>
      </c>
      <c r="F79">
        <v>6.5568999999999997</v>
      </c>
      <c r="G79">
        <v>-75.828100000000006</v>
      </c>
      <c r="H79" t="s">
        <v>4547</v>
      </c>
      <c r="I79">
        <v>39</v>
      </c>
      <c r="J79">
        <v>212.33</v>
      </c>
      <c r="K79" t="s">
        <v>4607</v>
      </c>
    </row>
    <row r="80" spans="1:11" x14ac:dyDescent="0.25">
      <c r="A80" t="s">
        <v>3587</v>
      </c>
      <c r="B80" t="s">
        <v>55</v>
      </c>
      <c r="C80" t="s">
        <v>1867</v>
      </c>
      <c r="D80" t="s">
        <v>78</v>
      </c>
      <c r="E80" t="s">
        <v>252</v>
      </c>
      <c r="F80">
        <v>8.2750000000000004</v>
      </c>
      <c r="G80">
        <v>-76.369</v>
      </c>
      <c r="H80" t="s">
        <v>4547</v>
      </c>
      <c r="I80">
        <v>22</v>
      </c>
      <c r="J80">
        <v>170.55</v>
      </c>
      <c r="K80" t="s">
        <v>4608</v>
      </c>
    </row>
    <row r="81" spans="1:11" x14ac:dyDescent="0.25">
      <c r="A81" t="s">
        <v>3611</v>
      </c>
      <c r="B81" t="s">
        <v>55</v>
      </c>
      <c r="C81" t="s">
        <v>3612</v>
      </c>
      <c r="D81" t="s">
        <v>78</v>
      </c>
      <c r="E81" t="s">
        <v>252</v>
      </c>
      <c r="F81">
        <v>5.7319000000000004</v>
      </c>
      <c r="G81">
        <v>-75.143100000000004</v>
      </c>
      <c r="H81" t="s">
        <v>4547</v>
      </c>
      <c r="I81">
        <v>40</v>
      </c>
      <c r="J81">
        <v>203.55</v>
      </c>
      <c r="K81" t="s">
        <v>4609</v>
      </c>
    </row>
    <row r="82" spans="1:11" x14ac:dyDescent="0.25">
      <c r="A82" t="s">
        <v>3654</v>
      </c>
      <c r="B82" t="s">
        <v>55</v>
      </c>
      <c r="C82" t="s">
        <v>3655</v>
      </c>
      <c r="D82" t="s">
        <v>78</v>
      </c>
      <c r="E82" t="s">
        <v>252</v>
      </c>
      <c r="F82">
        <v>7.9869000000000003</v>
      </c>
      <c r="G82">
        <v>-75.197199999999995</v>
      </c>
      <c r="H82" t="s">
        <v>4547</v>
      </c>
      <c r="I82">
        <v>31</v>
      </c>
      <c r="J82">
        <v>146.38999999999999</v>
      </c>
      <c r="K82" t="s">
        <v>4610</v>
      </c>
    </row>
    <row r="83" spans="1:11" x14ac:dyDescent="0.25">
      <c r="A83" t="s">
        <v>3688</v>
      </c>
      <c r="B83" t="s">
        <v>55</v>
      </c>
      <c r="C83" t="s">
        <v>3689</v>
      </c>
      <c r="D83" t="s">
        <v>78</v>
      </c>
      <c r="E83" t="s">
        <v>252</v>
      </c>
      <c r="F83">
        <v>6.3266999999999998</v>
      </c>
      <c r="G83">
        <v>-75.768600000000006</v>
      </c>
      <c r="H83" t="s">
        <v>4547</v>
      </c>
      <c r="I83">
        <v>36</v>
      </c>
      <c r="J83">
        <v>214.11</v>
      </c>
      <c r="K83" t="s">
        <v>4611</v>
      </c>
    </row>
    <row r="84" spans="1:11" x14ac:dyDescent="0.25">
      <c r="A84" t="s">
        <v>3727</v>
      </c>
      <c r="B84" t="s">
        <v>55</v>
      </c>
      <c r="C84" t="s">
        <v>3728</v>
      </c>
      <c r="D84" t="s">
        <v>78</v>
      </c>
      <c r="E84" t="s">
        <v>252</v>
      </c>
      <c r="F84">
        <v>6.5861000000000001</v>
      </c>
      <c r="G84">
        <v>-76.886399999999995</v>
      </c>
      <c r="H84" t="s">
        <v>4547</v>
      </c>
      <c r="I84">
        <v>34</v>
      </c>
      <c r="J84">
        <v>140.82</v>
      </c>
      <c r="K84" t="s">
        <v>4612</v>
      </c>
    </row>
    <row r="85" spans="1:11" x14ac:dyDescent="0.25">
      <c r="A85" t="s">
        <v>3764</v>
      </c>
      <c r="B85" t="s">
        <v>55</v>
      </c>
      <c r="C85" t="s">
        <v>3765</v>
      </c>
      <c r="D85" t="s">
        <v>78</v>
      </c>
      <c r="E85" t="s">
        <v>252</v>
      </c>
      <c r="F85">
        <v>5.7916999999999996</v>
      </c>
      <c r="G85">
        <v>-75.839399999999998</v>
      </c>
      <c r="H85" t="s">
        <v>4547</v>
      </c>
      <c r="I85">
        <v>32</v>
      </c>
      <c r="J85">
        <v>178.84</v>
      </c>
      <c r="K85" t="s">
        <v>4613</v>
      </c>
    </row>
    <row r="86" spans="1:11" x14ac:dyDescent="0.25">
      <c r="A86" t="s">
        <v>3799</v>
      </c>
      <c r="B86" t="s">
        <v>55</v>
      </c>
      <c r="C86" t="s">
        <v>3800</v>
      </c>
      <c r="D86" t="s">
        <v>78</v>
      </c>
      <c r="E86" t="s">
        <v>252</v>
      </c>
      <c r="F86">
        <v>7.6017000000000001</v>
      </c>
      <c r="G86">
        <v>-74.808300000000003</v>
      </c>
      <c r="H86" t="s">
        <v>4547</v>
      </c>
      <c r="I86">
        <v>40</v>
      </c>
      <c r="J86">
        <v>150.9</v>
      </c>
      <c r="K86" t="s">
        <v>4614</v>
      </c>
    </row>
    <row r="87" spans="1:11" x14ac:dyDescent="0.25">
      <c r="A87" t="s">
        <v>3842</v>
      </c>
      <c r="B87" t="s">
        <v>55</v>
      </c>
      <c r="C87" t="s">
        <v>3843</v>
      </c>
      <c r="D87" t="s">
        <v>78</v>
      </c>
      <c r="E87" t="s">
        <v>252</v>
      </c>
      <c r="F87">
        <v>5.7461000000000002</v>
      </c>
      <c r="G87">
        <v>-75.606899999999996</v>
      </c>
      <c r="H87" t="s">
        <v>4547</v>
      </c>
      <c r="I87">
        <v>36</v>
      </c>
      <c r="J87">
        <v>173.53</v>
      </c>
      <c r="K87" t="s">
        <v>4615</v>
      </c>
    </row>
    <row r="88" spans="1:11" x14ac:dyDescent="0.25">
      <c r="A88" t="s">
        <v>3881</v>
      </c>
      <c r="B88" t="s">
        <v>55</v>
      </c>
      <c r="C88" t="s">
        <v>3800</v>
      </c>
      <c r="D88" t="s">
        <v>78</v>
      </c>
      <c r="E88" t="s">
        <v>252</v>
      </c>
      <c r="F88">
        <v>7.6017000000000001</v>
      </c>
      <c r="G88">
        <v>-74.808300000000003</v>
      </c>
      <c r="H88" t="s">
        <v>4547</v>
      </c>
      <c r="I88">
        <v>34</v>
      </c>
      <c r="J88">
        <v>153.56</v>
      </c>
      <c r="K88" t="s">
        <v>4616</v>
      </c>
    </row>
    <row r="89" spans="1:11" x14ac:dyDescent="0.25">
      <c r="A89" t="s">
        <v>3917</v>
      </c>
      <c r="B89" t="s">
        <v>55</v>
      </c>
      <c r="C89" t="s">
        <v>3918</v>
      </c>
      <c r="D89" t="s">
        <v>78</v>
      </c>
      <c r="E89" t="s">
        <v>252</v>
      </c>
      <c r="F89">
        <v>6.7805999999999997</v>
      </c>
      <c r="G89">
        <v>-76.130799999999994</v>
      </c>
      <c r="H89" t="s">
        <v>4547</v>
      </c>
      <c r="I89">
        <v>20</v>
      </c>
      <c r="J89">
        <v>172</v>
      </c>
      <c r="K89" t="s">
        <v>4617</v>
      </c>
    </row>
    <row r="90" spans="1:11" x14ac:dyDescent="0.25">
      <c r="A90" t="s">
        <v>3940</v>
      </c>
      <c r="B90" t="s">
        <v>55</v>
      </c>
      <c r="C90" t="s">
        <v>3941</v>
      </c>
      <c r="D90" t="s">
        <v>78</v>
      </c>
      <c r="E90" t="s">
        <v>252</v>
      </c>
      <c r="F90">
        <v>6.7119</v>
      </c>
      <c r="G90">
        <v>-75.908600000000007</v>
      </c>
      <c r="H90" t="s">
        <v>4547</v>
      </c>
      <c r="I90">
        <v>21</v>
      </c>
      <c r="J90">
        <v>195.1</v>
      </c>
      <c r="K90" t="s">
        <v>4618</v>
      </c>
    </row>
    <row r="91" spans="1:11" x14ac:dyDescent="0.25">
      <c r="A91" t="s">
        <v>3964</v>
      </c>
      <c r="B91" t="s">
        <v>55</v>
      </c>
      <c r="C91" t="s">
        <v>3655</v>
      </c>
      <c r="D91" t="s">
        <v>78</v>
      </c>
      <c r="E91" t="s">
        <v>252</v>
      </c>
      <c r="F91">
        <v>7.9869000000000003</v>
      </c>
      <c r="G91">
        <v>-75.197199999999995</v>
      </c>
      <c r="H91" t="s">
        <v>4547</v>
      </c>
      <c r="I91">
        <v>39</v>
      </c>
      <c r="J91">
        <v>155.49</v>
      </c>
      <c r="K91" t="s">
        <v>4619</v>
      </c>
    </row>
    <row r="92" spans="1:11" x14ac:dyDescent="0.25">
      <c r="A92" t="s">
        <v>4005</v>
      </c>
      <c r="B92" t="s">
        <v>55</v>
      </c>
      <c r="C92" t="s">
        <v>1916</v>
      </c>
      <c r="D92" t="s">
        <v>78</v>
      </c>
      <c r="E92" t="s">
        <v>252</v>
      </c>
      <c r="F92">
        <v>6.5986000000000002</v>
      </c>
      <c r="G92">
        <v>-75.011899999999997</v>
      </c>
      <c r="H92" t="s">
        <v>4547</v>
      </c>
      <c r="I92">
        <v>20</v>
      </c>
      <c r="J92">
        <v>163.69999999999999</v>
      </c>
      <c r="K92" t="s">
        <v>4620</v>
      </c>
    </row>
    <row r="93" spans="1:11" x14ac:dyDescent="0.25">
      <c r="A93" t="s">
        <v>4027</v>
      </c>
      <c r="B93" t="s">
        <v>55</v>
      </c>
      <c r="C93" t="s">
        <v>4028</v>
      </c>
      <c r="D93" t="s">
        <v>78</v>
      </c>
      <c r="E93" t="s">
        <v>252</v>
      </c>
      <c r="F93">
        <v>6.28</v>
      </c>
      <c r="G93">
        <v>-75.442800000000005</v>
      </c>
      <c r="H93" t="s">
        <v>4547</v>
      </c>
      <c r="I93">
        <v>33</v>
      </c>
      <c r="J93">
        <v>171.73</v>
      </c>
      <c r="K93" t="s">
        <v>4621</v>
      </c>
    </row>
    <row r="94" spans="1:11" x14ac:dyDescent="0.25">
      <c r="A94" t="s">
        <v>4063</v>
      </c>
      <c r="B94" t="s">
        <v>55</v>
      </c>
      <c r="C94" t="s">
        <v>4064</v>
      </c>
      <c r="D94" t="s">
        <v>78</v>
      </c>
      <c r="E94" t="s">
        <v>252</v>
      </c>
      <c r="F94">
        <v>6.3150000000000004</v>
      </c>
      <c r="G94">
        <v>-76.133600000000001</v>
      </c>
      <c r="H94" t="s">
        <v>4547</v>
      </c>
      <c r="I94">
        <v>47</v>
      </c>
      <c r="J94">
        <v>182.68</v>
      </c>
      <c r="K94" t="s">
        <v>4622</v>
      </c>
    </row>
    <row r="95" spans="1:11" x14ac:dyDescent="0.25">
      <c r="A95" t="s">
        <v>4113</v>
      </c>
      <c r="B95" t="s">
        <v>55</v>
      </c>
      <c r="C95" t="s">
        <v>4114</v>
      </c>
      <c r="D95" t="s">
        <v>78</v>
      </c>
      <c r="E95" t="s">
        <v>252</v>
      </c>
      <c r="F95">
        <v>7.1810999999999998</v>
      </c>
      <c r="G95">
        <v>-75.441900000000004</v>
      </c>
      <c r="H95" t="s">
        <v>4547</v>
      </c>
      <c r="I95">
        <v>39</v>
      </c>
      <c r="J95">
        <v>164.74</v>
      </c>
      <c r="K95" t="s">
        <v>4623</v>
      </c>
    </row>
    <row r="96" spans="1:11" x14ac:dyDescent="0.25">
      <c r="A96" t="s">
        <v>4155</v>
      </c>
      <c r="B96" t="s">
        <v>55</v>
      </c>
      <c r="C96" t="s">
        <v>4156</v>
      </c>
      <c r="D96" t="s">
        <v>78</v>
      </c>
      <c r="E96" t="s">
        <v>252</v>
      </c>
      <c r="F96">
        <v>8.4285999999999994</v>
      </c>
      <c r="G96">
        <v>-76.786100000000005</v>
      </c>
      <c r="H96" t="s">
        <v>4547</v>
      </c>
      <c r="I96">
        <v>43</v>
      </c>
      <c r="J96">
        <v>144.93</v>
      </c>
      <c r="K96" t="s">
        <v>4624</v>
      </c>
    </row>
    <row r="97" spans="1:11" x14ac:dyDescent="0.25">
      <c r="A97" t="s">
        <v>4201</v>
      </c>
      <c r="B97" t="s">
        <v>55</v>
      </c>
      <c r="C97" t="s">
        <v>4202</v>
      </c>
      <c r="D97" t="s">
        <v>78</v>
      </c>
      <c r="E97" t="s">
        <v>252</v>
      </c>
      <c r="F97">
        <v>6.4718999999999998</v>
      </c>
      <c r="G97">
        <v>-75.166899999999998</v>
      </c>
      <c r="H97" t="s">
        <v>4547</v>
      </c>
      <c r="I97">
        <v>21</v>
      </c>
      <c r="J97">
        <v>168.14</v>
      </c>
      <c r="K97" t="s">
        <v>4625</v>
      </c>
    </row>
    <row r="98" spans="1:11" x14ac:dyDescent="0.25">
      <c r="A98" t="s">
        <v>4225</v>
      </c>
      <c r="B98" t="s">
        <v>55</v>
      </c>
      <c r="C98" t="s">
        <v>4226</v>
      </c>
      <c r="D98" t="s">
        <v>78</v>
      </c>
      <c r="E98" t="s">
        <v>252</v>
      </c>
      <c r="F98">
        <v>5.7925000000000004</v>
      </c>
      <c r="G98">
        <v>-75.786900000000003</v>
      </c>
      <c r="H98" t="s">
        <v>4547</v>
      </c>
      <c r="I98">
        <v>31</v>
      </c>
      <c r="J98">
        <v>161.94</v>
      </c>
      <c r="K98" t="s">
        <v>4626</v>
      </c>
    </row>
    <row r="99" spans="1:11" x14ac:dyDescent="0.25">
      <c r="A99" t="s">
        <v>4259</v>
      </c>
      <c r="B99" t="s">
        <v>55</v>
      </c>
      <c r="C99" t="s">
        <v>2320</v>
      </c>
      <c r="D99" t="s">
        <v>78</v>
      </c>
      <c r="E99" t="s">
        <v>252</v>
      </c>
      <c r="F99">
        <v>7.7577999999999996</v>
      </c>
      <c r="G99">
        <v>-76.654700000000005</v>
      </c>
      <c r="H99" t="s">
        <v>4547</v>
      </c>
      <c r="I99">
        <v>29</v>
      </c>
      <c r="J99">
        <v>161.97</v>
      </c>
      <c r="K99" t="s">
        <v>4627</v>
      </c>
    </row>
    <row r="100" spans="1:11" x14ac:dyDescent="0.25">
      <c r="A100" t="s">
        <v>4290</v>
      </c>
      <c r="B100" t="s">
        <v>55</v>
      </c>
      <c r="C100" t="s">
        <v>4156</v>
      </c>
      <c r="D100" t="s">
        <v>78</v>
      </c>
      <c r="E100" t="s">
        <v>252</v>
      </c>
      <c r="F100">
        <v>8.4285999999999994</v>
      </c>
      <c r="G100">
        <v>-76.786100000000005</v>
      </c>
      <c r="H100" t="s">
        <v>4547</v>
      </c>
      <c r="I100">
        <v>32</v>
      </c>
      <c r="J100">
        <v>168.44</v>
      </c>
      <c r="K100" t="s">
        <v>4628</v>
      </c>
    </row>
    <row r="101" spans="1:11" x14ac:dyDescent="0.25">
      <c r="A101" t="s">
        <v>4324</v>
      </c>
      <c r="B101" t="s">
        <v>55</v>
      </c>
      <c r="C101" t="s">
        <v>2552</v>
      </c>
      <c r="D101" t="s">
        <v>78</v>
      </c>
      <c r="E101" t="s">
        <v>252</v>
      </c>
      <c r="F101">
        <v>7.0269000000000004</v>
      </c>
      <c r="G101">
        <v>-74.697500000000005</v>
      </c>
      <c r="H101" t="s">
        <v>4547</v>
      </c>
      <c r="I101">
        <v>59</v>
      </c>
      <c r="J101">
        <v>144.34</v>
      </c>
      <c r="K101" t="s">
        <v>4629</v>
      </c>
    </row>
    <row r="102" spans="1:11" x14ac:dyDescent="0.25">
      <c r="A102" t="s">
        <v>4385</v>
      </c>
      <c r="B102" t="s">
        <v>55</v>
      </c>
      <c r="C102" t="s">
        <v>2917</v>
      </c>
      <c r="D102" t="s">
        <v>78</v>
      </c>
      <c r="E102" t="s">
        <v>252</v>
      </c>
      <c r="F102">
        <v>7.2432999999999996</v>
      </c>
      <c r="G102">
        <v>-76.436099999999996</v>
      </c>
      <c r="H102" t="s">
        <v>4547</v>
      </c>
      <c r="I102">
        <v>24</v>
      </c>
      <c r="J102">
        <v>188.25</v>
      </c>
      <c r="K102" t="s">
        <v>4630</v>
      </c>
    </row>
    <row r="103" spans="1:11" x14ac:dyDescent="0.25">
      <c r="A103" t="s">
        <v>4411</v>
      </c>
      <c r="B103" t="s">
        <v>55</v>
      </c>
      <c r="C103" t="s">
        <v>4412</v>
      </c>
      <c r="D103" t="s">
        <v>78</v>
      </c>
      <c r="E103" t="s">
        <v>252</v>
      </c>
      <c r="F103">
        <v>6.1882999999999999</v>
      </c>
      <c r="G103">
        <v>-74.458470000000005</v>
      </c>
      <c r="H103" t="s">
        <v>4547</v>
      </c>
      <c r="I103">
        <v>31</v>
      </c>
      <c r="J103">
        <v>170.74</v>
      </c>
      <c r="K103" t="s">
        <v>4631</v>
      </c>
    </row>
    <row r="104" spans="1:11" x14ac:dyDescent="0.25">
      <c r="A104" t="s">
        <v>4445</v>
      </c>
      <c r="B104" t="s">
        <v>55</v>
      </c>
      <c r="C104" t="s">
        <v>4412</v>
      </c>
      <c r="D104" t="s">
        <v>78</v>
      </c>
      <c r="E104" t="s">
        <v>252</v>
      </c>
      <c r="F104">
        <v>6.1882999999999999</v>
      </c>
      <c r="G104">
        <v>-74.458470000000005</v>
      </c>
      <c r="H104" t="s">
        <v>4547</v>
      </c>
      <c r="I104">
        <v>24</v>
      </c>
      <c r="J104">
        <v>157</v>
      </c>
      <c r="K104" t="s">
        <v>4632</v>
      </c>
    </row>
    <row r="105" spans="1:11" x14ac:dyDescent="0.25">
      <c r="A105" t="s">
        <v>4471</v>
      </c>
      <c r="B105" t="s">
        <v>55</v>
      </c>
      <c r="C105" t="s">
        <v>2491</v>
      </c>
      <c r="D105" t="s">
        <v>78</v>
      </c>
      <c r="E105" t="s">
        <v>252</v>
      </c>
      <c r="F105">
        <v>6.2186000000000003</v>
      </c>
      <c r="G105">
        <v>-75.241699999999994</v>
      </c>
      <c r="H105" t="s">
        <v>4547</v>
      </c>
      <c r="I105">
        <v>23</v>
      </c>
      <c r="J105">
        <v>164.91</v>
      </c>
      <c r="K105" t="s">
        <v>4633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1" width="10" customWidth="1"/>
    <col min="2" max="2" width="52" customWidth="1"/>
    <col min="3" max="3" width="14" customWidth="1"/>
    <col min="4" max="4" width="8" customWidth="1"/>
    <col min="5" max="5" width="10" customWidth="1"/>
    <col min="6" max="6" width="13" customWidth="1"/>
    <col min="7" max="7" width="16" customWidth="1"/>
    <col min="8" max="8" width="18" customWidth="1"/>
    <col min="9" max="10" width="10" customWidth="1"/>
  </cols>
  <sheetData>
    <row r="1" spans="1:10" ht="18.75" x14ac:dyDescent="0.3">
      <c r="A1" s="1" t="s">
        <v>4634</v>
      </c>
    </row>
    <row r="2" spans="1:10" x14ac:dyDescent="0.25">
      <c r="A2" s="6" t="s">
        <v>4635</v>
      </c>
    </row>
    <row r="4" spans="1:10" x14ac:dyDescent="0.25">
      <c r="A4" s="7" t="s">
        <v>4636</v>
      </c>
      <c r="B4" s="7" t="s">
        <v>4637</v>
      </c>
      <c r="C4" s="7" t="s">
        <v>4638</v>
      </c>
      <c r="D4" s="7" t="s">
        <v>43</v>
      </c>
      <c r="E4" s="7" t="s">
        <v>4639</v>
      </c>
      <c r="F4" s="7" t="s">
        <v>71</v>
      </c>
      <c r="G4" s="7" t="s">
        <v>70</v>
      </c>
      <c r="H4" s="7" t="s">
        <v>73</v>
      </c>
      <c r="I4" s="7" t="s">
        <v>72</v>
      </c>
      <c r="J4" s="7" t="s">
        <v>74</v>
      </c>
    </row>
    <row r="5" spans="1:10" x14ac:dyDescent="0.25">
      <c r="A5">
        <v>20224</v>
      </c>
      <c r="B5" t="s">
        <v>4640</v>
      </c>
      <c r="C5" t="s">
        <v>4641</v>
      </c>
      <c r="D5">
        <v>232</v>
      </c>
      <c r="E5">
        <v>347.1</v>
      </c>
      <c r="F5">
        <v>71.8</v>
      </c>
      <c r="G5">
        <v>68.3</v>
      </c>
      <c r="H5">
        <v>66.5</v>
      </c>
      <c r="I5">
        <v>66.599999999999994</v>
      </c>
      <c r="J5">
        <v>82.5</v>
      </c>
    </row>
    <row r="6" spans="1:10" x14ac:dyDescent="0.25">
      <c r="A6">
        <v>20224</v>
      </c>
      <c r="B6" t="s">
        <v>4642</v>
      </c>
      <c r="C6" t="s">
        <v>4641</v>
      </c>
      <c r="D6">
        <v>120</v>
      </c>
      <c r="E6">
        <v>337.2</v>
      </c>
      <c r="F6">
        <v>69.099999999999994</v>
      </c>
      <c r="G6">
        <v>67.7</v>
      </c>
      <c r="H6">
        <v>63.9</v>
      </c>
      <c r="I6">
        <v>65.400000000000006</v>
      </c>
      <c r="J6">
        <v>78.5</v>
      </c>
    </row>
    <row r="7" spans="1:10" x14ac:dyDescent="0.25">
      <c r="A7">
        <v>20224</v>
      </c>
      <c r="B7" t="s">
        <v>4643</v>
      </c>
      <c r="C7" t="s">
        <v>4641</v>
      </c>
      <c r="D7">
        <v>34</v>
      </c>
      <c r="E7">
        <v>331.8</v>
      </c>
      <c r="F7">
        <v>68</v>
      </c>
      <c r="G7">
        <v>66.599999999999994</v>
      </c>
      <c r="H7">
        <v>64.8</v>
      </c>
      <c r="I7">
        <v>62.9</v>
      </c>
      <c r="J7">
        <v>75.8</v>
      </c>
    </row>
    <row r="8" spans="1:10" x14ac:dyDescent="0.25">
      <c r="A8">
        <v>20224</v>
      </c>
      <c r="B8" t="s">
        <v>4644</v>
      </c>
      <c r="C8" t="s">
        <v>4645</v>
      </c>
      <c r="D8">
        <v>16</v>
      </c>
      <c r="E8">
        <v>315.89999999999998</v>
      </c>
      <c r="F8">
        <v>65.900000000000006</v>
      </c>
      <c r="G8">
        <v>64.400000000000006</v>
      </c>
      <c r="H8">
        <v>61.4</v>
      </c>
      <c r="I8">
        <v>61.9</v>
      </c>
      <c r="J8">
        <v>60.6</v>
      </c>
    </row>
    <row r="9" spans="1:10" x14ac:dyDescent="0.25">
      <c r="A9">
        <v>20224</v>
      </c>
      <c r="B9" t="s">
        <v>4646</v>
      </c>
      <c r="C9" t="s">
        <v>4641</v>
      </c>
      <c r="D9">
        <v>86</v>
      </c>
      <c r="E9">
        <v>310.8</v>
      </c>
      <c r="F9">
        <v>61.6</v>
      </c>
      <c r="G9">
        <v>64.900000000000006</v>
      </c>
      <c r="H9">
        <v>58.7</v>
      </c>
      <c r="I9">
        <v>60.3</v>
      </c>
      <c r="J9">
        <v>72</v>
      </c>
    </row>
    <row r="10" spans="1:10" x14ac:dyDescent="0.25">
      <c r="A10">
        <v>20224</v>
      </c>
      <c r="B10" t="s">
        <v>4647</v>
      </c>
      <c r="C10" t="s">
        <v>4641</v>
      </c>
      <c r="D10">
        <v>118</v>
      </c>
      <c r="E10">
        <v>310.7</v>
      </c>
      <c r="F10">
        <v>63.5</v>
      </c>
      <c r="G10">
        <v>63.7</v>
      </c>
      <c r="H10">
        <v>60.6</v>
      </c>
      <c r="I10">
        <v>59.1</v>
      </c>
      <c r="J10">
        <v>67.5</v>
      </c>
    </row>
    <row r="11" spans="1:10" x14ac:dyDescent="0.25">
      <c r="A11">
        <v>20224</v>
      </c>
      <c r="B11" t="s">
        <v>4648</v>
      </c>
      <c r="C11" t="s">
        <v>4641</v>
      </c>
      <c r="D11">
        <v>104</v>
      </c>
      <c r="E11">
        <v>309.3</v>
      </c>
      <c r="F11">
        <v>60.8</v>
      </c>
      <c r="G11">
        <v>64.3</v>
      </c>
      <c r="H11">
        <v>57.9</v>
      </c>
      <c r="I11">
        <v>60.6</v>
      </c>
      <c r="J11">
        <v>73.400000000000006</v>
      </c>
    </row>
    <row r="12" spans="1:10" x14ac:dyDescent="0.25">
      <c r="A12">
        <v>20224</v>
      </c>
      <c r="B12" t="s">
        <v>4649</v>
      </c>
      <c r="C12" t="s">
        <v>4641</v>
      </c>
      <c r="D12">
        <v>260</v>
      </c>
      <c r="E12">
        <v>306.2</v>
      </c>
      <c r="F12">
        <v>63.3</v>
      </c>
      <c r="G12">
        <v>62.5</v>
      </c>
      <c r="H12">
        <v>59.4</v>
      </c>
      <c r="I12">
        <v>57.5</v>
      </c>
      <c r="J12">
        <v>68</v>
      </c>
    </row>
    <row r="13" spans="1:10" x14ac:dyDescent="0.25">
      <c r="A13">
        <v>20224</v>
      </c>
      <c r="B13" t="s">
        <v>4650</v>
      </c>
      <c r="C13" t="s">
        <v>4641</v>
      </c>
      <c r="D13">
        <v>226</v>
      </c>
      <c r="E13">
        <v>302.3</v>
      </c>
      <c r="F13">
        <v>61.7</v>
      </c>
      <c r="G13">
        <v>62</v>
      </c>
      <c r="H13">
        <v>58.5</v>
      </c>
      <c r="I13">
        <v>56.9</v>
      </c>
      <c r="J13">
        <v>68.8</v>
      </c>
    </row>
    <row r="14" spans="1:10" x14ac:dyDescent="0.25">
      <c r="A14">
        <v>20224</v>
      </c>
      <c r="B14" t="s">
        <v>4651</v>
      </c>
      <c r="C14" t="s">
        <v>4641</v>
      </c>
      <c r="D14">
        <v>44</v>
      </c>
      <c r="E14">
        <v>290.8</v>
      </c>
      <c r="F14">
        <v>53.2</v>
      </c>
      <c r="G14">
        <v>61.6</v>
      </c>
      <c r="H14">
        <v>55.5</v>
      </c>
      <c r="I14">
        <v>58.6</v>
      </c>
      <c r="J14">
        <v>68.900000000000006</v>
      </c>
    </row>
    <row r="15" spans="1:10" x14ac:dyDescent="0.25">
      <c r="A15">
        <v>20224</v>
      </c>
      <c r="B15" t="s">
        <v>4652</v>
      </c>
      <c r="C15" t="s">
        <v>4641</v>
      </c>
      <c r="D15">
        <v>66</v>
      </c>
      <c r="E15">
        <v>289.2</v>
      </c>
      <c r="F15">
        <v>57.4</v>
      </c>
      <c r="G15">
        <v>59.9</v>
      </c>
      <c r="H15">
        <v>54.2</v>
      </c>
      <c r="I15">
        <v>55.7</v>
      </c>
      <c r="J15">
        <v>70.2</v>
      </c>
    </row>
    <row r="16" spans="1:10" x14ac:dyDescent="0.25">
      <c r="A16">
        <v>20224</v>
      </c>
      <c r="B16" t="s">
        <v>4653</v>
      </c>
      <c r="C16" t="s">
        <v>4641</v>
      </c>
      <c r="D16">
        <v>18</v>
      </c>
      <c r="E16">
        <v>285.8</v>
      </c>
      <c r="F16">
        <v>54.9</v>
      </c>
      <c r="G16">
        <v>60.3</v>
      </c>
      <c r="H16">
        <v>55.1</v>
      </c>
      <c r="I16">
        <v>54.3</v>
      </c>
      <c r="J16">
        <v>69</v>
      </c>
    </row>
    <row r="17" spans="1:10" x14ac:dyDescent="0.25">
      <c r="A17">
        <v>20224</v>
      </c>
      <c r="B17" t="s">
        <v>4654</v>
      </c>
      <c r="C17" t="s">
        <v>4645</v>
      </c>
      <c r="D17">
        <v>328</v>
      </c>
      <c r="E17">
        <v>284.89999999999998</v>
      </c>
      <c r="F17">
        <v>58.2</v>
      </c>
      <c r="G17">
        <v>58.5</v>
      </c>
      <c r="H17">
        <v>55.6</v>
      </c>
      <c r="I17">
        <v>54.8</v>
      </c>
      <c r="J17">
        <v>59.3</v>
      </c>
    </row>
    <row r="18" spans="1:10" x14ac:dyDescent="0.25">
      <c r="A18">
        <v>20224</v>
      </c>
      <c r="B18" t="s">
        <v>4655</v>
      </c>
      <c r="C18" t="s">
        <v>4641</v>
      </c>
      <c r="D18">
        <v>180</v>
      </c>
      <c r="E18">
        <v>284.5</v>
      </c>
      <c r="F18">
        <v>56.4</v>
      </c>
      <c r="G18">
        <v>60.7</v>
      </c>
      <c r="H18">
        <v>53.3</v>
      </c>
      <c r="I18">
        <v>55.1</v>
      </c>
      <c r="J18">
        <v>63.4</v>
      </c>
    </row>
    <row r="19" spans="1:10" x14ac:dyDescent="0.25">
      <c r="A19">
        <v>20224</v>
      </c>
      <c r="B19" t="s">
        <v>4656</v>
      </c>
      <c r="C19" t="s">
        <v>4641</v>
      </c>
      <c r="D19">
        <v>50</v>
      </c>
      <c r="E19">
        <v>283.39999999999998</v>
      </c>
      <c r="F19">
        <v>56.3</v>
      </c>
      <c r="G19">
        <v>59.5</v>
      </c>
      <c r="H19">
        <v>52.6</v>
      </c>
      <c r="I19">
        <v>52.6</v>
      </c>
      <c r="J19">
        <v>73.599999999999994</v>
      </c>
    </row>
    <row r="20" spans="1:10" x14ac:dyDescent="0.25">
      <c r="A20">
        <v>20224</v>
      </c>
      <c r="B20" t="s">
        <v>4657</v>
      </c>
      <c r="C20" t="s">
        <v>4645</v>
      </c>
      <c r="D20">
        <v>352</v>
      </c>
      <c r="E20">
        <v>282.89999999999998</v>
      </c>
      <c r="F20">
        <v>56.3</v>
      </c>
      <c r="G20">
        <v>59.4</v>
      </c>
      <c r="H20">
        <v>54.4</v>
      </c>
      <c r="I20">
        <v>54.8</v>
      </c>
      <c r="J20">
        <v>61.1</v>
      </c>
    </row>
    <row r="21" spans="1:10" x14ac:dyDescent="0.25">
      <c r="A21">
        <v>20224</v>
      </c>
      <c r="B21" t="s">
        <v>4658</v>
      </c>
      <c r="C21" t="s">
        <v>4645</v>
      </c>
      <c r="D21">
        <v>126</v>
      </c>
      <c r="E21">
        <v>281.60000000000002</v>
      </c>
      <c r="F21">
        <v>55.6</v>
      </c>
      <c r="G21">
        <v>59.3</v>
      </c>
      <c r="H21">
        <v>54.1</v>
      </c>
      <c r="I21">
        <v>55.1</v>
      </c>
      <c r="J21">
        <v>60.2</v>
      </c>
    </row>
    <row r="22" spans="1:10" x14ac:dyDescent="0.25">
      <c r="A22">
        <v>20224</v>
      </c>
      <c r="B22" t="s">
        <v>4659</v>
      </c>
      <c r="C22" t="s">
        <v>4645</v>
      </c>
      <c r="D22">
        <v>180</v>
      </c>
      <c r="E22">
        <v>279.60000000000002</v>
      </c>
      <c r="F22">
        <v>56.1</v>
      </c>
      <c r="G22">
        <v>59.3</v>
      </c>
      <c r="H22">
        <v>53.5</v>
      </c>
      <c r="I22">
        <v>53.5</v>
      </c>
      <c r="J22">
        <v>59.9</v>
      </c>
    </row>
    <row r="23" spans="1:10" x14ac:dyDescent="0.25">
      <c r="A23">
        <v>20224</v>
      </c>
      <c r="B23" t="s">
        <v>4660</v>
      </c>
      <c r="C23" t="s">
        <v>4645</v>
      </c>
      <c r="D23">
        <v>58</v>
      </c>
      <c r="E23">
        <v>276.5</v>
      </c>
      <c r="F23">
        <v>55.3</v>
      </c>
      <c r="G23">
        <v>58.8</v>
      </c>
      <c r="H23">
        <v>54</v>
      </c>
      <c r="I23">
        <v>52</v>
      </c>
      <c r="J23">
        <v>58.7</v>
      </c>
    </row>
    <row r="24" spans="1:10" x14ac:dyDescent="0.25">
      <c r="A24">
        <v>20224</v>
      </c>
      <c r="B24" t="s">
        <v>4661</v>
      </c>
      <c r="C24" t="s">
        <v>4641</v>
      </c>
      <c r="D24">
        <v>20</v>
      </c>
      <c r="E24">
        <v>274.89999999999998</v>
      </c>
      <c r="F24">
        <v>55.2</v>
      </c>
      <c r="G24">
        <v>57.1</v>
      </c>
      <c r="H24">
        <v>52.7</v>
      </c>
      <c r="I24">
        <v>50</v>
      </c>
      <c r="J24">
        <v>69.7</v>
      </c>
    </row>
    <row r="25" spans="1:10" x14ac:dyDescent="0.25">
      <c r="A25">
        <v>20224</v>
      </c>
      <c r="B25" t="s">
        <v>4662</v>
      </c>
      <c r="C25" t="s">
        <v>4645</v>
      </c>
      <c r="D25">
        <v>276</v>
      </c>
      <c r="E25">
        <v>272.7</v>
      </c>
      <c r="F25">
        <v>54.4</v>
      </c>
      <c r="G25">
        <v>58</v>
      </c>
      <c r="H25">
        <v>51.6</v>
      </c>
      <c r="I25">
        <v>52.7</v>
      </c>
      <c r="J25">
        <v>59.3</v>
      </c>
    </row>
    <row r="26" spans="1:10" x14ac:dyDescent="0.25">
      <c r="A26">
        <v>20224</v>
      </c>
      <c r="B26" t="s">
        <v>4663</v>
      </c>
      <c r="C26" t="s">
        <v>4645</v>
      </c>
      <c r="D26">
        <v>66</v>
      </c>
      <c r="E26">
        <v>270.3</v>
      </c>
      <c r="F26">
        <v>52.8</v>
      </c>
      <c r="G26">
        <v>57.3</v>
      </c>
      <c r="H26">
        <v>52.9</v>
      </c>
      <c r="I26">
        <v>52.2</v>
      </c>
      <c r="J26">
        <v>56.6</v>
      </c>
    </row>
    <row r="27" spans="1:10" x14ac:dyDescent="0.25">
      <c r="A27">
        <v>20224</v>
      </c>
      <c r="B27" t="s">
        <v>4664</v>
      </c>
      <c r="C27" t="s">
        <v>4641</v>
      </c>
      <c r="D27">
        <v>40</v>
      </c>
      <c r="E27">
        <v>269.7</v>
      </c>
      <c r="F27">
        <v>53.8</v>
      </c>
      <c r="G27">
        <v>56.2</v>
      </c>
      <c r="H27">
        <v>51.7</v>
      </c>
      <c r="I27">
        <v>50.1</v>
      </c>
      <c r="J27">
        <v>65.599999999999994</v>
      </c>
    </row>
    <row r="28" spans="1:10" x14ac:dyDescent="0.25">
      <c r="A28">
        <v>20224</v>
      </c>
      <c r="B28" t="s">
        <v>4665</v>
      </c>
      <c r="C28" t="s">
        <v>4645</v>
      </c>
      <c r="D28">
        <v>76</v>
      </c>
      <c r="E28">
        <v>267.60000000000002</v>
      </c>
      <c r="F28">
        <v>48.9</v>
      </c>
      <c r="G28">
        <v>57.2</v>
      </c>
      <c r="H28">
        <v>53.2</v>
      </c>
      <c r="I28">
        <v>53.5</v>
      </c>
      <c r="J28">
        <v>57.1</v>
      </c>
    </row>
    <row r="29" spans="1:10" x14ac:dyDescent="0.25">
      <c r="A29">
        <v>20224</v>
      </c>
      <c r="B29" t="s">
        <v>4666</v>
      </c>
      <c r="C29" t="s">
        <v>4645</v>
      </c>
      <c r="D29">
        <v>232</v>
      </c>
      <c r="E29">
        <v>264.39999999999998</v>
      </c>
      <c r="F29">
        <v>52.9</v>
      </c>
      <c r="G29">
        <v>56</v>
      </c>
      <c r="H29">
        <v>50.9</v>
      </c>
      <c r="I29">
        <v>51.1</v>
      </c>
      <c r="J29">
        <v>54.8</v>
      </c>
    </row>
    <row r="30" spans="1:10" x14ac:dyDescent="0.25">
      <c r="A30">
        <v>20224</v>
      </c>
      <c r="B30" t="s">
        <v>4667</v>
      </c>
      <c r="C30" t="s">
        <v>4645</v>
      </c>
      <c r="D30">
        <v>72</v>
      </c>
      <c r="E30">
        <v>263.7</v>
      </c>
      <c r="F30">
        <v>54.2</v>
      </c>
      <c r="G30">
        <v>55.1</v>
      </c>
      <c r="H30">
        <v>51</v>
      </c>
      <c r="I30">
        <v>49.4</v>
      </c>
      <c r="J30">
        <v>56.1</v>
      </c>
    </row>
    <row r="31" spans="1:10" x14ac:dyDescent="0.25">
      <c r="A31">
        <v>20224</v>
      </c>
      <c r="B31" t="s">
        <v>4668</v>
      </c>
      <c r="C31" t="s">
        <v>4645</v>
      </c>
      <c r="D31">
        <v>80</v>
      </c>
      <c r="E31">
        <v>260.3</v>
      </c>
      <c r="F31">
        <v>50.4</v>
      </c>
      <c r="G31">
        <v>54.9</v>
      </c>
      <c r="H31">
        <v>51.6</v>
      </c>
      <c r="I31">
        <v>50</v>
      </c>
      <c r="J31">
        <v>55.8</v>
      </c>
    </row>
    <row r="32" spans="1:10" x14ac:dyDescent="0.25">
      <c r="A32">
        <v>20224</v>
      </c>
      <c r="B32" t="s">
        <v>4669</v>
      </c>
      <c r="C32" t="s">
        <v>4641</v>
      </c>
      <c r="D32">
        <v>2</v>
      </c>
      <c r="E32">
        <v>253</v>
      </c>
      <c r="F32">
        <v>50</v>
      </c>
      <c r="G32">
        <v>54</v>
      </c>
      <c r="H32">
        <v>48</v>
      </c>
      <c r="I32">
        <v>50</v>
      </c>
      <c r="J32">
        <v>52</v>
      </c>
    </row>
    <row r="33" spans="1:10" x14ac:dyDescent="0.25">
      <c r="A33">
        <v>20224</v>
      </c>
      <c r="B33" t="s">
        <v>4670</v>
      </c>
      <c r="C33" t="s">
        <v>4645</v>
      </c>
      <c r="D33">
        <v>358</v>
      </c>
      <c r="E33">
        <v>250.9</v>
      </c>
      <c r="F33">
        <v>49</v>
      </c>
      <c r="G33">
        <v>53.7</v>
      </c>
      <c r="H33">
        <v>48.6</v>
      </c>
      <c r="I33">
        <v>48.5</v>
      </c>
      <c r="J33">
        <v>52.9</v>
      </c>
    </row>
    <row r="34" spans="1:10" x14ac:dyDescent="0.25">
      <c r="A34">
        <v>20224</v>
      </c>
      <c r="B34" t="s">
        <v>4671</v>
      </c>
      <c r="C34" t="s">
        <v>4645</v>
      </c>
      <c r="D34">
        <v>100</v>
      </c>
      <c r="E34">
        <v>246.7</v>
      </c>
      <c r="F34">
        <v>49.3</v>
      </c>
      <c r="G34">
        <v>52.6</v>
      </c>
      <c r="H34">
        <v>47.5</v>
      </c>
      <c r="I34">
        <v>46.9</v>
      </c>
      <c r="J34">
        <v>52.2</v>
      </c>
    </row>
    <row r="35" spans="1:10" x14ac:dyDescent="0.25">
      <c r="A35">
        <v>20224</v>
      </c>
      <c r="B35" t="s">
        <v>4672</v>
      </c>
      <c r="C35" t="s">
        <v>4641</v>
      </c>
      <c r="D35">
        <v>92</v>
      </c>
      <c r="E35">
        <v>240.9</v>
      </c>
      <c r="F35">
        <v>47.1</v>
      </c>
      <c r="G35">
        <v>52.8</v>
      </c>
      <c r="H35">
        <v>46.7</v>
      </c>
      <c r="I35">
        <v>45.5</v>
      </c>
      <c r="J35">
        <v>49.9</v>
      </c>
    </row>
    <row r="36" spans="1:10" x14ac:dyDescent="0.25">
      <c r="A36">
        <v>20224</v>
      </c>
      <c r="B36" t="s">
        <v>4673</v>
      </c>
      <c r="C36" t="s">
        <v>4641</v>
      </c>
      <c r="D36">
        <v>30</v>
      </c>
      <c r="E36">
        <v>237.2</v>
      </c>
      <c r="F36">
        <v>47.5</v>
      </c>
      <c r="G36">
        <v>50.6</v>
      </c>
      <c r="H36">
        <v>45.1</v>
      </c>
      <c r="I36">
        <v>45.4</v>
      </c>
      <c r="J36">
        <v>51.1</v>
      </c>
    </row>
    <row r="37" spans="1:10" x14ac:dyDescent="0.25">
      <c r="A37">
        <v>20224</v>
      </c>
      <c r="B37" t="s">
        <v>4674</v>
      </c>
      <c r="C37" t="s">
        <v>4641</v>
      </c>
      <c r="D37">
        <v>96</v>
      </c>
      <c r="E37">
        <v>232.1</v>
      </c>
      <c r="F37">
        <v>45.1</v>
      </c>
      <c r="G37">
        <v>48.9</v>
      </c>
      <c r="H37">
        <v>45.5</v>
      </c>
      <c r="I37">
        <v>43.7</v>
      </c>
      <c r="J37">
        <v>53.9</v>
      </c>
    </row>
    <row r="38" spans="1:10" x14ac:dyDescent="0.25">
      <c r="A38">
        <v>20224</v>
      </c>
      <c r="B38" t="s">
        <v>4675</v>
      </c>
      <c r="C38" t="s">
        <v>4645</v>
      </c>
      <c r="D38">
        <v>152</v>
      </c>
      <c r="E38">
        <v>231.5</v>
      </c>
      <c r="F38">
        <v>46.3</v>
      </c>
      <c r="G38">
        <v>49.5</v>
      </c>
      <c r="H38">
        <v>45.2</v>
      </c>
      <c r="I38">
        <v>43.8</v>
      </c>
      <c r="J38">
        <v>47.5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1_Presentacion</vt:lpstr>
      <vt:lpstr>2_Datos</vt:lpstr>
      <vt:lpstr>3_Histograma</vt:lpstr>
      <vt:lpstr>4_Instituciones</vt:lpstr>
      <vt:lpstr>5_Referencia_ICFES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Grupo 7</dc:creator>
  <cp:lastModifiedBy>David Cardenas Labrador</cp:lastModifiedBy>
  <dcterms:created xsi:type="dcterms:W3CDTF">2026-07-24T21:40:46Z</dcterms:created>
  <dcterms:modified xsi:type="dcterms:W3CDTF">2026-07-25T02:20:47Z</dcterms:modified>
</cp:coreProperties>
</file>